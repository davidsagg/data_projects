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2.xml" ContentType="application/vnd.openxmlformats-officedocument.spreadsheetml.query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aggioro/Preditiva/deploy/Case_VaR/"/>
    </mc:Choice>
  </mc:AlternateContent>
  <xr:revisionPtr revIDLastSave="0" documentId="13_ncr:1_{06421D8D-3CA3-614A-A429-5BAE1098F6BE}" xr6:coauthVersionLast="47" xr6:coauthVersionMax="47" xr10:uidLastSave="{00000000-0000-0000-0000-000000000000}"/>
  <bookViews>
    <workbookView xWindow="0" yWindow="500" windowWidth="38400" windowHeight="19920" activeTab="4" xr2:uid="{44745DED-8141-CC4E-998A-BB435CFAE983}"/>
  </bookViews>
  <sheets>
    <sheet name="Análise da ação ITSA4" sheetId="15" r:id="rId1"/>
    <sheet name="Retornos da Carteira de Ações" sheetId="7" r:id="rId2"/>
    <sheet name="Matriz de Correlação da Ações" sheetId="17" r:id="rId3"/>
    <sheet name="Cálculo do VaR da Carteira" sheetId="18" r:id="rId4"/>
    <sheet name="BackTesting Simplificado do VaR" sheetId="20" r:id="rId5"/>
  </sheets>
  <definedNames>
    <definedName name="_xlnm._FilterDatabase" localSheetId="3" hidden="1">'Cálculo do VaR da Carteira'!$A$498:$D$4925</definedName>
    <definedName name="_xlnm._FilterDatabase" localSheetId="1" hidden="1">'Retornos da Carteira de Ações'!$A$498:$D$4925</definedName>
    <definedName name="_xlchart.v1.0" hidden="1">'Análise da ação ITSA4'!$D$2:$D$252</definedName>
    <definedName name="_xlchart.v1.1" hidden="1">'Retornos da Carteira de Ações'!$A$6:$A$497</definedName>
    <definedName name="_xlchart.v1.10" hidden="1">'Retornos da Carteira de Ações'!$F$5</definedName>
    <definedName name="_xlchart.v1.11" hidden="1">'Retornos da Carteira de Ações'!$F$6:$F$497</definedName>
    <definedName name="_xlchart.v1.12" hidden="1">'Retornos da Carteira de Ações'!$G$5</definedName>
    <definedName name="_xlchart.v1.13" hidden="1">'Retornos da Carteira de Ações'!$G$6:$G$497</definedName>
    <definedName name="_xlchart.v1.14" hidden="1">'Retornos da Carteira de Ações'!$H$5</definedName>
    <definedName name="_xlchart.v1.15" hidden="1">'Retornos da Carteira de Ações'!$H$6:$H$497</definedName>
    <definedName name="_xlchart.v1.16" hidden="1">'Retornos da Carteira de Ações'!$I$5</definedName>
    <definedName name="_xlchart.v1.17" hidden="1">'Retornos da Carteira de Ações'!$I$6:$I$497</definedName>
    <definedName name="_xlchart.v1.18" hidden="1">'Retornos da Carteira de Ações'!$J$5</definedName>
    <definedName name="_xlchart.v1.19" hidden="1">'Retornos da Carteira de Ações'!$J$6:$J$497</definedName>
    <definedName name="_xlchart.v1.2" hidden="1">'Retornos da Carteira de Ações'!$B$5</definedName>
    <definedName name="_xlchart.v1.20" hidden="1">'Cálculo do VaR da Carteira'!$U$6:$U$496</definedName>
    <definedName name="_xlchart.v1.21" hidden="1">'Cálculo do VaR da Carteira'!$U$6:$U$496</definedName>
    <definedName name="_xlchart.v1.3" hidden="1">'Retornos da Carteira de Ações'!$B$6:$B$497</definedName>
    <definedName name="_xlchart.v1.4" hidden="1">'Retornos da Carteira de Ações'!$C$5</definedName>
    <definedName name="_xlchart.v1.5" hidden="1">'Retornos da Carteira de Ações'!$C$6:$C$497</definedName>
    <definedName name="_xlchart.v1.6" hidden="1">'Retornos da Carteira de Ações'!$D$5</definedName>
    <definedName name="_xlchart.v1.7" hidden="1">'Retornos da Carteira de Ações'!$D$6:$D$497</definedName>
    <definedName name="_xlchart.v1.8" hidden="1">'Retornos da Carteira de Ações'!$E$5</definedName>
    <definedName name="_xlchart.v1.9" hidden="1">'Retornos da Carteira de Ações'!$E$6:$E$497</definedName>
    <definedName name="base_retornos_acoes" localSheetId="3">'Cálculo do VaR da Carteira'!$A$498:$D$4925</definedName>
    <definedName name="base_retornos_acoes" localSheetId="1">'Retornos da Carteira de Ações'!$A$498:$D$4925</definedName>
    <definedName name="_xlnm.Extract" localSheetId="3">'Cálculo do VaR da Carteira'!$A$5</definedName>
    <definedName name="_xlnm.Extract" localSheetId="1">'Retornos da Carteira de Ações'!$A$5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7" l="1"/>
  <c r="L6" i="7"/>
  <c r="L4" i="7"/>
  <c r="P2" i="18"/>
  <c r="J6" i="20"/>
  <c r="J10" i="20" s="1"/>
  <c r="E6" i="20"/>
  <c r="E10" i="20" s="1"/>
  <c r="G2" i="20"/>
  <c r="B2" i="20"/>
  <c r="X12" i="18"/>
  <c r="X3" i="18"/>
  <c r="X6" i="18"/>
  <c r="T496" i="18"/>
  <c r="S496" i="18"/>
  <c r="R496" i="18"/>
  <c r="Q496" i="18"/>
  <c r="P496" i="18"/>
  <c r="O496" i="18"/>
  <c r="N496" i="18"/>
  <c r="M496" i="18"/>
  <c r="L496" i="18"/>
  <c r="T495" i="18"/>
  <c r="S495" i="18"/>
  <c r="R495" i="18"/>
  <c r="Q495" i="18"/>
  <c r="P495" i="18"/>
  <c r="O495" i="18"/>
  <c r="N495" i="18"/>
  <c r="M495" i="18"/>
  <c r="L495" i="18"/>
  <c r="T494" i="18"/>
  <c r="S494" i="18"/>
  <c r="R494" i="18"/>
  <c r="Q494" i="18"/>
  <c r="P494" i="18"/>
  <c r="O494" i="18"/>
  <c r="N494" i="18"/>
  <c r="M494" i="18"/>
  <c r="L494" i="18"/>
  <c r="T493" i="18"/>
  <c r="S493" i="18"/>
  <c r="R493" i="18"/>
  <c r="Q493" i="18"/>
  <c r="P493" i="18"/>
  <c r="O493" i="18"/>
  <c r="N493" i="18"/>
  <c r="M493" i="18"/>
  <c r="L493" i="18"/>
  <c r="T492" i="18"/>
  <c r="S492" i="18"/>
  <c r="R492" i="18"/>
  <c r="Q492" i="18"/>
  <c r="P492" i="18"/>
  <c r="O492" i="18"/>
  <c r="N492" i="18"/>
  <c r="M492" i="18"/>
  <c r="L492" i="18"/>
  <c r="T491" i="18"/>
  <c r="S491" i="18"/>
  <c r="R491" i="18"/>
  <c r="Q491" i="18"/>
  <c r="P491" i="18"/>
  <c r="O491" i="18"/>
  <c r="N491" i="18"/>
  <c r="M491" i="18"/>
  <c r="L491" i="18"/>
  <c r="T490" i="18"/>
  <c r="S490" i="18"/>
  <c r="R490" i="18"/>
  <c r="Q490" i="18"/>
  <c r="P490" i="18"/>
  <c r="O490" i="18"/>
  <c r="N490" i="18"/>
  <c r="M490" i="18"/>
  <c r="L490" i="18"/>
  <c r="T489" i="18"/>
  <c r="S489" i="18"/>
  <c r="R489" i="18"/>
  <c r="Q489" i="18"/>
  <c r="P489" i="18"/>
  <c r="O489" i="18"/>
  <c r="N489" i="18"/>
  <c r="M489" i="18"/>
  <c r="L489" i="18"/>
  <c r="T488" i="18"/>
  <c r="S488" i="18"/>
  <c r="R488" i="18"/>
  <c r="Q488" i="18"/>
  <c r="P488" i="18"/>
  <c r="O488" i="18"/>
  <c r="N488" i="18"/>
  <c r="M488" i="18"/>
  <c r="L488" i="18"/>
  <c r="T487" i="18"/>
  <c r="S487" i="18"/>
  <c r="R487" i="18"/>
  <c r="Q487" i="18"/>
  <c r="P487" i="18"/>
  <c r="O487" i="18"/>
  <c r="N487" i="18"/>
  <c r="M487" i="18"/>
  <c r="L487" i="18"/>
  <c r="T486" i="18"/>
  <c r="S486" i="18"/>
  <c r="R486" i="18"/>
  <c r="Q486" i="18"/>
  <c r="P486" i="18"/>
  <c r="O486" i="18"/>
  <c r="N486" i="18"/>
  <c r="M486" i="18"/>
  <c r="L486" i="18"/>
  <c r="T485" i="18"/>
  <c r="S485" i="18"/>
  <c r="R485" i="18"/>
  <c r="Q485" i="18"/>
  <c r="P485" i="18"/>
  <c r="O485" i="18"/>
  <c r="N485" i="18"/>
  <c r="M485" i="18"/>
  <c r="L485" i="18"/>
  <c r="T484" i="18"/>
  <c r="S484" i="18"/>
  <c r="R484" i="18"/>
  <c r="Q484" i="18"/>
  <c r="P484" i="18"/>
  <c r="O484" i="18"/>
  <c r="N484" i="18"/>
  <c r="M484" i="18"/>
  <c r="L484" i="18"/>
  <c r="T483" i="18"/>
  <c r="S483" i="18"/>
  <c r="R483" i="18"/>
  <c r="Q483" i="18"/>
  <c r="P483" i="18"/>
  <c r="O483" i="18"/>
  <c r="N483" i="18"/>
  <c r="M483" i="18"/>
  <c r="L483" i="18"/>
  <c r="T482" i="18"/>
  <c r="S482" i="18"/>
  <c r="R482" i="18"/>
  <c r="Q482" i="18"/>
  <c r="P482" i="18"/>
  <c r="O482" i="18"/>
  <c r="N482" i="18"/>
  <c r="M482" i="18"/>
  <c r="L482" i="18"/>
  <c r="T481" i="18"/>
  <c r="S481" i="18"/>
  <c r="R481" i="18"/>
  <c r="Q481" i="18"/>
  <c r="P481" i="18"/>
  <c r="O481" i="18"/>
  <c r="N481" i="18"/>
  <c r="M481" i="18"/>
  <c r="L481" i="18"/>
  <c r="U481" i="18" s="1"/>
  <c r="T480" i="18"/>
  <c r="S480" i="18"/>
  <c r="R480" i="18"/>
  <c r="Q480" i="18"/>
  <c r="P480" i="18"/>
  <c r="O480" i="18"/>
  <c r="N480" i="18"/>
  <c r="M480" i="18"/>
  <c r="L480" i="18"/>
  <c r="T479" i="18"/>
  <c r="S479" i="18"/>
  <c r="R479" i="18"/>
  <c r="Q479" i="18"/>
  <c r="P479" i="18"/>
  <c r="O479" i="18"/>
  <c r="N479" i="18"/>
  <c r="M479" i="18"/>
  <c r="L479" i="18"/>
  <c r="T478" i="18"/>
  <c r="S478" i="18"/>
  <c r="R478" i="18"/>
  <c r="Q478" i="18"/>
  <c r="P478" i="18"/>
  <c r="O478" i="18"/>
  <c r="N478" i="18"/>
  <c r="M478" i="18"/>
  <c r="L478" i="18"/>
  <c r="T477" i="18"/>
  <c r="S477" i="18"/>
  <c r="R477" i="18"/>
  <c r="Q477" i="18"/>
  <c r="P477" i="18"/>
  <c r="O477" i="18"/>
  <c r="N477" i="18"/>
  <c r="M477" i="18"/>
  <c r="L477" i="18"/>
  <c r="T476" i="18"/>
  <c r="S476" i="18"/>
  <c r="R476" i="18"/>
  <c r="Q476" i="18"/>
  <c r="P476" i="18"/>
  <c r="O476" i="18"/>
  <c r="N476" i="18"/>
  <c r="M476" i="18"/>
  <c r="L476" i="18"/>
  <c r="T475" i="18"/>
  <c r="S475" i="18"/>
  <c r="R475" i="18"/>
  <c r="Q475" i="18"/>
  <c r="P475" i="18"/>
  <c r="O475" i="18"/>
  <c r="N475" i="18"/>
  <c r="M475" i="18"/>
  <c r="L475" i="18"/>
  <c r="T474" i="18"/>
  <c r="S474" i="18"/>
  <c r="R474" i="18"/>
  <c r="Q474" i="18"/>
  <c r="P474" i="18"/>
  <c r="O474" i="18"/>
  <c r="N474" i="18"/>
  <c r="M474" i="18"/>
  <c r="L474" i="18"/>
  <c r="T473" i="18"/>
  <c r="S473" i="18"/>
  <c r="R473" i="18"/>
  <c r="Q473" i="18"/>
  <c r="P473" i="18"/>
  <c r="O473" i="18"/>
  <c r="N473" i="18"/>
  <c r="M473" i="18"/>
  <c r="L473" i="18"/>
  <c r="T472" i="18"/>
  <c r="S472" i="18"/>
  <c r="R472" i="18"/>
  <c r="Q472" i="18"/>
  <c r="P472" i="18"/>
  <c r="O472" i="18"/>
  <c r="N472" i="18"/>
  <c r="M472" i="18"/>
  <c r="L472" i="18"/>
  <c r="T471" i="18"/>
  <c r="S471" i="18"/>
  <c r="R471" i="18"/>
  <c r="Q471" i="18"/>
  <c r="P471" i="18"/>
  <c r="O471" i="18"/>
  <c r="N471" i="18"/>
  <c r="M471" i="18"/>
  <c r="L471" i="18"/>
  <c r="T470" i="18"/>
  <c r="S470" i="18"/>
  <c r="R470" i="18"/>
  <c r="Q470" i="18"/>
  <c r="P470" i="18"/>
  <c r="O470" i="18"/>
  <c r="N470" i="18"/>
  <c r="M470" i="18"/>
  <c r="L470" i="18"/>
  <c r="T469" i="18"/>
  <c r="S469" i="18"/>
  <c r="R469" i="18"/>
  <c r="Q469" i="18"/>
  <c r="P469" i="18"/>
  <c r="O469" i="18"/>
  <c r="N469" i="18"/>
  <c r="M469" i="18"/>
  <c r="L469" i="18"/>
  <c r="T468" i="18"/>
  <c r="S468" i="18"/>
  <c r="R468" i="18"/>
  <c r="Q468" i="18"/>
  <c r="P468" i="18"/>
  <c r="O468" i="18"/>
  <c r="N468" i="18"/>
  <c r="M468" i="18"/>
  <c r="L468" i="18"/>
  <c r="T467" i="18"/>
  <c r="S467" i="18"/>
  <c r="R467" i="18"/>
  <c r="Q467" i="18"/>
  <c r="P467" i="18"/>
  <c r="O467" i="18"/>
  <c r="N467" i="18"/>
  <c r="M467" i="18"/>
  <c r="L467" i="18"/>
  <c r="T466" i="18"/>
  <c r="S466" i="18"/>
  <c r="R466" i="18"/>
  <c r="Q466" i="18"/>
  <c r="P466" i="18"/>
  <c r="O466" i="18"/>
  <c r="N466" i="18"/>
  <c r="M466" i="18"/>
  <c r="L466" i="18"/>
  <c r="T465" i="18"/>
  <c r="S465" i="18"/>
  <c r="R465" i="18"/>
  <c r="Q465" i="18"/>
  <c r="P465" i="18"/>
  <c r="O465" i="18"/>
  <c r="N465" i="18"/>
  <c r="M465" i="18"/>
  <c r="L465" i="18"/>
  <c r="T464" i="18"/>
  <c r="S464" i="18"/>
  <c r="R464" i="18"/>
  <c r="Q464" i="18"/>
  <c r="P464" i="18"/>
  <c r="O464" i="18"/>
  <c r="N464" i="18"/>
  <c r="M464" i="18"/>
  <c r="L464" i="18"/>
  <c r="T463" i="18"/>
  <c r="S463" i="18"/>
  <c r="R463" i="18"/>
  <c r="Q463" i="18"/>
  <c r="P463" i="18"/>
  <c r="O463" i="18"/>
  <c r="N463" i="18"/>
  <c r="M463" i="18"/>
  <c r="L463" i="18"/>
  <c r="T462" i="18"/>
  <c r="S462" i="18"/>
  <c r="R462" i="18"/>
  <c r="Q462" i="18"/>
  <c r="P462" i="18"/>
  <c r="O462" i="18"/>
  <c r="N462" i="18"/>
  <c r="M462" i="18"/>
  <c r="L462" i="18"/>
  <c r="T461" i="18"/>
  <c r="S461" i="18"/>
  <c r="R461" i="18"/>
  <c r="Q461" i="18"/>
  <c r="P461" i="18"/>
  <c r="O461" i="18"/>
  <c r="N461" i="18"/>
  <c r="M461" i="18"/>
  <c r="L461" i="18"/>
  <c r="T460" i="18"/>
  <c r="S460" i="18"/>
  <c r="R460" i="18"/>
  <c r="Q460" i="18"/>
  <c r="P460" i="18"/>
  <c r="O460" i="18"/>
  <c r="N460" i="18"/>
  <c r="M460" i="18"/>
  <c r="L460" i="18"/>
  <c r="T459" i="18"/>
  <c r="S459" i="18"/>
  <c r="R459" i="18"/>
  <c r="Q459" i="18"/>
  <c r="P459" i="18"/>
  <c r="O459" i="18"/>
  <c r="N459" i="18"/>
  <c r="M459" i="18"/>
  <c r="L459" i="18"/>
  <c r="T458" i="18"/>
  <c r="S458" i="18"/>
  <c r="R458" i="18"/>
  <c r="Q458" i="18"/>
  <c r="P458" i="18"/>
  <c r="O458" i="18"/>
  <c r="N458" i="18"/>
  <c r="M458" i="18"/>
  <c r="L458" i="18"/>
  <c r="T457" i="18"/>
  <c r="S457" i="18"/>
  <c r="R457" i="18"/>
  <c r="Q457" i="18"/>
  <c r="P457" i="18"/>
  <c r="O457" i="18"/>
  <c r="N457" i="18"/>
  <c r="M457" i="18"/>
  <c r="L457" i="18"/>
  <c r="T456" i="18"/>
  <c r="S456" i="18"/>
  <c r="R456" i="18"/>
  <c r="Q456" i="18"/>
  <c r="P456" i="18"/>
  <c r="O456" i="18"/>
  <c r="N456" i="18"/>
  <c r="M456" i="18"/>
  <c r="L456" i="18"/>
  <c r="T455" i="18"/>
  <c r="S455" i="18"/>
  <c r="R455" i="18"/>
  <c r="Q455" i="18"/>
  <c r="P455" i="18"/>
  <c r="O455" i="18"/>
  <c r="N455" i="18"/>
  <c r="M455" i="18"/>
  <c r="L455" i="18"/>
  <c r="T454" i="18"/>
  <c r="S454" i="18"/>
  <c r="R454" i="18"/>
  <c r="Q454" i="18"/>
  <c r="P454" i="18"/>
  <c r="O454" i="18"/>
  <c r="N454" i="18"/>
  <c r="M454" i="18"/>
  <c r="L454" i="18"/>
  <c r="T453" i="18"/>
  <c r="S453" i="18"/>
  <c r="R453" i="18"/>
  <c r="Q453" i="18"/>
  <c r="P453" i="18"/>
  <c r="O453" i="18"/>
  <c r="N453" i="18"/>
  <c r="M453" i="18"/>
  <c r="L453" i="18"/>
  <c r="T452" i="18"/>
  <c r="S452" i="18"/>
  <c r="R452" i="18"/>
  <c r="Q452" i="18"/>
  <c r="P452" i="18"/>
  <c r="O452" i="18"/>
  <c r="N452" i="18"/>
  <c r="M452" i="18"/>
  <c r="L452" i="18"/>
  <c r="T451" i="18"/>
  <c r="S451" i="18"/>
  <c r="R451" i="18"/>
  <c r="Q451" i="18"/>
  <c r="P451" i="18"/>
  <c r="O451" i="18"/>
  <c r="N451" i="18"/>
  <c r="M451" i="18"/>
  <c r="L451" i="18"/>
  <c r="T450" i="18"/>
  <c r="S450" i="18"/>
  <c r="R450" i="18"/>
  <c r="Q450" i="18"/>
  <c r="P450" i="18"/>
  <c r="O450" i="18"/>
  <c r="N450" i="18"/>
  <c r="M450" i="18"/>
  <c r="L450" i="18"/>
  <c r="T449" i="18"/>
  <c r="S449" i="18"/>
  <c r="R449" i="18"/>
  <c r="Q449" i="18"/>
  <c r="P449" i="18"/>
  <c r="O449" i="18"/>
  <c r="N449" i="18"/>
  <c r="M449" i="18"/>
  <c r="L449" i="18"/>
  <c r="T448" i="18"/>
  <c r="S448" i="18"/>
  <c r="R448" i="18"/>
  <c r="Q448" i="18"/>
  <c r="P448" i="18"/>
  <c r="O448" i="18"/>
  <c r="N448" i="18"/>
  <c r="M448" i="18"/>
  <c r="L448" i="18"/>
  <c r="T447" i="18"/>
  <c r="S447" i="18"/>
  <c r="R447" i="18"/>
  <c r="Q447" i="18"/>
  <c r="P447" i="18"/>
  <c r="O447" i="18"/>
  <c r="N447" i="18"/>
  <c r="M447" i="18"/>
  <c r="L447" i="18"/>
  <c r="T446" i="18"/>
  <c r="S446" i="18"/>
  <c r="R446" i="18"/>
  <c r="Q446" i="18"/>
  <c r="P446" i="18"/>
  <c r="O446" i="18"/>
  <c r="N446" i="18"/>
  <c r="M446" i="18"/>
  <c r="L446" i="18"/>
  <c r="T445" i="18"/>
  <c r="S445" i="18"/>
  <c r="R445" i="18"/>
  <c r="Q445" i="18"/>
  <c r="P445" i="18"/>
  <c r="O445" i="18"/>
  <c r="N445" i="18"/>
  <c r="M445" i="18"/>
  <c r="L445" i="18"/>
  <c r="T444" i="18"/>
  <c r="S444" i="18"/>
  <c r="R444" i="18"/>
  <c r="Q444" i="18"/>
  <c r="P444" i="18"/>
  <c r="O444" i="18"/>
  <c r="N444" i="18"/>
  <c r="M444" i="18"/>
  <c r="L444" i="18"/>
  <c r="T443" i="18"/>
  <c r="S443" i="18"/>
  <c r="R443" i="18"/>
  <c r="Q443" i="18"/>
  <c r="P443" i="18"/>
  <c r="O443" i="18"/>
  <c r="N443" i="18"/>
  <c r="M443" i="18"/>
  <c r="L443" i="18"/>
  <c r="T442" i="18"/>
  <c r="S442" i="18"/>
  <c r="R442" i="18"/>
  <c r="Q442" i="18"/>
  <c r="P442" i="18"/>
  <c r="O442" i="18"/>
  <c r="N442" i="18"/>
  <c r="M442" i="18"/>
  <c r="L442" i="18"/>
  <c r="T441" i="18"/>
  <c r="S441" i="18"/>
  <c r="R441" i="18"/>
  <c r="Q441" i="18"/>
  <c r="P441" i="18"/>
  <c r="O441" i="18"/>
  <c r="N441" i="18"/>
  <c r="M441" i="18"/>
  <c r="L441" i="18"/>
  <c r="T440" i="18"/>
  <c r="S440" i="18"/>
  <c r="R440" i="18"/>
  <c r="Q440" i="18"/>
  <c r="P440" i="18"/>
  <c r="O440" i="18"/>
  <c r="N440" i="18"/>
  <c r="M440" i="18"/>
  <c r="L440" i="18"/>
  <c r="T439" i="18"/>
  <c r="S439" i="18"/>
  <c r="R439" i="18"/>
  <c r="Q439" i="18"/>
  <c r="P439" i="18"/>
  <c r="O439" i="18"/>
  <c r="N439" i="18"/>
  <c r="M439" i="18"/>
  <c r="L439" i="18"/>
  <c r="T438" i="18"/>
  <c r="S438" i="18"/>
  <c r="R438" i="18"/>
  <c r="Q438" i="18"/>
  <c r="P438" i="18"/>
  <c r="O438" i="18"/>
  <c r="N438" i="18"/>
  <c r="M438" i="18"/>
  <c r="L438" i="18"/>
  <c r="T437" i="18"/>
  <c r="S437" i="18"/>
  <c r="R437" i="18"/>
  <c r="Q437" i="18"/>
  <c r="P437" i="18"/>
  <c r="O437" i="18"/>
  <c r="N437" i="18"/>
  <c r="M437" i="18"/>
  <c r="L437" i="18"/>
  <c r="T436" i="18"/>
  <c r="S436" i="18"/>
  <c r="R436" i="18"/>
  <c r="Q436" i="18"/>
  <c r="P436" i="18"/>
  <c r="O436" i="18"/>
  <c r="N436" i="18"/>
  <c r="M436" i="18"/>
  <c r="L436" i="18"/>
  <c r="T435" i="18"/>
  <c r="S435" i="18"/>
  <c r="R435" i="18"/>
  <c r="Q435" i="18"/>
  <c r="P435" i="18"/>
  <c r="O435" i="18"/>
  <c r="N435" i="18"/>
  <c r="M435" i="18"/>
  <c r="L435" i="18"/>
  <c r="T434" i="18"/>
  <c r="S434" i="18"/>
  <c r="R434" i="18"/>
  <c r="Q434" i="18"/>
  <c r="P434" i="18"/>
  <c r="O434" i="18"/>
  <c r="N434" i="18"/>
  <c r="M434" i="18"/>
  <c r="L434" i="18"/>
  <c r="T433" i="18"/>
  <c r="S433" i="18"/>
  <c r="R433" i="18"/>
  <c r="Q433" i="18"/>
  <c r="P433" i="18"/>
  <c r="O433" i="18"/>
  <c r="N433" i="18"/>
  <c r="M433" i="18"/>
  <c r="L433" i="18"/>
  <c r="T432" i="18"/>
  <c r="S432" i="18"/>
  <c r="R432" i="18"/>
  <c r="Q432" i="18"/>
  <c r="P432" i="18"/>
  <c r="O432" i="18"/>
  <c r="N432" i="18"/>
  <c r="M432" i="18"/>
  <c r="L432" i="18"/>
  <c r="T431" i="18"/>
  <c r="S431" i="18"/>
  <c r="R431" i="18"/>
  <c r="Q431" i="18"/>
  <c r="P431" i="18"/>
  <c r="O431" i="18"/>
  <c r="N431" i="18"/>
  <c r="M431" i="18"/>
  <c r="L431" i="18"/>
  <c r="T430" i="18"/>
  <c r="S430" i="18"/>
  <c r="R430" i="18"/>
  <c r="Q430" i="18"/>
  <c r="P430" i="18"/>
  <c r="O430" i="18"/>
  <c r="N430" i="18"/>
  <c r="M430" i="18"/>
  <c r="L430" i="18"/>
  <c r="T429" i="18"/>
  <c r="S429" i="18"/>
  <c r="R429" i="18"/>
  <c r="Q429" i="18"/>
  <c r="P429" i="18"/>
  <c r="O429" i="18"/>
  <c r="N429" i="18"/>
  <c r="M429" i="18"/>
  <c r="L429" i="18"/>
  <c r="T428" i="18"/>
  <c r="S428" i="18"/>
  <c r="R428" i="18"/>
  <c r="Q428" i="18"/>
  <c r="P428" i="18"/>
  <c r="O428" i="18"/>
  <c r="N428" i="18"/>
  <c r="M428" i="18"/>
  <c r="L428" i="18"/>
  <c r="T427" i="18"/>
  <c r="S427" i="18"/>
  <c r="R427" i="18"/>
  <c r="Q427" i="18"/>
  <c r="P427" i="18"/>
  <c r="O427" i="18"/>
  <c r="N427" i="18"/>
  <c r="M427" i="18"/>
  <c r="L427" i="18"/>
  <c r="T426" i="18"/>
  <c r="S426" i="18"/>
  <c r="R426" i="18"/>
  <c r="Q426" i="18"/>
  <c r="P426" i="18"/>
  <c r="O426" i="18"/>
  <c r="N426" i="18"/>
  <c r="M426" i="18"/>
  <c r="L426" i="18"/>
  <c r="T425" i="18"/>
  <c r="S425" i="18"/>
  <c r="R425" i="18"/>
  <c r="Q425" i="18"/>
  <c r="P425" i="18"/>
  <c r="O425" i="18"/>
  <c r="N425" i="18"/>
  <c r="M425" i="18"/>
  <c r="L425" i="18"/>
  <c r="T424" i="18"/>
  <c r="S424" i="18"/>
  <c r="R424" i="18"/>
  <c r="Q424" i="18"/>
  <c r="P424" i="18"/>
  <c r="O424" i="18"/>
  <c r="N424" i="18"/>
  <c r="M424" i="18"/>
  <c r="L424" i="18"/>
  <c r="T423" i="18"/>
  <c r="S423" i="18"/>
  <c r="R423" i="18"/>
  <c r="Q423" i="18"/>
  <c r="P423" i="18"/>
  <c r="O423" i="18"/>
  <c r="N423" i="18"/>
  <c r="M423" i="18"/>
  <c r="L423" i="18"/>
  <c r="T422" i="18"/>
  <c r="S422" i="18"/>
  <c r="R422" i="18"/>
  <c r="Q422" i="18"/>
  <c r="P422" i="18"/>
  <c r="O422" i="18"/>
  <c r="N422" i="18"/>
  <c r="M422" i="18"/>
  <c r="L422" i="18"/>
  <c r="T421" i="18"/>
  <c r="S421" i="18"/>
  <c r="R421" i="18"/>
  <c r="Q421" i="18"/>
  <c r="P421" i="18"/>
  <c r="O421" i="18"/>
  <c r="N421" i="18"/>
  <c r="M421" i="18"/>
  <c r="L421" i="18"/>
  <c r="T420" i="18"/>
  <c r="S420" i="18"/>
  <c r="R420" i="18"/>
  <c r="Q420" i="18"/>
  <c r="P420" i="18"/>
  <c r="O420" i="18"/>
  <c r="N420" i="18"/>
  <c r="M420" i="18"/>
  <c r="L420" i="18"/>
  <c r="T419" i="18"/>
  <c r="S419" i="18"/>
  <c r="R419" i="18"/>
  <c r="Q419" i="18"/>
  <c r="P419" i="18"/>
  <c r="O419" i="18"/>
  <c r="N419" i="18"/>
  <c r="M419" i="18"/>
  <c r="L419" i="18"/>
  <c r="T418" i="18"/>
  <c r="S418" i="18"/>
  <c r="R418" i="18"/>
  <c r="Q418" i="18"/>
  <c r="P418" i="18"/>
  <c r="O418" i="18"/>
  <c r="N418" i="18"/>
  <c r="M418" i="18"/>
  <c r="L418" i="18"/>
  <c r="T417" i="18"/>
  <c r="S417" i="18"/>
  <c r="R417" i="18"/>
  <c r="Q417" i="18"/>
  <c r="P417" i="18"/>
  <c r="O417" i="18"/>
  <c r="N417" i="18"/>
  <c r="M417" i="18"/>
  <c r="L417" i="18"/>
  <c r="U417" i="18" s="1"/>
  <c r="T416" i="18"/>
  <c r="S416" i="18"/>
  <c r="R416" i="18"/>
  <c r="Q416" i="18"/>
  <c r="P416" i="18"/>
  <c r="O416" i="18"/>
  <c r="N416" i="18"/>
  <c r="M416" i="18"/>
  <c r="L416" i="18"/>
  <c r="T415" i="18"/>
  <c r="S415" i="18"/>
  <c r="R415" i="18"/>
  <c r="Q415" i="18"/>
  <c r="P415" i="18"/>
  <c r="O415" i="18"/>
  <c r="N415" i="18"/>
  <c r="M415" i="18"/>
  <c r="L415" i="18"/>
  <c r="T414" i="18"/>
  <c r="S414" i="18"/>
  <c r="R414" i="18"/>
  <c r="Q414" i="18"/>
  <c r="P414" i="18"/>
  <c r="O414" i="18"/>
  <c r="N414" i="18"/>
  <c r="M414" i="18"/>
  <c r="L414" i="18"/>
  <c r="T413" i="18"/>
  <c r="S413" i="18"/>
  <c r="R413" i="18"/>
  <c r="Q413" i="18"/>
  <c r="P413" i="18"/>
  <c r="O413" i="18"/>
  <c r="N413" i="18"/>
  <c r="M413" i="18"/>
  <c r="L413" i="18"/>
  <c r="T412" i="18"/>
  <c r="S412" i="18"/>
  <c r="R412" i="18"/>
  <c r="Q412" i="18"/>
  <c r="P412" i="18"/>
  <c r="O412" i="18"/>
  <c r="N412" i="18"/>
  <c r="M412" i="18"/>
  <c r="L412" i="18"/>
  <c r="T411" i="18"/>
  <c r="S411" i="18"/>
  <c r="R411" i="18"/>
  <c r="Q411" i="18"/>
  <c r="P411" i="18"/>
  <c r="O411" i="18"/>
  <c r="N411" i="18"/>
  <c r="M411" i="18"/>
  <c r="L411" i="18"/>
  <c r="T410" i="18"/>
  <c r="S410" i="18"/>
  <c r="R410" i="18"/>
  <c r="Q410" i="18"/>
  <c r="P410" i="18"/>
  <c r="O410" i="18"/>
  <c r="N410" i="18"/>
  <c r="M410" i="18"/>
  <c r="L410" i="18"/>
  <c r="T409" i="18"/>
  <c r="S409" i="18"/>
  <c r="R409" i="18"/>
  <c r="Q409" i="18"/>
  <c r="P409" i="18"/>
  <c r="O409" i="18"/>
  <c r="N409" i="18"/>
  <c r="M409" i="18"/>
  <c r="L409" i="18"/>
  <c r="T408" i="18"/>
  <c r="S408" i="18"/>
  <c r="R408" i="18"/>
  <c r="Q408" i="18"/>
  <c r="P408" i="18"/>
  <c r="O408" i="18"/>
  <c r="N408" i="18"/>
  <c r="M408" i="18"/>
  <c r="L408" i="18"/>
  <c r="T407" i="18"/>
  <c r="S407" i="18"/>
  <c r="R407" i="18"/>
  <c r="Q407" i="18"/>
  <c r="P407" i="18"/>
  <c r="O407" i="18"/>
  <c r="N407" i="18"/>
  <c r="M407" i="18"/>
  <c r="L407" i="18"/>
  <c r="T406" i="18"/>
  <c r="S406" i="18"/>
  <c r="R406" i="18"/>
  <c r="Q406" i="18"/>
  <c r="P406" i="18"/>
  <c r="O406" i="18"/>
  <c r="N406" i="18"/>
  <c r="M406" i="18"/>
  <c r="L406" i="18"/>
  <c r="T405" i="18"/>
  <c r="S405" i="18"/>
  <c r="R405" i="18"/>
  <c r="Q405" i="18"/>
  <c r="P405" i="18"/>
  <c r="O405" i="18"/>
  <c r="N405" i="18"/>
  <c r="M405" i="18"/>
  <c r="L405" i="18"/>
  <c r="T404" i="18"/>
  <c r="S404" i="18"/>
  <c r="R404" i="18"/>
  <c r="Q404" i="18"/>
  <c r="P404" i="18"/>
  <c r="O404" i="18"/>
  <c r="N404" i="18"/>
  <c r="M404" i="18"/>
  <c r="L404" i="18"/>
  <c r="T403" i="18"/>
  <c r="S403" i="18"/>
  <c r="R403" i="18"/>
  <c r="Q403" i="18"/>
  <c r="P403" i="18"/>
  <c r="O403" i="18"/>
  <c r="N403" i="18"/>
  <c r="M403" i="18"/>
  <c r="L403" i="18"/>
  <c r="T402" i="18"/>
  <c r="S402" i="18"/>
  <c r="R402" i="18"/>
  <c r="Q402" i="18"/>
  <c r="P402" i="18"/>
  <c r="O402" i="18"/>
  <c r="N402" i="18"/>
  <c r="M402" i="18"/>
  <c r="L402" i="18"/>
  <c r="T401" i="18"/>
  <c r="S401" i="18"/>
  <c r="R401" i="18"/>
  <c r="Q401" i="18"/>
  <c r="P401" i="18"/>
  <c r="O401" i="18"/>
  <c r="N401" i="18"/>
  <c r="M401" i="18"/>
  <c r="L401" i="18"/>
  <c r="T400" i="18"/>
  <c r="S400" i="18"/>
  <c r="R400" i="18"/>
  <c r="Q400" i="18"/>
  <c r="P400" i="18"/>
  <c r="O400" i="18"/>
  <c r="N400" i="18"/>
  <c r="M400" i="18"/>
  <c r="L400" i="18"/>
  <c r="T399" i="18"/>
  <c r="S399" i="18"/>
  <c r="R399" i="18"/>
  <c r="Q399" i="18"/>
  <c r="P399" i="18"/>
  <c r="O399" i="18"/>
  <c r="N399" i="18"/>
  <c r="M399" i="18"/>
  <c r="L399" i="18"/>
  <c r="T398" i="18"/>
  <c r="S398" i="18"/>
  <c r="R398" i="18"/>
  <c r="Q398" i="18"/>
  <c r="P398" i="18"/>
  <c r="O398" i="18"/>
  <c r="N398" i="18"/>
  <c r="M398" i="18"/>
  <c r="L398" i="18"/>
  <c r="T397" i="18"/>
  <c r="S397" i="18"/>
  <c r="R397" i="18"/>
  <c r="Q397" i="18"/>
  <c r="P397" i="18"/>
  <c r="O397" i="18"/>
  <c r="N397" i="18"/>
  <c r="M397" i="18"/>
  <c r="L397" i="18"/>
  <c r="T396" i="18"/>
  <c r="S396" i="18"/>
  <c r="R396" i="18"/>
  <c r="Q396" i="18"/>
  <c r="P396" i="18"/>
  <c r="O396" i="18"/>
  <c r="N396" i="18"/>
  <c r="M396" i="18"/>
  <c r="L396" i="18"/>
  <c r="T395" i="18"/>
  <c r="S395" i="18"/>
  <c r="R395" i="18"/>
  <c r="Q395" i="18"/>
  <c r="P395" i="18"/>
  <c r="O395" i="18"/>
  <c r="N395" i="18"/>
  <c r="M395" i="18"/>
  <c r="L395" i="18"/>
  <c r="T394" i="18"/>
  <c r="S394" i="18"/>
  <c r="R394" i="18"/>
  <c r="Q394" i="18"/>
  <c r="P394" i="18"/>
  <c r="O394" i="18"/>
  <c r="N394" i="18"/>
  <c r="M394" i="18"/>
  <c r="L394" i="18"/>
  <c r="T393" i="18"/>
  <c r="S393" i="18"/>
  <c r="R393" i="18"/>
  <c r="Q393" i="18"/>
  <c r="P393" i="18"/>
  <c r="O393" i="18"/>
  <c r="N393" i="18"/>
  <c r="M393" i="18"/>
  <c r="L393" i="18"/>
  <c r="T392" i="18"/>
  <c r="S392" i="18"/>
  <c r="R392" i="18"/>
  <c r="Q392" i="18"/>
  <c r="P392" i="18"/>
  <c r="O392" i="18"/>
  <c r="N392" i="18"/>
  <c r="M392" i="18"/>
  <c r="L392" i="18"/>
  <c r="T391" i="18"/>
  <c r="S391" i="18"/>
  <c r="R391" i="18"/>
  <c r="Q391" i="18"/>
  <c r="P391" i="18"/>
  <c r="O391" i="18"/>
  <c r="N391" i="18"/>
  <c r="M391" i="18"/>
  <c r="L391" i="18"/>
  <c r="T390" i="18"/>
  <c r="S390" i="18"/>
  <c r="R390" i="18"/>
  <c r="Q390" i="18"/>
  <c r="P390" i="18"/>
  <c r="O390" i="18"/>
  <c r="N390" i="18"/>
  <c r="M390" i="18"/>
  <c r="L390" i="18"/>
  <c r="T389" i="18"/>
  <c r="S389" i="18"/>
  <c r="R389" i="18"/>
  <c r="Q389" i="18"/>
  <c r="P389" i="18"/>
  <c r="O389" i="18"/>
  <c r="N389" i="18"/>
  <c r="M389" i="18"/>
  <c r="L389" i="18"/>
  <c r="T388" i="18"/>
  <c r="S388" i="18"/>
  <c r="R388" i="18"/>
  <c r="Q388" i="18"/>
  <c r="P388" i="18"/>
  <c r="O388" i="18"/>
  <c r="N388" i="18"/>
  <c r="M388" i="18"/>
  <c r="L388" i="18"/>
  <c r="T387" i="18"/>
  <c r="S387" i="18"/>
  <c r="R387" i="18"/>
  <c r="Q387" i="18"/>
  <c r="P387" i="18"/>
  <c r="O387" i="18"/>
  <c r="N387" i="18"/>
  <c r="M387" i="18"/>
  <c r="L387" i="18"/>
  <c r="T386" i="18"/>
  <c r="S386" i="18"/>
  <c r="R386" i="18"/>
  <c r="Q386" i="18"/>
  <c r="P386" i="18"/>
  <c r="O386" i="18"/>
  <c r="N386" i="18"/>
  <c r="M386" i="18"/>
  <c r="L386" i="18"/>
  <c r="T385" i="18"/>
  <c r="S385" i="18"/>
  <c r="R385" i="18"/>
  <c r="Q385" i="18"/>
  <c r="P385" i="18"/>
  <c r="O385" i="18"/>
  <c r="N385" i="18"/>
  <c r="M385" i="18"/>
  <c r="L385" i="18"/>
  <c r="T384" i="18"/>
  <c r="S384" i="18"/>
  <c r="R384" i="18"/>
  <c r="Q384" i="18"/>
  <c r="P384" i="18"/>
  <c r="O384" i="18"/>
  <c r="N384" i="18"/>
  <c r="M384" i="18"/>
  <c r="L384" i="18"/>
  <c r="T383" i="18"/>
  <c r="S383" i="18"/>
  <c r="R383" i="18"/>
  <c r="Q383" i="18"/>
  <c r="P383" i="18"/>
  <c r="O383" i="18"/>
  <c r="N383" i="18"/>
  <c r="M383" i="18"/>
  <c r="L383" i="18"/>
  <c r="T382" i="18"/>
  <c r="S382" i="18"/>
  <c r="R382" i="18"/>
  <c r="Q382" i="18"/>
  <c r="P382" i="18"/>
  <c r="O382" i="18"/>
  <c r="N382" i="18"/>
  <c r="M382" i="18"/>
  <c r="L382" i="18"/>
  <c r="T381" i="18"/>
  <c r="S381" i="18"/>
  <c r="R381" i="18"/>
  <c r="Q381" i="18"/>
  <c r="P381" i="18"/>
  <c r="O381" i="18"/>
  <c r="N381" i="18"/>
  <c r="M381" i="18"/>
  <c r="L381" i="18"/>
  <c r="T380" i="18"/>
  <c r="S380" i="18"/>
  <c r="R380" i="18"/>
  <c r="Q380" i="18"/>
  <c r="P380" i="18"/>
  <c r="O380" i="18"/>
  <c r="N380" i="18"/>
  <c r="M380" i="18"/>
  <c r="L380" i="18"/>
  <c r="T379" i="18"/>
  <c r="S379" i="18"/>
  <c r="R379" i="18"/>
  <c r="Q379" i="18"/>
  <c r="P379" i="18"/>
  <c r="O379" i="18"/>
  <c r="N379" i="18"/>
  <c r="M379" i="18"/>
  <c r="L379" i="18"/>
  <c r="T378" i="18"/>
  <c r="S378" i="18"/>
  <c r="R378" i="18"/>
  <c r="Q378" i="18"/>
  <c r="P378" i="18"/>
  <c r="O378" i="18"/>
  <c r="N378" i="18"/>
  <c r="M378" i="18"/>
  <c r="L378" i="18"/>
  <c r="T377" i="18"/>
  <c r="S377" i="18"/>
  <c r="R377" i="18"/>
  <c r="Q377" i="18"/>
  <c r="P377" i="18"/>
  <c r="O377" i="18"/>
  <c r="N377" i="18"/>
  <c r="M377" i="18"/>
  <c r="L377" i="18"/>
  <c r="T376" i="18"/>
  <c r="S376" i="18"/>
  <c r="R376" i="18"/>
  <c r="Q376" i="18"/>
  <c r="P376" i="18"/>
  <c r="O376" i="18"/>
  <c r="N376" i="18"/>
  <c r="M376" i="18"/>
  <c r="L376" i="18"/>
  <c r="T375" i="18"/>
  <c r="S375" i="18"/>
  <c r="R375" i="18"/>
  <c r="Q375" i="18"/>
  <c r="P375" i="18"/>
  <c r="O375" i="18"/>
  <c r="N375" i="18"/>
  <c r="M375" i="18"/>
  <c r="L375" i="18"/>
  <c r="T374" i="18"/>
  <c r="S374" i="18"/>
  <c r="R374" i="18"/>
  <c r="Q374" i="18"/>
  <c r="P374" i="18"/>
  <c r="O374" i="18"/>
  <c r="N374" i="18"/>
  <c r="M374" i="18"/>
  <c r="L374" i="18"/>
  <c r="T373" i="18"/>
  <c r="S373" i="18"/>
  <c r="R373" i="18"/>
  <c r="Q373" i="18"/>
  <c r="P373" i="18"/>
  <c r="O373" i="18"/>
  <c r="N373" i="18"/>
  <c r="M373" i="18"/>
  <c r="L373" i="18"/>
  <c r="T372" i="18"/>
  <c r="S372" i="18"/>
  <c r="R372" i="18"/>
  <c r="Q372" i="18"/>
  <c r="P372" i="18"/>
  <c r="O372" i="18"/>
  <c r="N372" i="18"/>
  <c r="M372" i="18"/>
  <c r="L372" i="18"/>
  <c r="T371" i="18"/>
  <c r="S371" i="18"/>
  <c r="R371" i="18"/>
  <c r="Q371" i="18"/>
  <c r="P371" i="18"/>
  <c r="O371" i="18"/>
  <c r="N371" i="18"/>
  <c r="M371" i="18"/>
  <c r="L371" i="18"/>
  <c r="T370" i="18"/>
  <c r="S370" i="18"/>
  <c r="R370" i="18"/>
  <c r="Q370" i="18"/>
  <c r="P370" i="18"/>
  <c r="O370" i="18"/>
  <c r="N370" i="18"/>
  <c r="M370" i="18"/>
  <c r="L370" i="18"/>
  <c r="T369" i="18"/>
  <c r="S369" i="18"/>
  <c r="R369" i="18"/>
  <c r="Q369" i="18"/>
  <c r="P369" i="18"/>
  <c r="O369" i="18"/>
  <c r="N369" i="18"/>
  <c r="M369" i="18"/>
  <c r="L369" i="18"/>
  <c r="T368" i="18"/>
  <c r="S368" i="18"/>
  <c r="R368" i="18"/>
  <c r="Q368" i="18"/>
  <c r="P368" i="18"/>
  <c r="O368" i="18"/>
  <c r="N368" i="18"/>
  <c r="M368" i="18"/>
  <c r="L368" i="18"/>
  <c r="T367" i="18"/>
  <c r="S367" i="18"/>
  <c r="R367" i="18"/>
  <c r="Q367" i="18"/>
  <c r="P367" i="18"/>
  <c r="O367" i="18"/>
  <c r="N367" i="18"/>
  <c r="M367" i="18"/>
  <c r="L367" i="18"/>
  <c r="T366" i="18"/>
  <c r="S366" i="18"/>
  <c r="R366" i="18"/>
  <c r="Q366" i="18"/>
  <c r="P366" i="18"/>
  <c r="O366" i="18"/>
  <c r="N366" i="18"/>
  <c r="M366" i="18"/>
  <c r="L366" i="18"/>
  <c r="T365" i="18"/>
  <c r="S365" i="18"/>
  <c r="R365" i="18"/>
  <c r="Q365" i="18"/>
  <c r="P365" i="18"/>
  <c r="O365" i="18"/>
  <c r="N365" i="18"/>
  <c r="M365" i="18"/>
  <c r="L365" i="18"/>
  <c r="T364" i="18"/>
  <c r="S364" i="18"/>
  <c r="R364" i="18"/>
  <c r="Q364" i="18"/>
  <c r="P364" i="18"/>
  <c r="O364" i="18"/>
  <c r="N364" i="18"/>
  <c r="M364" i="18"/>
  <c r="L364" i="18"/>
  <c r="T363" i="18"/>
  <c r="S363" i="18"/>
  <c r="R363" i="18"/>
  <c r="Q363" i="18"/>
  <c r="P363" i="18"/>
  <c r="O363" i="18"/>
  <c r="N363" i="18"/>
  <c r="M363" i="18"/>
  <c r="L363" i="18"/>
  <c r="T362" i="18"/>
  <c r="S362" i="18"/>
  <c r="R362" i="18"/>
  <c r="Q362" i="18"/>
  <c r="P362" i="18"/>
  <c r="O362" i="18"/>
  <c r="N362" i="18"/>
  <c r="M362" i="18"/>
  <c r="L362" i="18"/>
  <c r="T361" i="18"/>
  <c r="S361" i="18"/>
  <c r="R361" i="18"/>
  <c r="Q361" i="18"/>
  <c r="P361" i="18"/>
  <c r="O361" i="18"/>
  <c r="N361" i="18"/>
  <c r="M361" i="18"/>
  <c r="L361" i="18"/>
  <c r="T360" i="18"/>
  <c r="S360" i="18"/>
  <c r="R360" i="18"/>
  <c r="Q360" i="18"/>
  <c r="P360" i="18"/>
  <c r="O360" i="18"/>
  <c r="N360" i="18"/>
  <c r="M360" i="18"/>
  <c r="L360" i="18"/>
  <c r="T359" i="18"/>
  <c r="S359" i="18"/>
  <c r="R359" i="18"/>
  <c r="Q359" i="18"/>
  <c r="P359" i="18"/>
  <c r="O359" i="18"/>
  <c r="N359" i="18"/>
  <c r="M359" i="18"/>
  <c r="L359" i="18"/>
  <c r="T358" i="18"/>
  <c r="S358" i="18"/>
  <c r="R358" i="18"/>
  <c r="Q358" i="18"/>
  <c r="P358" i="18"/>
  <c r="O358" i="18"/>
  <c r="N358" i="18"/>
  <c r="M358" i="18"/>
  <c r="L358" i="18"/>
  <c r="T357" i="18"/>
  <c r="S357" i="18"/>
  <c r="R357" i="18"/>
  <c r="Q357" i="18"/>
  <c r="P357" i="18"/>
  <c r="O357" i="18"/>
  <c r="N357" i="18"/>
  <c r="M357" i="18"/>
  <c r="L357" i="18"/>
  <c r="T356" i="18"/>
  <c r="S356" i="18"/>
  <c r="R356" i="18"/>
  <c r="Q356" i="18"/>
  <c r="P356" i="18"/>
  <c r="O356" i="18"/>
  <c r="N356" i="18"/>
  <c r="M356" i="18"/>
  <c r="L356" i="18"/>
  <c r="T355" i="18"/>
  <c r="S355" i="18"/>
  <c r="R355" i="18"/>
  <c r="Q355" i="18"/>
  <c r="P355" i="18"/>
  <c r="O355" i="18"/>
  <c r="N355" i="18"/>
  <c r="M355" i="18"/>
  <c r="L355" i="18"/>
  <c r="T354" i="18"/>
  <c r="S354" i="18"/>
  <c r="R354" i="18"/>
  <c r="Q354" i="18"/>
  <c r="P354" i="18"/>
  <c r="O354" i="18"/>
  <c r="N354" i="18"/>
  <c r="M354" i="18"/>
  <c r="L354" i="18"/>
  <c r="T353" i="18"/>
  <c r="S353" i="18"/>
  <c r="R353" i="18"/>
  <c r="Q353" i="18"/>
  <c r="P353" i="18"/>
  <c r="O353" i="18"/>
  <c r="N353" i="18"/>
  <c r="M353" i="18"/>
  <c r="L353" i="18"/>
  <c r="T352" i="18"/>
  <c r="S352" i="18"/>
  <c r="R352" i="18"/>
  <c r="Q352" i="18"/>
  <c r="P352" i="18"/>
  <c r="O352" i="18"/>
  <c r="N352" i="18"/>
  <c r="M352" i="18"/>
  <c r="L352" i="18"/>
  <c r="T351" i="18"/>
  <c r="S351" i="18"/>
  <c r="R351" i="18"/>
  <c r="Q351" i="18"/>
  <c r="P351" i="18"/>
  <c r="O351" i="18"/>
  <c r="N351" i="18"/>
  <c r="M351" i="18"/>
  <c r="L351" i="18"/>
  <c r="T350" i="18"/>
  <c r="S350" i="18"/>
  <c r="R350" i="18"/>
  <c r="Q350" i="18"/>
  <c r="P350" i="18"/>
  <c r="O350" i="18"/>
  <c r="N350" i="18"/>
  <c r="M350" i="18"/>
  <c r="L350" i="18"/>
  <c r="T349" i="18"/>
  <c r="S349" i="18"/>
  <c r="R349" i="18"/>
  <c r="Q349" i="18"/>
  <c r="P349" i="18"/>
  <c r="O349" i="18"/>
  <c r="N349" i="18"/>
  <c r="M349" i="18"/>
  <c r="L349" i="18"/>
  <c r="T348" i="18"/>
  <c r="S348" i="18"/>
  <c r="R348" i="18"/>
  <c r="Q348" i="18"/>
  <c r="P348" i="18"/>
  <c r="O348" i="18"/>
  <c r="N348" i="18"/>
  <c r="M348" i="18"/>
  <c r="L348" i="18"/>
  <c r="T347" i="18"/>
  <c r="S347" i="18"/>
  <c r="R347" i="18"/>
  <c r="Q347" i="18"/>
  <c r="P347" i="18"/>
  <c r="O347" i="18"/>
  <c r="N347" i="18"/>
  <c r="M347" i="18"/>
  <c r="L347" i="18"/>
  <c r="T346" i="18"/>
  <c r="S346" i="18"/>
  <c r="R346" i="18"/>
  <c r="Q346" i="18"/>
  <c r="P346" i="18"/>
  <c r="O346" i="18"/>
  <c r="N346" i="18"/>
  <c r="M346" i="18"/>
  <c r="L346" i="18"/>
  <c r="T345" i="18"/>
  <c r="S345" i="18"/>
  <c r="R345" i="18"/>
  <c r="Q345" i="18"/>
  <c r="P345" i="18"/>
  <c r="O345" i="18"/>
  <c r="N345" i="18"/>
  <c r="M345" i="18"/>
  <c r="L345" i="18"/>
  <c r="T344" i="18"/>
  <c r="S344" i="18"/>
  <c r="R344" i="18"/>
  <c r="Q344" i="18"/>
  <c r="P344" i="18"/>
  <c r="O344" i="18"/>
  <c r="N344" i="18"/>
  <c r="M344" i="18"/>
  <c r="L344" i="18"/>
  <c r="T343" i="18"/>
  <c r="S343" i="18"/>
  <c r="R343" i="18"/>
  <c r="Q343" i="18"/>
  <c r="P343" i="18"/>
  <c r="O343" i="18"/>
  <c r="N343" i="18"/>
  <c r="M343" i="18"/>
  <c r="L343" i="18"/>
  <c r="T342" i="18"/>
  <c r="S342" i="18"/>
  <c r="R342" i="18"/>
  <c r="Q342" i="18"/>
  <c r="P342" i="18"/>
  <c r="O342" i="18"/>
  <c r="N342" i="18"/>
  <c r="M342" i="18"/>
  <c r="L342" i="18"/>
  <c r="T341" i="18"/>
  <c r="S341" i="18"/>
  <c r="R341" i="18"/>
  <c r="Q341" i="18"/>
  <c r="P341" i="18"/>
  <c r="O341" i="18"/>
  <c r="N341" i="18"/>
  <c r="M341" i="18"/>
  <c r="L341" i="18"/>
  <c r="T340" i="18"/>
  <c r="S340" i="18"/>
  <c r="R340" i="18"/>
  <c r="Q340" i="18"/>
  <c r="P340" i="18"/>
  <c r="O340" i="18"/>
  <c r="N340" i="18"/>
  <c r="M340" i="18"/>
  <c r="L340" i="18"/>
  <c r="T339" i="18"/>
  <c r="S339" i="18"/>
  <c r="R339" i="18"/>
  <c r="Q339" i="18"/>
  <c r="P339" i="18"/>
  <c r="O339" i="18"/>
  <c r="N339" i="18"/>
  <c r="M339" i="18"/>
  <c r="L339" i="18"/>
  <c r="T338" i="18"/>
  <c r="S338" i="18"/>
  <c r="R338" i="18"/>
  <c r="Q338" i="18"/>
  <c r="P338" i="18"/>
  <c r="O338" i="18"/>
  <c r="N338" i="18"/>
  <c r="M338" i="18"/>
  <c r="L338" i="18"/>
  <c r="T337" i="18"/>
  <c r="S337" i="18"/>
  <c r="R337" i="18"/>
  <c r="Q337" i="18"/>
  <c r="P337" i="18"/>
  <c r="O337" i="18"/>
  <c r="N337" i="18"/>
  <c r="M337" i="18"/>
  <c r="L337" i="18"/>
  <c r="T336" i="18"/>
  <c r="S336" i="18"/>
  <c r="R336" i="18"/>
  <c r="Q336" i="18"/>
  <c r="P336" i="18"/>
  <c r="O336" i="18"/>
  <c r="N336" i="18"/>
  <c r="M336" i="18"/>
  <c r="L336" i="18"/>
  <c r="T335" i="18"/>
  <c r="S335" i="18"/>
  <c r="R335" i="18"/>
  <c r="Q335" i="18"/>
  <c r="P335" i="18"/>
  <c r="O335" i="18"/>
  <c r="N335" i="18"/>
  <c r="M335" i="18"/>
  <c r="L335" i="18"/>
  <c r="T334" i="18"/>
  <c r="S334" i="18"/>
  <c r="R334" i="18"/>
  <c r="Q334" i="18"/>
  <c r="P334" i="18"/>
  <c r="O334" i="18"/>
  <c r="N334" i="18"/>
  <c r="M334" i="18"/>
  <c r="L334" i="18"/>
  <c r="T333" i="18"/>
  <c r="S333" i="18"/>
  <c r="R333" i="18"/>
  <c r="Q333" i="18"/>
  <c r="P333" i="18"/>
  <c r="O333" i="18"/>
  <c r="N333" i="18"/>
  <c r="M333" i="18"/>
  <c r="L333" i="18"/>
  <c r="T332" i="18"/>
  <c r="S332" i="18"/>
  <c r="R332" i="18"/>
  <c r="Q332" i="18"/>
  <c r="P332" i="18"/>
  <c r="O332" i="18"/>
  <c r="N332" i="18"/>
  <c r="M332" i="18"/>
  <c r="L332" i="18"/>
  <c r="T331" i="18"/>
  <c r="S331" i="18"/>
  <c r="R331" i="18"/>
  <c r="Q331" i="18"/>
  <c r="P331" i="18"/>
  <c r="O331" i="18"/>
  <c r="N331" i="18"/>
  <c r="M331" i="18"/>
  <c r="L331" i="18"/>
  <c r="T330" i="18"/>
  <c r="S330" i="18"/>
  <c r="R330" i="18"/>
  <c r="Q330" i="18"/>
  <c r="P330" i="18"/>
  <c r="O330" i="18"/>
  <c r="N330" i="18"/>
  <c r="M330" i="18"/>
  <c r="L330" i="18"/>
  <c r="T329" i="18"/>
  <c r="S329" i="18"/>
  <c r="R329" i="18"/>
  <c r="Q329" i="18"/>
  <c r="P329" i="18"/>
  <c r="O329" i="18"/>
  <c r="N329" i="18"/>
  <c r="M329" i="18"/>
  <c r="L329" i="18"/>
  <c r="T328" i="18"/>
  <c r="S328" i="18"/>
  <c r="R328" i="18"/>
  <c r="Q328" i="18"/>
  <c r="P328" i="18"/>
  <c r="O328" i="18"/>
  <c r="N328" i="18"/>
  <c r="M328" i="18"/>
  <c r="L328" i="18"/>
  <c r="T327" i="18"/>
  <c r="S327" i="18"/>
  <c r="R327" i="18"/>
  <c r="Q327" i="18"/>
  <c r="P327" i="18"/>
  <c r="O327" i="18"/>
  <c r="N327" i="18"/>
  <c r="M327" i="18"/>
  <c r="L327" i="18"/>
  <c r="T326" i="18"/>
  <c r="S326" i="18"/>
  <c r="R326" i="18"/>
  <c r="Q326" i="18"/>
  <c r="P326" i="18"/>
  <c r="O326" i="18"/>
  <c r="N326" i="18"/>
  <c r="M326" i="18"/>
  <c r="L326" i="18"/>
  <c r="T325" i="18"/>
  <c r="S325" i="18"/>
  <c r="R325" i="18"/>
  <c r="Q325" i="18"/>
  <c r="P325" i="18"/>
  <c r="O325" i="18"/>
  <c r="N325" i="18"/>
  <c r="M325" i="18"/>
  <c r="L325" i="18"/>
  <c r="T324" i="18"/>
  <c r="S324" i="18"/>
  <c r="R324" i="18"/>
  <c r="Q324" i="18"/>
  <c r="P324" i="18"/>
  <c r="O324" i="18"/>
  <c r="N324" i="18"/>
  <c r="M324" i="18"/>
  <c r="L324" i="18"/>
  <c r="T323" i="18"/>
  <c r="S323" i="18"/>
  <c r="R323" i="18"/>
  <c r="Q323" i="18"/>
  <c r="P323" i="18"/>
  <c r="O323" i="18"/>
  <c r="N323" i="18"/>
  <c r="M323" i="18"/>
  <c r="L323" i="18"/>
  <c r="T322" i="18"/>
  <c r="S322" i="18"/>
  <c r="R322" i="18"/>
  <c r="Q322" i="18"/>
  <c r="P322" i="18"/>
  <c r="O322" i="18"/>
  <c r="N322" i="18"/>
  <c r="M322" i="18"/>
  <c r="L322" i="18"/>
  <c r="T321" i="18"/>
  <c r="S321" i="18"/>
  <c r="R321" i="18"/>
  <c r="Q321" i="18"/>
  <c r="P321" i="18"/>
  <c r="O321" i="18"/>
  <c r="N321" i="18"/>
  <c r="M321" i="18"/>
  <c r="L321" i="18"/>
  <c r="T320" i="18"/>
  <c r="S320" i="18"/>
  <c r="R320" i="18"/>
  <c r="Q320" i="18"/>
  <c r="P320" i="18"/>
  <c r="O320" i="18"/>
  <c r="N320" i="18"/>
  <c r="M320" i="18"/>
  <c r="L320" i="18"/>
  <c r="T319" i="18"/>
  <c r="S319" i="18"/>
  <c r="R319" i="18"/>
  <c r="Q319" i="18"/>
  <c r="P319" i="18"/>
  <c r="O319" i="18"/>
  <c r="N319" i="18"/>
  <c r="M319" i="18"/>
  <c r="L319" i="18"/>
  <c r="T318" i="18"/>
  <c r="S318" i="18"/>
  <c r="R318" i="18"/>
  <c r="Q318" i="18"/>
  <c r="P318" i="18"/>
  <c r="O318" i="18"/>
  <c r="N318" i="18"/>
  <c r="M318" i="18"/>
  <c r="L318" i="18"/>
  <c r="T317" i="18"/>
  <c r="S317" i="18"/>
  <c r="R317" i="18"/>
  <c r="Q317" i="18"/>
  <c r="P317" i="18"/>
  <c r="O317" i="18"/>
  <c r="N317" i="18"/>
  <c r="M317" i="18"/>
  <c r="L317" i="18"/>
  <c r="T316" i="18"/>
  <c r="S316" i="18"/>
  <c r="R316" i="18"/>
  <c r="Q316" i="18"/>
  <c r="P316" i="18"/>
  <c r="O316" i="18"/>
  <c r="N316" i="18"/>
  <c r="M316" i="18"/>
  <c r="L316" i="18"/>
  <c r="T315" i="18"/>
  <c r="S315" i="18"/>
  <c r="R315" i="18"/>
  <c r="Q315" i="18"/>
  <c r="P315" i="18"/>
  <c r="O315" i="18"/>
  <c r="N315" i="18"/>
  <c r="M315" i="18"/>
  <c r="L315" i="18"/>
  <c r="T314" i="18"/>
  <c r="S314" i="18"/>
  <c r="R314" i="18"/>
  <c r="Q314" i="18"/>
  <c r="P314" i="18"/>
  <c r="O314" i="18"/>
  <c r="N314" i="18"/>
  <c r="M314" i="18"/>
  <c r="L314" i="18"/>
  <c r="T313" i="18"/>
  <c r="S313" i="18"/>
  <c r="R313" i="18"/>
  <c r="Q313" i="18"/>
  <c r="P313" i="18"/>
  <c r="O313" i="18"/>
  <c r="N313" i="18"/>
  <c r="M313" i="18"/>
  <c r="L313" i="18"/>
  <c r="T312" i="18"/>
  <c r="S312" i="18"/>
  <c r="R312" i="18"/>
  <c r="Q312" i="18"/>
  <c r="P312" i="18"/>
  <c r="O312" i="18"/>
  <c r="N312" i="18"/>
  <c r="M312" i="18"/>
  <c r="L312" i="18"/>
  <c r="T311" i="18"/>
  <c r="S311" i="18"/>
  <c r="R311" i="18"/>
  <c r="Q311" i="18"/>
  <c r="P311" i="18"/>
  <c r="O311" i="18"/>
  <c r="N311" i="18"/>
  <c r="M311" i="18"/>
  <c r="L311" i="18"/>
  <c r="T310" i="18"/>
  <c r="S310" i="18"/>
  <c r="R310" i="18"/>
  <c r="Q310" i="18"/>
  <c r="P310" i="18"/>
  <c r="O310" i="18"/>
  <c r="N310" i="18"/>
  <c r="M310" i="18"/>
  <c r="L310" i="18"/>
  <c r="T309" i="18"/>
  <c r="S309" i="18"/>
  <c r="R309" i="18"/>
  <c r="Q309" i="18"/>
  <c r="P309" i="18"/>
  <c r="O309" i="18"/>
  <c r="N309" i="18"/>
  <c r="M309" i="18"/>
  <c r="L309" i="18"/>
  <c r="T308" i="18"/>
  <c r="S308" i="18"/>
  <c r="R308" i="18"/>
  <c r="Q308" i="18"/>
  <c r="P308" i="18"/>
  <c r="O308" i="18"/>
  <c r="N308" i="18"/>
  <c r="M308" i="18"/>
  <c r="L308" i="18"/>
  <c r="T307" i="18"/>
  <c r="S307" i="18"/>
  <c r="R307" i="18"/>
  <c r="Q307" i="18"/>
  <c r="P307" i="18"/>
  <c r="O307" i="18"/>
  <c r="N307" i="18"/>
  <c r="M307" i="18"/>
  <c r="L307" i="18"/>
  <c r="T306" i="18"/>
  <c r="S306" i="18"/>
  <c r="R306" i="18"/>
  <c r="Q306" i="18"/>
  <c r="P306" i="18"/>
  <c r="O306" i="18"/>
  <c r="N306" i="18"/>
  <c r="M306" i="18"/>
  <c r="L306" i="18"/>
  <c r="T305" i="18"/>
  <c r="S305" i="18"/>
  <c r="R305" i="18"/>
  <c r="Q305" i="18"/>
  <c r="P305" i="18"/>
  <c r="O305" i="18"/>
  <c r="N305" i="18"/>
  <c r="M305" i="18"/>
  <c r="L305" i="18"/>
  <c r="U305" i="18" s="1"/>
  <c r="T304" i="18"/>
  <c r="S304" i="18"/>
  <c r="R304" i="18"/>
  <c r="Q304" i="18"/>
  <c r="P304" i="18"/>
  <c r="O304" i="18"/>
  <c r="N304" i="18"/>
  <c r="M304" i="18"/>
  <c r="L304" i="18"/>
  <c r="T303" i="18"/>
  <c r="S303" i="18"/>
  <c r="R303" i="18"/>
  <c r="Q303" i="18"/>
  <c r="P303" i="18"/>
  <c r="O303" i="18"/>
  <c r="N303" i="18"/>
  <c r="M303" i="18"/>
  <c r="L303" i="18"/>
  <c r="T302" i="18"/>
  <c r="S302" i="18"/>
  <c r="R302" i="18"/>
  <c r="Q302" i="18"/>
  <c r="P302" i="18"/>
  <c r="O302" i="18"/>
  <c r="N302" i="18"/>
  <c r="M302" i="18"/>
  <c r="L302" i="18"/>
  <c r="T301" i="18"/>
  <c r="S301" i="18"/>
  <c r="R301" i="18"/>
  <c r="Q301" i="18"/>
  <c r="P301" i="18"/>
  <c r="O301" i="18"/>
  <c r="N301" i="18"/>
  <c r="M301" i="18"/>
  <c r="L301" i="18"/>
  <c r="T300" i="18"/>
  <c r="S300" i="18"/>
  <c r="R300" i="18"/>
  <c r="Q300" i="18"/>
  <c r="P300" i="18"/>
  <c r="O300" i="18"/>
  <c r="N300" i="18"/>
  <c r="M300" i="18"/>
  <c r="L300" i="18"/>
  <c r="T299" i="18"/>
  <c r="S299" i="18"/>
  <c r="R299" i="18"/>
  <c r="Q299" i="18"/>
  <c r="P299" i="18"/>
  <c r="O299" i="18"/>
  <c r="N299" i="18"/>
  <c r="M299" i="18"/>
  <c r="L299" i="18"/>
  <c r="T298" i="18"/>
  <c r="S298" i="18"/>
  <c r="R298" i="18"/>
  <c r="Q298" i="18"/>
  <c r="P298" i="18"/>
  <c r="O298" i="18"/>
  <c r="N298" i="18"/>
  <c r="M298" i="18"/>
  <c r="L298" i="18"/>
  <c r="T297" i="18"/>
  <c r="S297" i="18"/>
  <c r="R297" i="18"/>
  <c r="Q297" i="18"/>
  <c r="P297" i="18"/>
  <c r="O297" i="18"/>
  <c r="N297" i="18"/>
  <c r="M297" i="18"/>
  <c r="L297" i="18"/>
  <c r="T296" i="18"/>
  <c r="S296" i="18"/>
  <c r="R296" i="18"/>
  <c r="Q296" i="18"/>
  <c r="P296" i="18"/>
  <c r="O296" i="18"/>
  <c r="N296" i="18"/>
  <c r="M296" i="18"/>
  <c r="L296" i="18"/>
  <c r="T295" i="18"/>
  <c r="S295" i="18"/>
  <c r="R295" i="18"/>
  <c r="Q295" i="18"/>
  <c r="P295" i="18"/>
  <c r="O295" i="18"/>
  <c r="N295" i="18"/>
  <c r="M295" i="18"/>
  <c r="L295" i="18"/>
  <c r="T294" i="18"/>
  <c r="S294" i="18"/>
  <c r="R294" i="18"/>
  <c r="Q294" i="18"/>
  <c r="P294" i="18"/>
  <c r="O294" i="18"/>
  <c r="N294" i="18"/>
  <c r="M294" i="18"/>
  <c r="L294" i="18"/>
  <c r="T293" i="18"/>
  <c r="S293" i="18"/>
  <c r="R293" i="18"/>
  <c r="Q293" i="18"/>
  <c r="P293" i="18"/>
  <c r="O293" i="18"/>
  <c r="N293" i="18"/>
  <c r="M293" i="18"/>
  <c r="L293" i="18"/>
  <c r="T292" i="18"/>
  <c r="S292" i="18"/>
  <c r="R292" i="18"/>
  <c r="Q292" i="18"/>
  <c r="P292" i="18"/>
  <c r="O292" i="18"/>
  <c r="N292" i="18"/>
  <c r="M292" i="18"/>
  <c r="L292" i="18"/>
  <c r="T291" i="18"/>
  <c r="S291" i="18"/>
  <c r="R291" i="18"/>
  <c r="Q291" i="18"/>
  <c r="P291" i="18"/>
  <c r="O291" i="18"/>
  <c r="N291" i="18"/>
  <c r="M291" i="18"/>
  <c r="L291" i="18"/>
  <c r="T290" i="18"/>
  <c r="S290" i="18"/>
  <c r="R290" i="18"/>
  <c r="Q290" i="18"/>
  <c r="P290" i="18"/>
  <c r="O290" i="18"/>
  <c r="N290" i="18"/>
  <c r="M290" i="18"/>
  <c r="L290" i="18"/>
  <c r="T289" i="18"/>
  <c r="S289" i="18"/>
  <c r="R289" i="18"/>
  <c r="Q289" i="18"/>
  <c r="P289" i="18"/>
  <c r="O289" i="18"/>
  <c r="N289" i="18"/>
  <c r="M289" i="18"/>
  <c r="L289" i="18"/>
  <c r="T288" i="18"/>
  <c r="S288" i="18"/>
  <c r="R288" i="18"/>
  <c r="Q288" i="18"/>
  <c r="P288" i="18"/>
  <c r="O288" i="18"/>
  <c r="N288" i="18"/>
  <c r="M288" i="18"/>
  <c r="L288" i="18"/>
  <c r="T287" i="18"/>
  <c r="S287" i="18"/>
  <c r="R287" i="18"/>
  <c r="Q287" i="18"/>
  <c r="P287" i="18"/>
  <c r="O287" i="18"/>
  <c r="N287" i="18"/>
  <c r="M287" i="18"/>
  <c r="L287" i="18"/>
  <c r="T286" i="18"/>
  <c r="S286" i="18"/>
  <c r="R286" i="18"/>
  <c r="Q286" i="18"/>
  <c r="P286" i="18"/>
  <c r="O286" i="18"/>
  <c r="N286" i="18"/>
  <c r="M286" i="18"/>
  <c r="L286" i="18"/>
  <c r="T285" i="18"/>
  <c r="S285" i="18"/>
  <c r="R285" i="18"/>
  <c r="Q285" i="18"/>
  <c r="P285" i="18"/>
  <c r="O285" i="18"/>
  <c r="N285" i="18"/>
  <c r="M285" i="18"/>
  <c r="L285" i="18"/>
  <c r="T284" i="18"/>
  <c r="S284" i="18"/>
  <c r="R284" i="18"/>
  <c r="Q284" i="18"/>
  <c r="P284" i="18"/>
  <c r="O284" i="18"/>
  <c r="N284" i="18"/>
  <c r="M284" i="18"/>
  <c r="L284" i="18"/>
  <c r="T283" i="18"/>
  <c r="S283" i="18"/>
  <c r="R283" i="18"/>
  <c r="Q283" i="18"/>
  <c r="P283" i="18"/>
  <c r="O283" i="18"/>
  <c r="N283" i="18"/>
  <c r="M283" i="18"/>
  <c r="L283" i="18"/>
  <c r="T282" i="18"/>
  <c r="S282" i="18"/>
  <c r="R282" i="18"/>
  <c r="Q282" i="18"/>
  <c r="P282" i="18"/>
  <c r="O282" i="18"/>
  <c r="N282" i="18"/>
  <c r="M282" i="18"/>
  <c r="L282" i="18"/>
  <c r="T281" i="18"/>
  <c r="S281" i="18"/>
  <c r="R281" i="18"/>
  <c r="Q281" i="18"/>
  <c r="P281" i="18"/>
  <c r="O281" i="18"/>
  <c r="N281" i="18"/>
  <c r="M281" i="18"/>
  <c r="L281" i="18"/>
  <c r="U281" i="18" s="1"/>
  <c r="T280" i="18"/>
  <c r="S280" i="18"/>
  <c r="R280" i="18"/>
  <c r="Q280" i="18"/>
  <c r="P280" i="18"/>
  <c r="O280" i="18"/>
  <c r="N280" i="18"/>
  <c r="M280" i="18"/>
  <c r="U280" i="18" s="1"/>
  <c r="L280" i="18"/>
  <c r="T279" i="18"/>
  <c r="S279" i="18"/>
  <c r="R279" i="18"/>
  <c r="Q279" i="18"/>
  <c r="P279" i="18"/>
  <c r="O279" i="18"/>
  <c r="N279" i="18"/>
  <c r="M279" i="18"/>
  <c r="L279" i="18"/>
  <c r="T278" i="18"/>
  <c r="S278" i="18"/>
  <c r="R278" i="18"/>
  <c r="Q278" i="18"/>
  <c r="P278" i="18"/>
  <c r="O278" i="18"/>
  <c r="N278" i="18"/>
  <c r="M278" i="18"/>
  <c r="L278" i="18"/>
  <c r="T277" i="18"/>
  <c r="S277" i="18"/>
  <c r="R277" i="18"/>
  <c r="Q277" i="18"/>
  <c r="P277" i="18"/>
  <c r="O277" i="18"/>
  <c r="N277" i="18"/>
  <c r="M277" i="18"/>
  <c r="L277" i="18"/>
  <c r="T276" i="18"/>
  <c r="S276" i="18"/>
  <c r="R276" i="18"/>
  <c r="Q276" i="18"/>
  <c r="P276" i="18"/>
  <c r="O276" i="18"/>
  <c r="N276" i="18"/>
  <c r="M276" i="18"/>
  <c r="L276" i="18"/>
  <c r="T275" i="18"/>
  <c r="S275" i="18"/>
  <c r="R275" i="18"/>
  <c r="Q275" i="18"/>
  <c r="P275" i="18"/>
  <c r="O275" i="18"/>
  <c r="N275" i="18"/>
  <c r="M275" i="18"/>
  <c r="L275" i="18"/>
  <c r="T274" i="18"/>
  <c r="S274" i="18"/>
  <c r="R274" i="18"/>
  <c r="Q274" i="18"/>
  <c r="P274" i="18"/>
  <c r="O274" i="18"/>
  <c r="N274" i="18"/>
  <c r="M274" i="18"/>
  <c r="L274" i="18"/>
  <c r="T273" i="18"/>
  <c r="S273" i="18"/>
  <c r="R273" i="18"/>
  <c r="Q273" i="18"/>
  <c r="P273" i="18"/>
  <c r="O273" i="18"/>
  <c r="N273" i="18"/>
  <c r="M273" i="18"/>
  <c r="L273" i="18"/>
  <c r="T272" i="18"/>
  <c r="S272" i="18"/>
  <c r="R272" i="18"/>
  <c r="Q272" i="18"/>
  <c r="P272" i="18"/>
  <c r="O272" i="18"/>
  <c r="N272" i="18"/>
  <c r="M272" i="18"/>
  <c r="L272" i="18"/>
  <c r="T271" i="18"/>
  <c r="S271" i="18"/>
  <c r="R271" i="18"/>
  <c r="Q271" i="18"/>
  <c r="P271" i="18"/>
  <c r="O271" i="18"/>
  <c r="N271" i="18"/>
  <c r="M271" i="18"/>
  <c r="L271" i="18"/>
  <c r="T270" i="18"/>
  <c r="S270" i="18"/>
  <c r="R270" i="18"/>
  <c r="Q270" i="18"/>
  <c r="P270" i="18"/>
  <c r="O270" i="18"/>
  <c r="N270" i="18"/>
  <c r="M270" i="18"/>
  <c r="L270" i="18"/>
  <c r="T269" i="18"/>
  <c r="S269" i="18"/>
  <c r="R269" i="18"/>
  <c r="Q269" i="18"/>
  <c r="P269" i="18"/>
  <c r="O269" i="18"/>
  <c r="N269" i="18"/>
  <c r="M269" i="18"/>
  <c r="L269" i="18"/>
  <c r="T268" i="18"/>
  <c r="S268" i="18"/>
  <c r="R268" i="18"/>
  <c r="Q268" i="18"/>
  <c r="P268" i="18"/>
  <c r="O268" i="18"/>
  <c r="N268" i="18"/>
  <c r="M268" i="18"/>
  <c r="L268" i="18"/>
  <c r="T267" i="18"/>
  <c r="S267" i="18"/>
  <c r="R267" i="18"/>
  <c r="Q267" i="18"/>
  <c r="P267" i="18"/>
  <c r="O267" i="18"/>
  <c r="N267" i="18"/>
  <c r="M267" i="18"/>
  <c r="L267" i="18"/>
  <c r="T266" i="18"/>
  <c r="S266" i="18"/>
  <c r="R266" i="18"/>
  <c r="Q266" i="18"/>
  <c r="P266" i="18"/>
  <c r="O266" i="18"/>
  <c r="N266" i="18"/>
  <c r="M266" i="18"/>
  <c r="L266" i="18"/>
  <c r="T265" i="18"/>
  <c r="S265" i="18"/>
  <c r="R265" i="18"/>
  <c r="Q265" i="18"/>
  <c r="P265" i="18"/>
  <c r="O265" i="18"/>
  <c r="N265" i="18"/>
  <c r="M265" i="18"/>
  <c r="L265" i="18"/>
  <c r="T264" i="18"/>
  <c r="S264" i="18"/>
  <c r="R264" i="18"/>
  <c r="Q264" i="18"/>
  <c r="P264" i="18"/>
  <c r="O264" i="18"/>
  <c r="N264" i="18"/>
  <c r="M264" i="18"/>
  <c r="L264" i="18"/>
  <c r="T263" i="18"/>
  <c r="S263" i="18"/>
  <c r="R263" i="18"/>
  <c r="Q263" i="18"/>
  <c r="P263" i="18"/>
  <c r="O263" i="18"/>
  <c r="N263" i="18"/>
  <c r="M263" i="18"/>
  <c r="L263" i="18"/>
  <c r="T262" i="18"/>
  <c r="S262" i="18"/>
  <c r="R262" i="18"/>
  <c r="Q262" i="18"/>
  <c r="P262" i="18"/>
  <c r="O262" i="18"/>
  <c r="N262" i="18"/>
  <c r="M262" i="18"/>
  <c r="L262" i="18"/>
  <c r="T261" i="18"/>
  <c r="S261" i="18"/>
  <c r="R261" i="18"/>
  <c r="Q261" i="18"/>
  <c r="P261" i="18"/>
  <c r="O261" i="18"/>
  <c r="N261" i="18"/>
  <c r="M261" i="18"/>
  <c r="L261" i="18"/>
  <c r="T260" i="18"/>
  <c r="S260" i="18"/>
  <c r="R260" i="18"/>
  <c r="Q260" i="18"/>
  <c r="P260" i="18"/>
  <c r="O260" i="18"/>
  <c r="N260" i="18"/>
  <c r="M260" i="18"/>
  <c r="L260" i="18"/>
  <c r="T259" i="18"/>
  <c r="S259" i="18"/>
  <c r="R259" i="18"/>
  <c r="Q259" i="18"/>
  <c r="P259" i="18"/>
  <c r="O259" i="18"/>
  <c r="N259" i="18"/>
  <c r="M259" i="18"/>
  <c r="L259" i="18"/>
  <c r="T258" i="18"/>
  <c r="S258" i="18"/>
  <c r="R258" i="18"/>
  <c r="Q258" i="18"/>
  <c r="P258" i="18"/>
  <c r="O258" i="18"/>
  <c r="N258" i="18"/>
  <c r="M258" i="18"/>
  <c r="L258" i="18"/>
  <c r="T257" i="18"/>
  <c r="S257" i="18"/>
  <c r="R257" i="18"/>
  <c r="Q257" i="18"/>
  <c r="P257" i="18"/>
  <c r="O257" i="18"/>
  <c r="N257" i="18"/>
  <c r="M257" i="18"/>
  <c r="L257" i="18"/>
  <c r="T256" i="18"/>
  <c r="S256" i="18"/>
  <c r="R256" i="18"/>
  <c r="Q256" i="18"/>
  <c r="P256" i="18"/>
  <c r="O256" i="18"/>
  <c r="N256" i="18"/>
  <c r="M256" i="18"/>
  <c r="L256" i="18"/>
  <c r="T255" i="18"/>
  <c r="S255" i="18"/>
  <c r="R255" i="18"/>
  <c r="Q255" i="18"/>
  <c r="P255" i="18"/>
  <c r="O255" i="18"/>
  <c r="N255" i="18"/>
  <c r="M255" i="18"/>
  <c r="L255" i="18"/>
  <c r="T254" i="18"/>
  <c r="S254" i="18"/>
  <c r="R254" i="18"/>
  <c r="Q254" i="18"/>
  <c r="P254" i="18"/>
  <c r="O254" i="18"/>
  <c r="N254" i="18"/>
  <c r="M254" i="18"/>
  <c r="L254" i="18"/>
  <c r="T253" i="18"/>
  <c r="S253" i="18"/>
  <c r="R253" i="18"/>
  <c r="Q253" i="18"/>
  <c r="P253" i="18"/>
  <c r="O253" i="18"/>
  <c r="N253" i="18"/>
  <c r="M253" i="18"/>
  <c r="L253" i="18"/>
  <c r="T252" i="18"/>
  <c r="S252" i="18"/>
  <c r="R252" i="18"/>
  <c r="Q252" i="18"/>
  <c r="P252" i="18"/>
  <c r="O252" i="18"/>
  <c r="N252" i="18"/>
  <c r="M252" i="18"/>
  <c r="L252" i="18"/>
  <c r="T251" i="18"/>
  <c r="S251" i="18"/>
  <c r="R251" i="18"/>
  <c r="Q251" i="18"/>
  <c r="P251" i="18"/>
  <c r="O251" i="18"/>
  <c r="N251" i="18"/>
  <c r="M251" i="18"/>
  <c r="L251" i="18"/>
  <c r="T250" i="18"/>
  <c r="S250" i="18"/>
  <c r="R250" i="18"/>
  <c r="Q250" i="18"/>
  <c r="P250" i="18"/>
  <c r="O250" i="18"/>
  <c r="N250" i="18"/>
  <c r="M250" i="18"/>
  <c r="L250" i="18"/>
  <c r="T249" i="18"/>
  <c r="S249" i="18"/>
  <c r="R249" i="18"/>
  <c r="Q249" i="18"/>
  <c r="P249" i="18"/>
  <c r="O249" i="18"/>
  <c r="N249" i="18"/>
  <c r="M249" i="18"/>
  <c r="L249" i="18"/>
  <c r="T248" i="18"/>
  <c r="S248" i="18"/>
  <c r="R248" i="18"/>
  <c r="Q248" i="18"/>
  <c r="P248" i="18"/>
  <c r="O248" i="18"/>
  <c r="N248" i="18"/>
  <c r="M248" i="18"/>
  <c r="L248" i="18"/>
  <c r="T247" i="18"/>
  <c r="S247" i="18"/>
  <c r="R247" i="18"/>
  <c r="Q247" i="18"/>
  <c r="P247" i="18"/>
  <c r="O247" i="18"/>
  <c r="N247" i="18"/>
  <c r="M247" i="18"/>
  <c r="L247" i="18"/>
  <c r="T246" i="18"/>
  <c r="S246" i="18"/>
  <c r="R246" i="18"/>
  <c r="Q246" i="18"/>
  <c r="P246" i="18"/>
  <c r="O246" i="18"/>
  <c r="N246" i="18"/>
  <c r="M246" i="18"/>
  <c r="L246" i="18"/>
  <c r="T245" i="18"/>
  <c r="S245" i="18"/>
  <c r="R245" i="18"/>
  <c r="Q245" i="18"/>
  <c r="P245" i="18"/>
  <c r="O245" i="18"/>
  <c r="N245" i="18"/>
  <c r="M245" i="18"/>
  <c r="L245" i="18"/>
  <c r="T244" i="18"/>
  <c r="S244" i="18"/>
  <c r="R244" i="18"/>
  <c r="Q244" i="18"/>
  <c r="P244" i="18"/>
  <c r="O244" i="18"/>
  <c r="N244" i="18"/>
  <c r="M244" i="18"/>
  <c r="L244" i="18"/>
  <c r="T243" i="18"/>
  <c r="S243" i="18"/>
  <c r="R243" i="18"/>
  <c r="Q243" i="18"/>
  <c r="P243" i="18"/>
  <c r="O243" i="18"/>
  <c r="N243" i="18"/>
  <c r="M243" i="18"/>
  <c r="L243" i="18"/>
  <c r="T242" i="18"/>
  <c r="S242" i="18"/>
  <c r="R242" i="18"/>
  <c r="Q242" i="18"/>
  <c r="P242" i="18"/>
  <c r="O242" i="18"/>
  <c r="N242" i="18"/>
  <c r="M242" i="18"/>
  <c r="L242" i="18"/>
  <c r="T241" i="18"/>
  <c r="S241" i="18"/>
  <c r="R241" i="18"/>
  <c r="Q241" i="18"/>
  <c r="P241" i="18"/>
  <c r="O241" i="18"/>
  <c r="N241" i="18"/>
  <c r="M241" i="18"/>
  <c r="L241" i="18"/>
  <c r="T240" i="18"/>
  <c r="S240" i="18"/>
  <c r="R240" i="18"/>
  <c r="Q240" i="18"/>
  <c r="P240" i="18"/>
  <c r="O240" i="18"/>
  <c r="N240" i="18"/>
  <c r="M240" i="18"/>
  <c r="L240" i="18"/>
  <c r="T239" i="18"/>
  <c r="S239" i="18"/>
  <c r="R239" i="18"/>
  <c r="Q239" i="18"/>
  <c r="P239" i="18"/>
  <c r="O239" i="18"/>
  <c r="N239" i="18"/>
  <c r="M239" i="18"/>
  <c r="L239" i="18"/>
  <c r="T238" i="18"/>
  <c r="S238" i="18"/>
  <c r="R238" i="18"/>
  <c r="Q238" i="18"/>
  <c r="P238" i="18"/>
  <c r="O238" i="18"/>
  <c r="N238" i="18"/>
  <c r="M238" i="18"/>
  <c r="L238" i="18"/>
  <c r="T237" i="18"/>
  <c r="S237" i="18"/>
  <c r="R237" i="18"/>
  <c r="Q237" i="18"/>
  <c r="P237" i="18"/>
  <c r="O237" i="18"/>
  <c r="N237" i="18"/>
  <c r="M237" i="18"/>
  <c r="L237" i="18"/>
  <c r="T236" i="18"/>
  <c r="S236" i="18"/>
  <c r="R236" i="18"/>
  <c r="Q236" i="18"/>
  <c r="P236" i="18"/>
  <c r="O236" i="18"/>
  <c r="N236" i="18"/>
  <c r="M236" i="18"/>
  <c r="L236" i="18"/>
  <c r="T235" i="18"/>
  <c r="S235" i="18"/>
  <c r="R235" i="18"/>
  <c r="Q235" i="18"/>
  <c r="P235" i="18"/>
  <c r="O235" i="18"/>
  <c r="N235" i="18"/>
  <c r="M235" i="18"/>
  <c r="L235" i="18"/>
  <c r="T234" i="18"/>
  <c r="S234" i="18"/>
  <c r="R234" i="18"/>
  <c r="Q234" i="18"/>
  <c r="P234" i="18"/>
  <c r="O234" i="18"/>
  <c r="N234" i="18"/>
  <c r="M234" i="18"/>
  <c r="L234" i="18"/>
  <c r="T233" i="18"/>
  <c r="S233" i="18"/>
  <c r="R233" i="18"/>
  <c r="Q233" i="18"/>
  <c r="P233" i="18"/>
  <c r="O233" i="18"/>
  <c r="N233" i="18"/>
  <c r="M233" i="18"/>
  <c r="L233" i="18"/>
  <c r="T232" i="18"/>
  <c r="S232" i="18"/>
  <c r="R232" i="18"/>
  <c r="Q232" i="18"/>
  <c r="P232" i="18"/>
  <c r="O232" i="18"/>
  <c r="N232" i="18"/>
  <c r="M232" i="18"/>
  <c r="L232" i="18"/>
  <c r="T231" i="18"/>
  <c r="S231" i="18"/>
  <c r="R231" i="18"/>
  <c r="Q231" i="18"/>
  <c r="P231" i="18"/>
  <c r="O231" i="18"/>
  <c r="N231" i="18"/>
  <c r="M231" i="18"/>
  <c r="L231" i="18"/>
  <c r="T230" i="18"/>
  <c r="S230" i="18"/>
  <c r="R230" i="18"/>
  <c r="Q230" i="18"/>
  <c r="P230" i="18"/>
  <c r="O230" i="18"/>
  <c r="N230" i="18"/>
  <c r="M230" i="18"/>
  <c r="L230" i="18"/>
  <c r="T229" i="18"/>
  <c r="S229" i="18"/>
  <c r="R229" i="18"/>
  <c r="Q229" i="18"/>
  <c r="P229" i="18"/>
  <c r="O229" i="18"/>
  <c r="N229" i="18"/>
  <c r="M229" i="18"/>
  <c r="L229" i="18"/>
  <c r="T228" i="18"/>
  <c r="S228" i="18"/>
  <c r="R228" i="18"/>
  <c r="Q228" i="18"/>
  <c r="P228" i="18"/>
  <c r="O228" i="18"/>
  <c r="N228" i="18"/>
  <c r="M228" i="18"/>
  <c r="L228" i="18"/>
  <c r="T227" i="18"/>
  <c r="S227" i="18"/>
  <c r="R227" i="18"/>
  <c r="Q227" i="18"/>
  <c r="P227" i="18"/>
  <c r="O227" i="18"/>
  <c r="N227" i="18"/>
  <c r="M227" i="18"/>
  <c r="L227" i="18"/>
  <c r="T226" i="18"/>
  <c r="S226" i="18"/>
  <c r="R226" i="18"/>
  <c r="Q226" i="18"/>
  <c r="P226" i="18"/>
  <c r="O226" i="18"/>
  <c r="N226" i="18"/>
  <c r="M226" i="18"/>
  <c r="L226" i="18"/>
  <c r="T225" i="18"/>
  <c r="S225" i="18"/>
  <c r="R225" i="18"/>
  <c r="Q225" i="18"/>
  <c r="P225" i="18"/>
  <c r="O225" i="18"/>
  <c r="N225" i="18"/>
  <c r="M225" i="18"/>
  <c r="L225" i="18"/>
  <c r="T224" i="18"/>
  <c r="S224" i="18"/>
  <c r="R224" i="18"/>
  <c r="Q224" i="18"/>
  <c r="P224" i="18"/>
  <c r="O224" i="18"/>
  <c r="N224" i="18"/>
  <c r="M224" i="18"/>
  <c r="L224" i="18"/>
  <c r="T223" i="18"/>
  <c r="S223" i="18"/>
  <c r="R223" i="18"/>
  <c r="Q223" i="18"/>
  <c r="P223" i="18"/>
  <c r="O223" i="18"/>
  <c r="N223" i="18"/>
  <c r="M223" i="18"/>
  <c r="L223" i="18"/>
  <c r="T222" i="18"/>
  <c r="S222" i="18"/>
  <c r="R222" i="18"/>
  <c r="Q222" i="18"/>
  <c r="P222" i="18"/>
  <c r="O222" i="18"/>
  <c r="N222" i="18"/>
  <c r="M222" i="18"/>
  <c r="L222" i="18"/>
  <c r="T221" i="18"/>
  <c r="S221" i="18"/>
  <c r="R221" i="18"/>
  <c r="Q221" i="18"/>
  <c r="P221" i="18"/>
  <c r="O221" i="18"/>
  <c r="N221" i="18"/>
  <c r="M221" i="18"/>
  <c r="L221" i="18"/>
  <c r="T220" i="18"/>
  <c r="S220" i="18"/>
  <c r="R220" i="18"/>
  <c r="Q220" i="18"/>
  <c r="P220" i="18"/>
  <c r="O220" i="18"/>
  <c r="N220" i="18"/>
  <c r="M220" i="18"/>
  <c r="L220" i="18"/>
  <c r="T219" i="18"/>
  <c r="S219" i="18"/>
  <c r="R219" i="18"/>
  <c r="Q219" i="18"/>
  <c r="P219" i="18"/>
  <c r="O219" i="18"/>
  <c r="N219" i="18"/>
  <c r="M219" i="18"/>
  <c r="L219" i="18"/>
  <c r="T218" i="18"/>
  <c r="S218" i="18"/>
  <c r="R218" i="18"/>
  <c r="Q218" i="18"/>
  <c r="P218" i="18"/>
  <c r="O218" i="18"/>
  <c r="N218" i="18"/>
  <c r="M218" i="18"/>
  <c r="L218" i="18"/>
  <c r="T217" i="18"/>
  <c r="S217" i="18"/>
  <c r="R217" i="18"/>
  <c r="Q217" i="18"/>
  <c r="P217" i="18"/>
  <c r="O217" i="18"/>
  <c r="N217" i="18"/>
  <c r="M217" i="18"/>
  <c r="L217" i="18"/>
  <c r="T216" i="18"/>
  <c r="S216" i="18"/>
  <c r="R216" i="18"/>
  <c r="Q216" i="18"/>
  <c r="P216" i="18"/>
  <c r="O216" i="18"/>
  <c r="N216" i="18"/>
  <c r="M216" i="18"/>
  <c r="L216" i="18"/>
  <c r="T215" i="18"/>
  <c r="S215" i="18"/>
  <c r="R215" i="18"/>
  <c r="Q215" i="18"/>
  <c r="P215" i="18"/>
  <c r="O215" i="18"/>
  <c r="N215" i="18"/>
  <c r="M215" i="18"/>
  <c r="L215" i="18"/>
  <c r="T214" i="18"/>
  <c r="S214" i="18"/>
  <c r="R214" i="18"/>
  <c r="Q214" i="18"/>
  <c r="P214" i="18"/>
  <c r="O214" i="18"/>
  <c r="N214" i="18"/>
  <c r="M214" i="18"/>
  <c r="L214" i="18"/>
  <c r="T213" i="18"/>
  <c r="S213" i="18"/>
  <c r="R213" i="18"/>
  <c r="Q213" i="18"/>
  <c r="P213" i="18"/>
  <c r="O213" i="18"/>
  <c r="N213" i="18"/>
  <c r="M213" i="18"/>
  <c r="L213" i="18"/>
  <c r="T212" i="18"/>
  <c r="S212" i="18"/>
  <c r="R212" i="18"/>
  <c r="Q212" i="18"/>
  <c r="P212" i="18"/>
  <c r="O212" i="18"/>
  <c r="N212" i="18"/>
  <c r="M212" i="18"/>
  <c r="L212" i="18"/>
  <c r="T211" i="18"/>
  <c r="S211" i="18"/>
  <c r="R211" i="18"/>
  <c r="Q211" i="18"/>
  <c r="P211" i="18"/>
  <c r="O211" i="18"/>
  <c r="N211" i="18"/>
  <c r="M211" i="18"/>
  <c r="L211" i="18"/>
  <c r="T210" i="18"/>
  <c r="S210" i="18"/>
  <c r="R210" i="18"/>
  <c r="Q210" i="18"/>
  <c r="P210" i="18"/>
  <c r="O210" i="18"/>
  <c r="N210" i="18"/>
  <c r="M210" i="18"/>
  <c r="L210" i="18"/>
  <c r="T209" i="18"/>
  <c r="S209" i="18"/>
  <c r="R209" i="18"/>
  <c r="Q209" i="18"/>
  <c r="P209" i="18"/>
  <c r="O209" i="18"/>
  <c r="N209" i="18"/>
  <c r="M209" i="18"/>
  <c r="L209" i="18"/>
  <c r="T208" i="18"/>
  <c r="S208" i="18"/>
  <c r="R208" i="18"/>
  <c r="Q208" i="18"/>
  <c r="P208" i="18"/>
  <c r="O208" i="18"/>
  <c r="N208" i="18"/>
  <c r="M208" i="18"/>
  <c r="L208" i="18"/>
  <c r="T207" i="18"/>
  <c r="S207" i="18"/>
  <c r="R207" i="18"/>
  <c r="Q207" i="18"/>
  <c r="P207" i="18"/>
  <c r="O207" i="18"/>
  <c r="N207" i="18"/>
  <c r="M207" i="18"/>
  <c r="L207" i="18"/>
  <c r="T206" i="18"/>
  <c r="S206" i="18"/>
  <c r="R206" i="18"/>
  <c r="Q206" i="18"/>
  <c r="P206" i="18"/>
  <c r="O206" i="18"/>
  <c r="N206" i="18"/>
  <c r="M206" i="18"/>
  <c r="L206" i="18"/>
  <c r="T205" i="18"/>
  <c r="S205" i="18"/>
  <c r="R205" i="18"/>
  <c r="Q205" i="18"/>
  <c r="P205" i="18"/>
  <c r="O205" i="18"/>
  <c r="N205" i="18"/>
  <c r="M205" i="18"/>
  <c r="L205" i="18"/>
  <c r="T204" i="18"/>
  <c r="S204" i="18"/>
  <c r="R204" i="18"/>
  <c r="Q204" i="18"/>
  <c r="P204" i="18"/>
  <c r="O204" i="18"/>
  <c r="N204" i="18"/>
  <c r="M204" i="18"/>
  <c r="L204" i="18"/>
  <c r="T203" i="18"/>
  <c r="S203" i="18"/>
  <c r="R203" i="18"/>
  <c r="Q203" i="18"/>
  <c r="P203" i="18"/>
  <c r="O203" i="18"/>
  <c r="N203" i="18"/>
  <c r="M203" i="18"/>
  <c r="L203" i="18"/>
  <c r="T202" i="18"/>
  <c r="S202" i="18"/>
  <c r="R202" i="18"/>
  <c r="Q202" i="18"/>
  <c r="P202" i="18"/>
  <c r="O202" i="18"/>
  <c r="N202" i="18"/>
  <c r="M202" i="18"/>
  <c r="L202" i="18"/>
  <c r="T201" i="18"/>
  <c r="S201" i="18"/>
  <c r="R201" i="18"/>
  <c r="Q201" i="18"/>
  <c r="P201" i="18"/>
  <c r="O201" i="18"/>
  <c r="N201" i="18"/>
  <c r="M201" i="18"/>
  <c r="L201" i="18"/>
  <c r="T200" i="18"/>
  <c r="S200" i="18"/>
  <c r="R200" i="18"/>
  <c r="Q200" i="18"/>
  <c r="P200" i="18"/>
  <c r="O200" i="18"/>
  <c r="N200" i="18"/>
  <c r="M200" i="18"/>
  <c r="L200" i="18"/>
  <c r="T199" i="18"/>
  <c r="S199" i="18"/>
  <c r="R199" i="18"/>
  <c r="Q199" i="18"/>
  <c r="P199" i="18"/>
  <c r="O199" i="18"/>
  <c r="N199" i="18"/>
  <c r="M199" i="18"/>
  <c r="L199" i="18"/>
  <c r="T198" i="18"/>
  <c r="S198" i="18"/>
  <c r="R198" i="18"/>
  <c r="Q198" i="18"/>
  <c r="P198" i="18"/>
  <c r="O198" i="18"/>
  <c r="N198" i="18"/>
  <c r="M198" i="18"/>
  <c r="L198" i="18"/>
  <c r="T197" i="18"/>
  <c r="S197" i="18"/>
  <c r="R197" i="18"/>
  <c r="Q197" i="18"/>
  <c r="P197" i="18"/>
  <c r="O197" i="18"/>
  <c r="N197" i="18"/>
  <c r="M197" i="18"/>
  <c r="L197" i="18"/>
  <c r="T196" i="18"/>
  <c r="S196" i="18"/>
  <c r="R196" i="18"/>
  <c r="Q196" i="18"/>
  <c r="P196" i="18"/>
  <c r="O196" i="18"/>
  <c r="N196" i="18"/>
  <c r="M196" i="18"/>
  <c r="L196" i="18"/>
  <c r="T195" i="18"/>
  <c r="S195" i="18"/>
  <c r="R195" i="18"/>
  <c r="Q195" i="18"/>
  <c r="P195" i="18"/>
  <c r="O195" i="18"/>
  <c r="N195" i="18"/>
  <c r="M195" i="18"/>
  <c r="L195" i="18"/>
  <c r="T194" i="18"/>
  <c r="S194" i="18"/>
  <c r="R194" i="18"/>
  <c r="Q194" i="18"/>
  <c r="P194" i="18"/>
  <c r="O194" i="18"/>
  <c r="N194" i="18"/>
  <c r="M194" i="18"/>
  <c r="L194" i="18"/>
  <c r="T193" i="18"/>
  <c r="S193" i="18"/>
  <c r="R193" i="18"/>
  <c r="Q193" i="18"/>
  <c r="P193" i="18"/>
  <c r="O193" i="18"/>
  <c r="N193" i="18"/>
  <c r="M193" i="18"/>
  <c r="L193" i="18"/>
  <c r="T192" i="18"/>
  <c r="S192" i="18"/>
  <c r="R192" i="18"/>
  <c r="Q192" i="18"/>
  <c r="P192" i="18"/>
  <c r="O192" i="18"/>
  <c r="N192" i="18"/>
  <c r="M192" i="18"/>
  <c r="L192" i="18"/>
  <c r="T191" i="18"/>
  <c r="S191" i="18"/>
  <c r="R191" i="18"/>
  <c r="Q191" i="18"/>
  <c r="P191" i="18"/>
  <c r="O191" i="18"/>
  <c r="N191" i="18"/>
  <c r="M191" i="18"/>
  <c r="L191" i="18"/>
  <c r="T190" i="18"/>
  <c r="S190" i="18"/>
  <c r="R190" i="18"/>
  <c r="Q190" i="18"/>
  <c r="P190" i="18"/>
  <c r="O190" i="18"/>
  <c r="N190" i="18"/>
  <c r="M190" i="18"/>
  <c r="L190" i="18"/>
  <c r="T189" i="18"/>
  <c r="S189" i="18"/>
  <c r="R189" i="18"/>
  <c r="Q189" i="18"/>
  <c r="P189" i="18"/>
  <c r="O189" i="18"/>
  <c r="N189" i="18"/>
  <c r="M189" i="18"/>
  <c r="L189" i="18"/>
  <c r="T188" i="18"/>
  <c r="S188" i="18"/>
  <c r="R188" i="18"/>
  <c r="Q188" i="18"/>
  <c r="P188" i="18"/>
  <c r="O188" i="18"/>
  <c r="N188" i="18"/>
  <c r="M188" i="18"/>
  <c r="L188" i="18"/>
  <c r="T187" i="18"/>
  <c r="S187" i="18"/>
  <c r="R187" i="18"/>
  <c r="Q187" i="18"/>
  <c r="P187" i="18"/>
  <c r="O187" i="18"/>
  <c r="N187" i="18"/>
  <c r="M187" i="18"/>
  <c r="L187" i="18"/>
  <c r="T186" i="18"/>
  <c r="S186" i="18"/>
  <c r="R186" i="18"/>
  <c r="Q186" i="18"/>
  <c r="P186" i="18"/>
  <c r="O186" i="18"/>
  <c r="N186" i="18"/>
  <c r="M186" i="18"/>
  <c r="L186" i="18"/>
  <c r="T185" i="18"/>
  <c r="S185" i="18"/>
  <c r="R185" i="18"/>
  <c r="Q185" i="18"/>
  <c r="P185" i="18"/>
  <c r="O185" i="18"/>
  <c r="N185" i="18"/>
  <c r="M185" i="18"/>
  <c r="L185" i="18"/>
  <c r="U185" i="18" s="1"/>
  <c r="T184" i="18"/>
  <c r="S184" i="18"/>
  <c r="R184" i="18"/>
  <c r="Q184" i="18"/>
  <c r="P184" i="18"/>
  <c r="O184" i="18"/>
  <c r="N184" i="18"/>
  <c r="M184" i="18"/>
  <c r="L184" i="18"/>
  <c r="T183" i="18"/>
  <c r="S183" i="18"/>
  <c r="R183" i="18"/>
  <c r="Q183" i="18"/>
  <c r="P183" i="18"/>
  <c r="O183" i="18"/>
  <c r="N183" i="18"/>
  <c r="M183" i="18"/>
  <c r="L183" i="18"/>
  <c r="T182" i="18"/>
  <c r="S182" i="18"/>
  <c r="R182" i="18"/>
  <c r="Q182" i="18"/>
  <c r="P182" i="18"/>
  <c r="O182" i="18"/>
  <c r="N182" i="18"/>
  <c r="M182" i="18"/>
  <c r="L182" i="18"/>
  <c r="T181" i="18"/>
  <c r="S181" i="18"/>
  <c r="R181" i="18"/>
  <c r="Q181" i="18"/>
  <c r="P181" i="18"/>
  <c r="O181" i="18"/>
  <c r="N181" i="18"/>
  <c r="M181" i="18"/>
  <c r="L181" i="18"/>
  <c r="T180" i="18"/>
  <c r="S180" i="18"/>
  <c r="R180" i="18"/>
  <c r="Q180" i="18"/>
  <c r="P180" i="18"/>
  <c r="O180" i="18"/>
  <c r="N180" i="18"/>
  <c r="M180" i="18"/>
  <c r="L180" i="18"/>
  <c r="T179" i="18"/>
  <c r="S179" i="18"/>
  <c r="R179" i="18"/>
  <c r="Q179" i="18"/>
  <c r="P179" i="18"/>
  <c r="O179" i="18"/>
  <c r="N179" i="18"/>
  <c r="M179" i="18"/>
  <c r="L179" i="18"/>
  <c r="T178" i="18"/>
  <c r="S178" i="18"/>
  <c r="R178" i="18"/>
  <c r="Q178" i="18"/>
  <c r="P178" i="18"/>
  <c r="O178" i="18"/>
  <c r="N178" i="18"/>
  <c r="M178" i="18"/>
  <c r="L178" i="18"/>
  <c r="T177" i="18"/>
  <c r="S177" i="18"/>
  <c r="R177" i="18"/>
  <c r="Q177" i="18"/>
  <c r="P177" i="18"/>
  <c r="O177" i="18"/>
  <c r="N177" i="18"/>
  <c r="M177" i="18"/>
  <c r="L177" i="18"/>
  <c r="T176" i="18"/>
  <c r="S176" i="18"/>
  <c r="R176" i="18"/>
  <c r="Q176" i="18"/>
  <c r="P176" i="18"/>
  <c r="O176" i="18"/>
  <c r="N176" i="18"/>
  <c r="M176" i="18"/>
  <c r="L176" i="18"/>
  <c r="T175" i="18"/>
  <c r="S175" i="18"/>
  <c r="R175" i="18"/>
  <c r="Q175" i="18"/>
  <c r="P175" i="18"/>
  <c r="O175" i="18"/>
  <c r="N175" i="18"/>
  <c r="M175" i="18"/>
  <c r="L175" i="18"/>
  <c r="T174" i="18"/>
  <c r="S174" i="18"/>
  <c r="R174" i="18"/>
  <c r="Q174" i="18"/>
  <c r="P174" i="18"/>
  <c r="O174" i="18"/>
  <c r="N174" i="18"/>
  <c r="M174" i="18"/>
  <c r="L174" i="18"/>
  <c r="T173" i="18"/>
  <c r="S173" i="18"/>
  <c r="R173" i="18"/>
  <c r="Q173" i="18"/>
  <c r="P173" i="18"/>
  <c r="O173" i="18"/>
  <c r="N173" i="18"/>
  <c r="M173" i="18"/>
  <c r="L173" i="18"/>
  <c r="T172" i="18"/>
  <c r="S172" i="18"/>
  <c r="R172" i="18"/>
  <c r="Q172" i="18"/>
  <c r="P172" i="18"/>
  <c r="O172" i="18"/>
  <c r="N172" i="18"/>
  <c r="M172" i="18"/>
  <c r="L172" i="18"/>
  <c r="T171" i="18"/>
  <c r="S171" i="18"/>
  <c r="R171" i="18"/>
  <c r="Q171" i="18"/>
  <c r="P171" i="18"/>
  <c r="O171" i="18"/>
  <c r="N171" i="18"/>
  <c r="M171" i="18"/>
  <c r="L171" i="18"/>
  <c r="T170" i="18"/>
  <c r="S170" i="18"/>
  <c r="R170" i="18"/>
  <c r="Q170" i="18"/>
  <c r="P170" i="18"/>
  <c r="O170" i="18"/>
  <c r="N170" i="18"/>
  <c r="M170" i="18"/>
  <c r="L170" i="18"/>
  <c r="T169" i="18"/>
  <c r="S169" i="18"/>
  <c r="R169" i="18"/>
  <c r="Q169" i="18"/>
  <c r="P169" i="18"/>
  <c r="O169" i="18"/>
  <c r="N169" i="18"/>
  <c r="M169" i="18"/>
  <c r="L169" i="18"/>
  <c r="T168" i="18"/>
  <c r="S168" i="18"/>
  <c r="R168" i="18"/>
  <c r="Q168" i="18"/>
  <c r="P168" i="18"/>
  <c r="O168" i="18"/>
  <c r="N168" i="18"/>
  <c r="M168" i="18"/>
  <c r="L168" i="18"/>
  <c r="T167" i="18"/>
  <c r="S167" i="18"/>
  <c r="R167" i="18"/>
  <c r="Q167" i="18"/>
  <c r="P167" i="18"/>
  <c r="O167" i="18"/>
  <c r="N167" i="18"/>
  <c r="M167" i="18"/>
  <c r="L167" i="18"/>
  <c r="T166" i="18"/>
  <c r="S166" i="18"/>
  <c r="R166" i="18"/>
  <c r="Q166" i="18"/>
  <c r="P166" i="18"/>
  <c r="O166" i="18"/>
  <c r="N166" i="18"/>
  <c r="M166" i="18"/>
  <c r="L166" i="18"/>
  <c r="T165" i="18"/>
  <c r="S165" i="18"/>
  <c r="R165" i="18"/>
  <c r="Q165" i="18"/>
  <c r="P165" i="18"/>
  <c r="O165" i="18"/>
  <c r="N165" i="18"/>
  <c r="M165" i="18"/>
  <c r="L165" i="18"/>
  <c r="T164" i="18"/>
  <c r="S164" i="18"/>
  <c r="R164" i="18"/>
  <c r="Q164" i="18"/>
  <c r="P164" i="18"/>
  <c r="O164" i="18"/>
  <c r="N164" i="18"/>
  <c r="M164" i="18"/>
  <c r="L164" i="18"/>
  <c r="T163" i="18"/>
  <c r="S163" i="18"/>
  <c r="R163" i="18"/>
  <c r="Q163" i="18"/>
  <c r="P163" i="18"/>
  <c r="O163" i="18"/>
  <c r="N163" i="18"/>
  <c r="M163" i="18"/>
  <c r="L163" i="18"/>
  <c r="T162" i="18"/>
  <c r="S162" i="18"/>
  <c r="R162" i="18"/>
  <c r="Q162" i="18"/>
  <c r="P162" i="18"/>
  <c r="O162" i="18"/>
  <c r="N162" i="18"/>
  <c r="M162" i="18"/>
  <c r="L162" i="18"/>
  <c r="T161" i="18"/>
  <c r="S161" i="18"/>
  <c r="R161" i="18"/>
  <c r="Q161" i="18"/>
  <c r="P161" i="18"/>
  <c r="O161" i="18"/>
  <c r="N161" i="18"/>
  <c r="M161" i="18"/>
  <c r="L161" i="18"/>
  <c r="T160" i="18"/>
  <c r="S160" i="18"/>
  <c r="R160" i="18"/>
  <c r="Q160" i="18"/>
  <c r="P160" i="18"/>
  <c r="O160" i="18"/>
  <c r="N160" i="18"/>
  <c r="M160" i="18"/>
  <c r="L160" i="18"/>
  <c r="T159" i="18"/>
  <c r="S159" i="18"/>
  <c r="R159" i="18"/>
  <c r="Q159" i="18"/>
  <c r="P159" i="18"/>
  <c r="O159" i="18"/>
  <c r="N159" i="18"/>
  <c r="M159" i="18"/>
  <c r="L159" i="18"/>
  <c r="T158" i="18"/>
  <c r="S158" i="18"/>
  <c r="R158" i="18"/>
  <c r="Q158" i="18"/>
  <c r="P158" i="18"/>
  <c r="O158" i="18"/>
  <c r="N158" i="18"/>
  <c r="M158" i="18"/>
  <c r="L158" i="18"/>
  <c r="T157" i="18"/>
  <c r="S157" i="18"/>
  <c r="R157" i="18"/>
  <c r="Q157" i="18"/>
  <c r="P157" i="18"/>
  <c r="O157" i="18"/>
  <c r="N157" i="18"/>
  <c r="M157" i="18"/>
  <c r="L157" i="18"/>
  <c r="T156" i="18"/>
  <c r="S156" i="18"/>
  <c r="R156" i="18"/>
  <c r="Q156" i="18"/>
  <c r="P156" i="18"/>
  <c r="O156" i="18"/>
  <c r="N156" i="18"/>
  <c r="M156" i="18"/>
  <c r="L156" i="18"/>
  <c r="T155" i="18"/>
  <c r="S155" i="18"/>
  <c r="R155" i="18"/>
  <c r="Q155" i="18"/>
  <c r="P155" i="18"/>
  <c r="O155" i="18"/>
  <c r="N155" i="18"/>
  <c r="M155" i="18"/>
  <c r="L155" i="18"/>
  <c r="T154" i="18"/>
  <c r="S154" i="18"/>
  <c r="R154" i="18"/>
  <c r="Q154" i="18"/>
  <c r="P154" i="18"/>
  <c r="O154" i="18"/>
  <c r="N154" i="18"/>
  <c r="M154" i="18"/>
  <c r="L154" i="18"/>
  <c r="T153" i="18"/>
  <c r="S153" i="18"/>
  <c r="R153" i="18"/>
  <c r="Q153" i="18"/>
  <c r="P153" i="18"/>
  <c r="O153" i="18"/>
  <c r="N153" i="18"/>
  <c r="M153" i="18"/>
  <c r="L153" i="18"/>
  <c r="U153" i="18" s="1"/>
  <c r="T152" i="18"/>
  <c r="S152" i="18"/>
  <c r="R152" i="18"/>
  <c r="Q152" i="18"/>
  <c r="P152" i="18"/>
  <c r="O152" i="18"/>
  <c r="N152" i="18"/>
  <c r="M152" i="18"/>
  <c r="L152" i="18"/>
  <c r="T151" i="18"/>
  <c r="S151" i="18"/>
  <c r="R151" i="18"/>
  <c r="Q151" i="18"/>
  <c r="P151" i="18"/>
  <c r="O151" i="18"/>
  <c r="N151" i="18"/>
  <c r="M151" i="18"/>
  <c r="L151" i="18"/>
  <c r="T150" i="18"/>
  <c r="S150" i="18"/>
  <c r="R150" i="18"/>
  <c r="Q150" i="18"/>
  <c r="P150" i="18"/>
  <c r="O150" i="18"/>
  <c r="N150" i="18"/>
  <c r="M150" i="18"/>
  <c r="L150" i="18"/>
  <c r="T149" i="18"/>
  <c r="S149" i="18"/>
  <c r="R149" i="18"/>
  <c r="Q149" i="18"/>
  <c r="P149" i="18"/>
  <c r="O149" i="18"/>
  <c r="N149" i="18"/>
  <c r="M149" i="18"/>
  <c r="L149" i="18"/>
  <c r="T148" i="18"/>
  <c r="S148" i="18"/>
  <c r="R148" i="18"/>
  <c r="Q148" i="18"/>
  <c r="P148" i="18"/>
  <c r="O148" i="18"/>
  <c r="N148" i="18"/>
  <c r="M148" i="18"/>
  <c r="L148" i="18"/>
  <c r="T147" i="18"/>
  <c r="S147" i="18"/>
  <c r="R147" i="18"/>
  <c r="Q147" i="18"/>
  <c r="P147" i="18"/>
  <c r="O147" i="18"/>
  <c r="N147" i="18"/>
  <c r="M147" i="18"/>
  <c r="L147" i="18"/>
  <c r="T146" i="18"/>
  <c r="S146" i="18"/>
  <c r="R146" i="18"/>
  <c r="Q146" i="18"/>
  <c r="P146" i="18"/>
  <c r="O146" i="18"/>
  <c r="N146" i="18"/>
  <c r="M146" i="18"/>
  <c r="L146" i="18"/>
  <c r="T145" i="18"/>
  <c r="S145" i="18"/>
  <c r="R145" i="18"/>
  <c r="Q145" i="18"/>
  <c r="P145" i="18"/>
  <c r="O145" i="18"/>
  <c r="N145" i="18"/>
  <c r="M145" i="18"/>
  <c r="L145" i="18"/>
  <c r="T144" i="18"/>
  <c r="S144" i="18"/>
  <c r="R144" i="18"/>
  <c r="Q144" i="18"/>
  <c r="P144" i="18"/>
  <c r="O144" i="18"/>
  <c r="N144" i="18"/>
  <c r="M144" i="18"/>
  <c r="L144" i="18"/>
  <c r="T143" i="18"/>
  <c r="S143" i="18"/>
  <c r="R143" i="18"/>
  <c r="Q143" i="18"/>
  <c r="P143" i="18"/>
  <c r="O143" i="18"/>
  <c r="N143" i="18"/>
  <c r="M143" i="18"/>
  <c r="L143" i="18"/>
  <c r="T142" i="18"/>
  <c r="S142" i="18"/>
  <c r="R142" i="18"/>
  <c r="Q142" i="18"/>
  <c r="P142" i="18"/>
  <c r="O142" i="18"/>
  <c r="N142" i="18"/>
  <c r="M142" i="18"/>
  <c r="L142" i="18"/>
  <c r="T141" i="18"/>
  <c r="S141" i="18"/>
  <c r="R141" i="18"/>
  <c r="Q141" i="18"/>
  <c r="P141" i="18"/>
  <c r="O141" i="18"/>
  <c r="N141" i="18"/>
  <c r="M141" i="18"/>
  <c r="L141" i="18"/>
  <c r="T140" i="18"/>
  <c r="S140" i="18"/>
  <c r="R140" i="18"/>
  <c r="Q140" i="18"/>
  <c r="P140" i="18"/>
  <c r="O140" i="18"/>
  <c r="N140" i="18"/>
  <c r="M140" i="18"/>
  <c r="L140" i="18"/>
  <c r="T139" i="18"/>
  <c r="S139" i="18"/>
  <c r="R139" i="18"/>
  <c r="Q139" i="18"/>
  <c r="P139" i="18"/>
  <c r="O139" i="18"/>
  <c r="N139" i="18"/>
  <c r="M139" i="18"/>
  <c r="L139" i="18"/>
  <c r="T138" i="18"/>
  <c r="S138" i="18"/>
  <c r="R138" i="18"/>
  <c r="Q138" i="18"/>
  <c r="P138" i="18"/>
  <c r="O138" i="18"/>
  <c r="N138" i="18"/>
  <c r="M138" i="18"/>
  <c r="L138" i="18"/>
  <c r="T137" i="18"/>
  <c r="S137" i="18"/>
  <c r="R137" i="18"/>
  <c r="Q137" i="18"/>
  <c r="P137" i="18"/>
  <c r="O137" i="18"/>
  <c r="N137" i="18"/>
  <c r="M137" i="18"/>
  <c r="L137" i="18"/>
  <c r="T136" i="18"/>
  <c r="S136" i="18"/>
  <c r="R136" i="18"/>
  <c r="Q136" i="18"/>
  <c r="P136" i="18"/>
  <c r="O136" i="18"/>
  <c r="N136" i="18"/>
  <c r="M136" i="18"/>
  <c r="L136" i="18"/>
  <c r="T135" i="18"/>
  <c r="S135" i="18"/>
  <c r="R135" i="18"/>
  <c r="Q135" i="18"/>
  <c r="P135" i="18"/>
  <c r="O135" i="18"/>
  <c r="N135" i="18"/>
  <c r="M135" i="18"/>
  <c r="L135" i="18"/>
  <c r="T134" i="18"/>
  <c r="S134" i="18"/>
  <c r="R134" i="18"/>
  <c r="Q134" i="18"/>
  <c r="P134" i="18"/>
  <c r="O134" i="18"/>
  <c r="N134" i="18"/>
  <c r="M134" i="18"/>
  <c r="L134" i="18"/>
  <c r="T133" i="18"/>
  <c r="S133" i="18"/>
  <c r="R133" i="18"/>
  <c r="Q133" i="18"/>
  <c r="P133" i="18"/>
  <c r="O133" i="18"/>
  <c r="N133" i="18"/>
  <c r="M133" i="18"/>
  <c r="L133" i="18"/>
  <c r="T132" i="18"/>
  <c r="S132" i="18"/>
  <c r="R132" i="18"/>
  <c r="Q132" i="18"/>
  <c r="P132" i="18"/>
  <c r="O132" i="18"/>
  <c r="N132" i="18"/>
  <c r="M132" i="18"/>
  <c r="L132" i="18"/>
  <c r="T131" i="18"/>
  <c r="S131" i="18"/>
  <c r="R131" i="18"/>
  <c r="Q131" i="18"/>
  <c r="P131" i="18"/>
  <c r="O131" i="18"/>
  <c r="N131" i="18"/>
  <c r="M131" i="18"/>
  <c r="L131" i="18"/>
  <c r="T130" i="18"/>
  <c r="S130" i="18"/>
  <c r="R130" i="18"/>
  <c r="Q130" i="18"/>
  <c r="P130" i="18"/>
  <c r="O130" i="18"/>
  <c r="N130" i="18"/>
  <c r="M130" i="18"/>
  <c r="L130" i="18"/>
  <c r="T129" i="18"/>
  <c r="S129" i="18"/>
  <c r="R129" i="18"/>
  <c r="Q129" i="18"/>
  <c r="P129" i="18"/>
  <c r="O129" i="18"/>
  <c r="N129" i="18"/>
  <c r="M129" i="18"/>
  <c r="L129" i="18"/>
  <c r="T128" i="18"/>
  <c r="S128" i="18"/>
  <c r="R128" i="18"/>
  <c r="Q128" i="18"/>
  <c r="P128" i="18"/>
  <c r="O128" i="18"/>
  <c r="N128" i="18"/>
  <c r="M128" i="18"/>
  <c r="L128" i="18"/>
  <c r="T127" i="18"/>
  <c r="S127" i="18"/>
  <c r="R127" i="18"/>
  <c r="Q127" i="18"/>
  <c r="P127" i="18"/>
  <c r="O127" i="18"/>
  <c r="N127" i="18"/>
  <c r="M127" i="18"/>
  <c r="L127" i="18"/>
  <c r="T126" i="18"/>
  <c r="S126" i="18"/>
  <c r="R126" i="18"/>
  <c r="Q126" i="18"/>
  <c r="P126" i="18"/>
  <c r="O126" i="18"/>
  <c r="N126" i="18"/>
  <c r="M126" i="18"/>
  <c r="L126" i="18"/>
  <c r="T125" i="18"/>
  <c r="S125" i="18"/>
  <c r="R125" i="18"/>
  <c r="Q125" i="18"/>
  <c r="P125" i="18"/>
  <c r="O125" i="18"/>
  <c r="N125" i="18"/>
  <c r="M125" i="18"/>
  <c r="L125" i="18"/>
  <c r="T124" i="18"/>
  <c r="S124" i="18"/>
  <c r="R124" i="18"/>
  <c r="Q124" i="18"/>
  <c r="P124" i="18"/>
  <c r="O124" i="18"/>
  <c r="N124" i="18"/>
  <c r="M124" i="18"/>
  <c r="L124" i="18"/>
  <c r="T123" i="18"/>
  <c r="S123" i="18"/>
  <c r="R123" i="18"/>
  <c r="Q123" i="18"/>
  <c r="P123" i="18"/>
  <c r="O123" i="18"/>
  <c r="N123" i="18"/>
  <c r="M123" i="18"/>
  <c r="L123" i="18"/>
  <c r="T122" i="18"/>
  <c r="S122" i="18"/>
  <c r="R122" i="18"/>
  <c r="Q122" i="18"/>
  <c r="P122" i="18"/>
  <c r="O122" i="18"/>
  <c r="N122" i="18"/>
  <c r="M122" i="18"/>
  <c r="L122" i="18"/>
  <c r="T121" i="18"/>
  <c r="S121" i="18"/>
  <c r="R121" i="18"/>
  <c r="Q121" i="18"/>
  <c r="P121" i="18"/>
  <c r="O121" i="18"/>
  <c r="N121" i="18"/>
  <c r="M121" i="18"/>
  <c r="L121" i="18"/>
  <c r="U121" i="18" s="1"/>
  <c r="T120" i="18"/>
  <c r="S120" i="18"/>
  <c r="R120" i="18"/>
  <c r="Q120" i="18"/>
  <c r="P120" i="18"/>
  <c r="O120" i="18"/>
  <c r="N120" i="18"/>
  <c r="M120" i="18"/>
  <c r="L120" i="18"/>
  <c r="T119" i="18"/>
  <c r="S119" i="18"/>
  <c r="R119" i="18"/>
  <c r="Q119" i="18"/>
  <c r="P119" i="18"/>
  <c r="O119" i="18"/>
  <c r="N119" i="18"/>
  <c r="M119" i="18"/>
  <c r="L119" i="18"/>
  <c r="T118" i="18"/>
  <c r="S118" i="18"/>
  <c r="R118" i="18"/>
  <c r="Q118" i="18"/>
  <c r="P118" i="18"/>
  <c r="O118" i="18"/>
  <c r="N118" i="18"/>
  <c r="M118" i="18"/>
  <c r="L118" i="18"/>
  <c r="T117" i="18"/>
  <c r="S117" i="18"/>
  <c r="R117" i="18"/>
  <c r="Q117" i="18"/>
  <c r="P117" i="18"/>
  <c r="O117" i="18"/>
  <c r="N117" i="18"/>
  <c r="M117" i="18"/>
  <c r="L117" i="18"/>
  <c r="T116" i="18"/>
  <c r="S116" i="18"/>
  <c r="R116" i="18"/>
  <c r="Q116" i="18"/>
  <c r="P116" i="18"/>
  <c r="O116" i="18"/>
  <c r="N116" i="18"/>
  <c r="M116" i="18"/>
  <c r="L116" i="18"/>
  <c r="T115" i="18"/>
  <c r="S115" i="18"/>
  <c r="R115" i="18"/>
  <c r="Q115" i="18"/>
  <c r="P115" i="18"/>
  <c r="O115" i="18"/>
  <c r="N115" i="18"/>
  <c r="M115" i="18"/>
  <c r="L115" i="18"/>
  <c r="T114" i="18"/>
  <c r="S114" i="18"/>
  <c r="R114" i="18"/>
  <c r="Q114" i="18"/>
  <c r="P114" i="18"/>
  <c r="O114" i="18"/>
  <c r="N114" i="18"/>
  <c r="M114" i="18"/>
  <c r="L114" i="18"/>
  <c r="T113" i="18"/>
  <c r="S113" i="18"/>
  <c r="R113" i="18"/>
  <c r="Q113" i="18"/>
  <c r="P113" i="18"/>
  <c r="O113" i="18"/>
  <c r="N113" i="18"/>
  <c r="M113" i="18"/>
  <c r="L113" i="18"/>
  <c r="T112" i="18"/>
  <c r="S112" i="18"/>
  <c r="R112" i="18"/>
  <c r="Q112" i="18"/>
  <c r="P112" i="18"/>
  <c r="O112" i="18"/>
  <c r="N112" i="18"/>
  <c r="M112" i="18"/>
  <c r="L112" i="18"/>
  <c r="T111" i="18"/>
  <c r="S111" i="18"/>
  <c r="R111" i="18"/>
  <c r="Q111" i="18"/>
  <c r="P111" i="18"/>
  <c r="O111" i="18"/>
  <c r="N111" i="18"/>
  <c r="M111" i="18"/>
  <c r="L111" i="18"/>
  <c r="T110" i="18"/>
  <c r="S110" i="18"/>
  <c r="R110" i="18"/>
  <c r="Q110" i="18"/>
  <c r="P110" i="18"/>
  <c r="O110" i="18"/>
  <c r="N110" i="18"/>
  <c r="M110" i="18"/>
  <c r="L110" i="18"/>
  <c r="T109" i="18"/>
  <c r="S109" i="18"/>
  <c r="R109" i="18"/>
  <c r="Q109" i="18"/>
  <c r="P109" i="18"/>
  <c r="O109" i="18"/>
  <c r="N109" i="18"/>
  <c r="M109" i="18"/>
  <c r="L109" i="18"/>
  <c r="T108" i="18"/>
  <c r="S108" i="18"/>
  <c r="R108" i="18"/>
  <c r="Q108" i="18"/>
  <c r="P108" i="18"/>
  <c r="O108" i="18"/>
  <c r="N108" i="18"/>
  <c r="M108" i="18"/>
  <c r="L108" i="18"/>
  <c r="T107" i="18"/>
  <c r="S107" i="18"/>
  <c r="R107" i="18"/>
  <c r="Q107" i="18"/>
  <c r="P107" i="18"/>
  <c r="O107" i="18"/>
  <c r="N107" i="18"/>
  <c r="M107" i="18"/>
  <c r="L107" i="18"/>
  <c r="T106" i="18"/>
  <c r="S106" i="18"/>
  <c r="R106" i="18"/>
  <c r="Q106" i="18"/>
  <c r="P106" i="18"/>
  <c r="O106" i="18"/>
  <c r="N106" i="18"/>
  <c r="M106" i="18"/>
  <c r="L106" i="18"/>
  <c r="T105" i="18"/>
  <c r="S105" i="18"/>
  <c r="R105" i="18"/>
  <c r="Q105" i="18"/>
  <c r="P105" i="18"/>
  <c r="O105" i="18"/>
  <c r="N105" i="18"/>
  <c r="M105" i="18"/>
  <c r="L105" i="18"/>
  <c r="T104" i="18"/>
  <c r="S104" i="18"/>
  <c r="R104" i="18"/>
  <c r="Q104" i="18"/>
  <c r="P104" i="18"/>
  <c r="O104" i="18"/>
  <c r="N104" i="18"/>
  <c r="M104" i="18"/>
  <c r="L104" i="18"/>
  <c r="T103" i="18"/>
  <c r="S103" i="18"/>
  <c r="R103" i="18"/>
  <c r="Q103" i="18"/>
  <c r="P103" i="18"/>
  <c r="O103" i="18"/>
  <c r="N103" i="18"/>
  <c r="M103" i="18"/>
  <c r="L103" i="18"/>
  <c r="T102" i="18"/>
  <c r="S102" i="18"/>
  <c r="R102" i="18"/>
  <c r="Q102" i="18"/>
  <c r="P102" i="18"/>
  <c r="O102" i="18"/>
  <c r="N102" i="18"/>
  <c r="M102" i="18"/>
  <c r="L102" i="18"/>
  <c r="T101" i="18"/>
  <c r="S101" i="18"/>
  <c r="R101" i="18"/>
  <c r="Q101" i="18"/>
  <c r="P101" i="18"/>
  <c r="O101" i="18"/>
  <c r="N101" i="18"/>
  <c r="M101" i="18"/>
  <c r="L101" i="18"/>
  <c r="T100" i="18"/>
  <c r="S100" i="18"/>
  <c r="R100" i="18"/>
  <c r="Q100" i="18"/>
  <c r="P100" i="18"/>
  <c r="O100" i="18"/>
  <c r="N100" i="18"/>
  <c r="M100" i="18"/>
  <c r="L100" i="18"/>
  <c r="T99" i="18"/>
  <c r="S99" i="18"/>
  <c r="R99" i="18"/>
  <c r="Q99" i="18"/>
  <c r="P99" i="18"/>
  <c r="O99" i="18"/>
  <c r="N99" i="18"/>
  <c r="M99" i="18"/>
  <c r="L99" i="18"/>
  <c r="T98" i="18"/>
  <c r="S98" i="18"/>
  <c r="R98" i="18"/>
  <c r="Q98" i="18"/>
  <c r="P98" i="18"/>
  <c r="O98" i="18"/>
  <c r="N98" i="18"/>
  <c r="M98" i="18"/>
  <c r="L98" i="18"/>
  <c r="T97" i="18"/>
  <c r="S97" i="18"/>
  <c r="R97" i="18"/>
  <c r="Q97" i="18"/>
  <c r="P97" i="18"/>
  <c r="O97" i="18"/>
  <c r="N97" i="18"/>
  <c r="M97" i="18"/>
  <c r="L97" i="18"/>
  <c r="T96" i="18"/>
  <c r="S96" i="18"/>
  <c r="R96" i="18"/>
  <c r="Q96" i="18"/>
  <c r="P96" i="18"/>
  <c r="O96" i="18"/>
  <c r="N96" i="18"/>
  <c r="M96" i="18"/>
  <c r="L96" i="18"/>
  <c r="T95" i="18"/>
  <c r="S95" i="18"/>
  <c r="R95" i="18"/>
  <c r="Q95" i="18"/>
  <c r="P95" i="18"/>
  <c r="O95" i="18"/>
  <c r="N95" i="18"/>
  <c r="M95" i="18"/>
  <c r="L95" i="18"/>
  <c r="T94" i="18"/>
  <c r="S94" i="18"/>
  <c r="R94" i="18"/>
  <c r="Q94" i="18"/>
  <c r="P94" i="18"/>
  <c r="O94" i="18"/>
  <c r="N94" i="18"/>
  <c r="M94" i="18"/>
  <c r="L94" i="18"/>
  <c r="T93" i="18"/>
  <c r="S93" i="18"/>
  <c r="R93" i="18"/>
  <c r="Q93" i="18"/>
  <c r="P93" i="18"/>
  <c r="O93" i="18"/>
  <c r="N93" i="18"/>
  <c r="M93" i="18"/>
  <c r="L93" i="18"/>
  <c r="T92" i="18"/>
  <c r="S92" i="18"/>
  <c r="R92" i="18"/>
  <c r="Q92" i="18"/>
  <c r="P92" i="18"/>
  <c r="O92" i="18"/>
  <c r="N92" i="18"/>
  <c r="M92" i="18"/>
  <c r="L92" i="18"/>
  <c r="T91" i="18"/>
  <c r="S91" i="18"/>
  <c r="R91" i="18"/>
  <c r="Q91" i="18"/>
  <c r="P91" i="18"/>
  <c r="O91" i="18"/>
  <c r="N91" i="18"/>
  <c r="M91" i="18"/>
  <c r="L91" i="18"/>
  <c r="T90" i="18"/>
  <c r="S90" i="18"/>
  <c r="R90" i="18"/>
  <c r="Q90" i="18"/>
  <c r="P90" i="18"/>
  <c r="O90" i="18"/>
  <c r="N90" i="18"/>
  <c r="M90" i="18"/>
  <c r="L90" i="18"/>
  <c r="T89" i="18"/>
  <c r="S89" i="18"/>
  <c r="R89" i="18"/>
  <c r="Q89" i="18"/>
  <c r="P89" i="18"/>
  <c r="O89" i="18"/>
  <c r="N89" i="18"/>
  <c r="M89" i="18"/>
  <c r="L89" i="18"/>
  <c r="T88" i="18"/>
  <c r="S88" i="18"/>
  <c r="R88" i="18"/>
  <c r="Q88" i="18"/>
  <c r="P88" i="18"/>
  <c r="O88" i="18"/>
  <c r="N88" i="18"/>
  <c r="M88" i="18"/>
  <c r="L88" i="18"/>
  <c r="T87" i="18"/>
  <c r="S87" i="18"/>
  <c r="R87" i="18"/>
  <c r="Q87" i="18"/>
  <c r="P87" i="18"/>
  <c r="O87" i="18"/>
  <c r="N87" i="18"/>
  <c r="M87" i="18"/>
  <c r="L87" i="18"/>
  <c r="T86" i="18"/>
  <c r="S86" i="18"/>
  <c r="R86" i="18"/>
  <c r="Q86" i="18"/>
  <c r="P86" i="18"/>
  <c r="O86" i="18"/>
  <c r="N86" i="18"/>
  <c r="M86" i="18"/>
  <c r="L86" i="18"/>
  <c r="T85" i="18"/>
  <c r="S85" i="18"/>
  <c r="R85" i="18"/>
  <c r="Q85" i="18"/>
  <c r="P85" i="18"/>
  <c r="O85" i="18"/>
  <c r="N85" i="18"/>
  <c r="M85" i="18"/>
  <c r="L85" i="18"/>
  <c r="T84" i="18"/>
  <c r="S84" i="18"/>
  <c r="R84" i="18"/>
  <c r="Q84" i="18"/>
  <c r="P84" i="18"/>
  <c r="O84" i="18"/>
  <c r="N84" i="18"/>
  <c r="M84" i="18"/>
  <c r="L84" i="18"/>
  <c r="T83" i="18"/>
  <c r="S83" i="18"/>
  <c r="R83" i="18"/>
  <c r="Q83" i="18"/>
  <c r="P83" i="18"/>
  <c r="O83" i="18"/>
  <c r="N83" i="18"/>
  <c r="M83" i="18"/>
  <c r="L83" i="18"/>
  <c r="T82" i="18"/>
  <c r="S82" i="18"/>
  <c r="R82" i="18"/>
  <c r="Q82" i="18"/>
  <c r="P82" i="18"/>
  <c r="O82" i="18"/>
  <c r="N82" i="18"/>
  <c r="M82" i="18"/>
  <c r="L82" i="18"/>
  <c r="T81" i="18"/>
  <c r="S81" i="18"/>
  <c r="R81" i="18"/>
  <c r="Q81" i="18"/>
  <c r="P81" i="18"/>
  <c r="O81" i="18"/>
  <c r="N81" i="18"/>
  <c r="M81" i="18"/>
  <c r="L81" i="18"/>
  <c r="T80" i="18"/>
  <c r="S80" i="18"/>
  <c r="R80" i="18"/>
  <c r="Q80" i="18"/>
  <c r="P80" i="18"/>
  <c r="O80" i="18"/>
  <c r="N80" i="18"/>
  <c r="M80" i="18"/>
  <c r="L80" i="18"/>
  <c r="T79" i="18"/>
  <c r="S79" i="18"/>
  <c r="R79" i="18"/>
  <c r="Q79" i="18"/>
  <c r="P79" i="18"/>
  <c r="O79" i="18"/>
  <c r="N79" i="18"/>
  <c r="M79" i="18"/>
  <c r="L79" i="18"/>
  <c r="T78" i="18"/>
  <c r="S78" i="18"/>
  <c r="R78" i="18"/>
  <c r="Q78" i="18"/>
  <c r="P78" i="18"/>
  <c r="O78" i="18"/>
  <c r="N78" i="18"/>
  <c r="M78" i="18"/>
  <c r="L78" i="18"/>
  <c r="T77" i="18"/>
  <c r="S77" i="18"/>
  <c r="R77" i="18"/>
  <c r="Q77" i="18"/>
  <c r="P77" i="18"/>
  <c r="O77" i="18"/>
  <c r="N77" i="18"/>
  <c r="M77" i="18"/>
  <c r="L77" i="18"/>
  <c r="T76" i="18"/>
  <c r="S76" i="18"/>
  <c r="R76" i="18"/>
  <c r="Q76" i="18"/>
  <c r="P76" i="18"/>
  <c r="O76" i="18"/>
  <c r="N76" i="18"/>
  <c r="M76" i="18"/>
  <c r="L76" i="18"/>
  <c r="T75" i="18"/>
  <c r="S75" i="18"/>
  <c r="R75" i="18"/>
  <c r="Q75" i="18"/>
  <c r="P75" i="18"/>
  <c r="O75" i="18"/>
  <c r="N75" i="18"/>
  <c r="M75" i="18"/>
  <c r="L75" i="18"/>
  <c r="T74" i="18"/>
  <c r="S74" i="18"/>
  <c r="R74" i="18"/>
  <c r="Q74" i="18"/>
  <c r="P74" i="18"/>
  <c r="O74" i="18"/>
  <c r="N74" i="18"/>
  <c r="M74" i="18"/>
  <c r="L74" i="18"/>
  <c r="T73" i="18"/>
  <c r="S73" i="18"/>
  <c r="R73" i="18"/>
  <c r="Q73" i="18"/>
  <c r="P73" i="18"/>
  <c r="O73" i="18"/>
  <c r="N73" i="18"/>
  <c r="M73" i="18"/>
  <c r="L73" i="18"/>
  <c r="T72" i="18"/>
  <c r="S72" i="18"/>
  <c r="R72" i="18"/>
  <c r="Q72" i="18"/>
  <c r="P72" i="18"/>
  <c r="O72" i="18"/>
  <c r="N72" i="18"/>
  <c r="M72" i="18"/>
  <c r="L72" i="18"/>
  <c r="T71" i="18"/>
  <c r="S71" i="18"/>
  <c r="R71" i="18"/>
  <c r="Q71" i="18"/>
  <c r="P71" i="18"/>
  <c r="O71" i="18"/>
  <c r="N71" i="18"/>
  <c r="M71" i="18"/>
  <c r="L71" i="18"/>
  <c r="T70" i="18"/>
  <c r="S70" i="18"/>
  <c r="R70" i="18"/>
  <c r="Q70" i="18"/>
  <c r="P70" i="18"/>
  <c r="O70" i="18"/>
  <c r="N70" i="18"/>
  <c r="M70" i="18"/>
  <c r="L70" i="18"/>
  <c r="T69" i="18"/>
  <c r="S69" i="18"/>
  <c r="R69" i="18"/>
  <c r="Q69" i="18"/>
  <c r="P69" i="18"/>
  <c r="O69" i="18"/>
  <c r="N69" i="18"/>
  <c r="M69" i="18"/>
  <c r="L69" i="18"/>
  <c r="T68" i="18"/>
  <c r="S68" i="18"/>
  <c r="R68" i="18"/>
  <c r="Q68" i="18"/>
  <c r="P68" i="18"/>
  <c r="O68" i="18"/>
  <c r="N68" i="18"/>
  <c r="M68" i="18"/>
  <c r="L68" i="18"/>
  <c r="T67" i="18"/>
  <c r="S67" i="18"/>
  <c r="R67" i="18"/>
  <c r="Q67" i="18"/>
  <c r="P67" i="18"/>
  <c r="O67" i="18"/>
  <c r="N67" i="18"/>
  <c r="M67" i="18"/>
  <c r="L67" i="18"/>
  <c r="T66" i="18"/>
  <c r="S66" i="18"/>
  <c r="R66" i="18"/>
  <c r="Q66" i="18"/>
  <c r="P66" i="18"/>
  <c r="O66" i="18"/>
  <c r="N66" i="18"/>
  <c r="M66" i="18"/>
  <c r="L66" i="18"/>
  <c r="T65" i="18"/>
  <c r="S65" i="18"/>
  <c r="R65" i="18"/>
  <c r="Q65" i="18"/>
  <c r="P65" i="18"/>
  <c r="O65" i="18"/>
  <c r="N65" i="18"/>
  <c r="M65" i="18"/>
  <c r="L65" i="18"/>
  <c r="T64" i="18"/>
  <c r="S64" i="18"/>
  <c r="R64" i="18"/>
  <c r="Q64" i="18"/>
  <c r="P64" i="18"/>
  <c r="O64" i="18"/>
  <c r="N64" i="18"/>
  <c r="M64" i="18"/>
  <c r="L64" i="18"/>
  <c r="T63" i="18"/>
  <c r="S63" i="18"/>
  <c r="R63" i="18"/>
  <c r="Q63" i="18"/>
  <c r="P63" i="18"/>
  <c r="O63" i="18"/>
  <c r="N63" i="18"/>
  <c r="M63" i="18"/>
  <c r="L63" i="18"/>
  <c r="T62" i="18"/>
  <c r="S62" i="18"/>
  <c r="R62" i="18"/>
  <c r="Q62" i="18"/>
  <c r="P62" i="18"/>
  <c r="O62" i="18"/>
  <c r="N62" i="18"/>
  <c r="M62" i="18"/>
  <c r="L62" i="18"/>
  <c r="T61" i="18"/>
  <c r="S61" i="18"/>
  <c r="R61" i="18"/>
  <c r="Q61" i="18"/>
  <c r="P61" i="18"/>
  <c r="O61" i="18"/>
  <c r="N61" i="18"/>
  <c r="M61" i="18"/>
  <c r="L61" i="18"/>
  <c r="T60" i="18"/>
  <c r="S60" i="18"/>
  <c r="R60" i="18"/>
  <c r="Q60" i="18"/>
  <c r="P60" i="18"/>
  <c r="O60" i="18"/>
  <c r="N60" i="18"/>
  <c r="M60" i="18"/>
  <c r="L60" i="18"/>
  <c r="T59" i="18"/>
  <c r="S59" i="18"/>
  <c r="R59" i="18"/>
  <c r="Q59" i="18"/>
  <c r="P59" i="18"/>
  <c r="O59" i="18"/>
  <c r="N59" i="18"/>
  <c r="M59" i="18"/>
  <c r="L59" i="18"/>
  <c r="T58" i="18"/>
  <c r="S58" i="18"/>
  <c r="R58" i="18"/>
  <c r="Q58" i="18"/>
  <c r="P58" i="18"/>
  <c r="O58" i="18"/>
  <c r="N58" i="18"/>
  <c r="M58" i="18"/>
  <c r="L58" i="18"/>
  <c r="T57" i="18"/>
  <c r="S57" i="18"/>
  <c r="R57" i="18"/>
  <c r="Q57" i="18"/>
  <c r="P57" i="18"/>
  <c r="O57" i="18"/>
  <c r="N57" i="18"/>
  <c r="M57" i="18"/>
  <c r="L57" i="18"/>
  <c r="T56" i="18"/>
  <c r="S56" i="18"/>
  <c r="R56" i="18"/>
  <c r="Q56" i="18"/>
  <c r="P56" i="18"/>
  <c r="O56" i="18"/>
  <c r="N56" i="18"/>
  <c r="M56" i="18"/>
  <c r="L56" i="18"/>
  <c r="T55" i="18"/>
  <c r="S55" i="18"/>
  <c r="R55" i="18"/>
  <c r="Q55" i="18"/>
  <c r="P55" i="18"/>
  <c r="O55" i="18"/>
  <c r="N55" i="18"/>
  <c r="M55" i="18"/>
  <c r="L55" i="18"/>
  <c r="T54" i="18"/>
  <c r="S54" i="18"/>
  <c r="R54" i="18"/>
  <c r="Q54" i="18"/>
  <c r="P54" i="18"/>
  <c r="O54" i="18"/>
  <c r="N54" i="18"/>
  <c r="M54" i="18"/>
  <c r="L54" i="18"/>
  <c r="T53" i="18"/>
  <c r="S53" i="18"/>
  <c r="R53" i="18"/>
  <c r="Q53" i="18"/>
  <c r="P53" i="18"/>
  <c r="O53" i="18"/>
  <c r="N53" i="18"/>
  <c r="M53" i="18"/>
  <c r="L53" i="18"/>
  <c r="T52" i="18"/>
  <c r="S52" i="18"/>
  <c r="R52" i="18"/>
  <c r="Q52" i="18"/>
  <c r="P52" i="18"/>
  <c r="O52" i="18"/>
  <c r="N52" i="18"/>
  <c r="M52" i="18"/>
  <c r="L52" i="18"/>
  <c r="T51" i="18"/>
  <c r="S51" i="18"/>
  <c r="R51" i="18"/>
  <c r="Q51" i="18"/>
  <c r="P51" i="18"/>
  <c r="O51" i="18"/>
  <c r="N51" i="18"/>
  <c r="M51" i="18"/>
  <c r="L51" i="18"/>
  <c r="T50" i="18"/>
  <c r="S50" i="18"/>
  <c r="R50" i="18"/>
  <c r="Q50" i="18"/>
  <c r="P50" i="18"/>
  <c r="O50" i="18"/>
  <c r="N50" i="18"/>
  <c r="M50" i="18"/>
  <c r="L50" i="18"/>
  <c r="T49" i="18"/>
  <c r="S49" i="18"/>
  <c r="R49" i="18"/>
  <c r="Q49" i="18"/>
  <c r="P49" i="18"/>
  <c r="O49" i="18"/>
  <c r="N49" i="18"/>
  <c r="M49" i="18"/>
  <c r="L49" i="18"/>
  <c r="T48" i="18"/>
  <c r="S48" i="18"/>
  <c r="R48" i="18"/>
  <c r="Q48" i="18"/>
  <c r="P48" i="18"/>
  <c r="O48" i="18"/>
  <c r="N48" i="18"/>
  <c r="M48" i="18"/>
  <c r="L48" i="18"/>
  <c r="T47" i="18"/>
  <c r="S47" i="18"/>
  <c r="R47" i="18"/>
  <c r="Q47" i="18"/>
  <c r="P47" i="18"/>
  <c r="O47" i="18"/>
  <c r="N47" i="18"/>
  <c r="M47" i="18"/>
  <c r="L47" i="18"/>
  <c r="T46" i="18"/>
  <c r="S46" i="18"/>
  <c r="R46" i="18"/>
  <c r="Q46" i="18"/>
  <c r="P46" i="18"/>
  <c r="O46" i="18"/>
  <c r="N46" i="18"/>
  <c r="M46" i="18"/>
  <c r="L46" i="18"/>
  <c r="T45" i="18"/>
  <c r="S45" i="18"/>
  <c r="R45" i="18"/>
  <c r="Q45" i="18"/>
  <c r="P45" i="18"/>
  <c r="O45" i="18"/>
  <c r="N45" i="18"/>
  <c r="M45" i="18"/>
  <c r="L45" i="18"/>
  <c r="T44" i="18"/>
  <c r="S44" i="18"/>
  <c r="R44" i="18"/>
  <c r="Q44" i="18"/>
  <c r="P44" i="18"/>
  <c r="O44" i="18"/>
  <c r="N44" i="18"/>
  <c r="M44" i="18"/>
  <c r="L44" i="18"/>
  <c r="T43" i="18"/>
  <c r="S43" i="18"/>
  <c r="R43" i="18"/>
  <c r="Q43" i="18"/>
  <c r="P43" i="18"/>
  <c r="O43" i="18"/>
  <c r="N43" i="18"/>
  <c r="M43" i="18"/>
  <c r="L43" i="18"/>
  <c r="T42" i="18"/>
  <c r="S42" i="18"/>
  <c r="R42" i="18"/>
  <c r="Q42" i="18"/>
  <c r="P42" i="18"/>
  <c r="O42" i="18"/>
  <c r="N42" i="18"/>
  <c r="M42" i="18"/>
  <c r="L42" i="18"/>
  <c r="T41" i="18"/>
  <c r="S41" i="18"/>
  <c r="R41" i="18"/>
  <c r="Q41" i="18"/>
  <c r="P41" i="18"/>
  <c r="O41" i="18"/>
  <c r="N41" i="18"/>
  <c r="M41" i="18"/>
  <c r="L41" i="18"/>
  <c r="T40" i="18"/>
  <c r="S40" i="18"/>
  <c r="R40" i="18"/>
  <c r="Q40" i="18"/>
  <c r="P40" i="18"/>
  <c r="O40" i="18"/>
  <c r="N40" i="18"/>
  <c r="M40" i="18"/>
  <c r="L40" i="18"/>
  <c r="T39" i="18"/>
  <c r="S39" i="18"/>
  <c r="R39" i="18"/>
  <c r="Q39" i="18"/>
  <c r="P39" i="18"/>
  <c r="O39" i="18"/>
  <c r="N39" i="18"/>
  <c r="M39" i="18"/>
  <c r="L39" i="18"/>
  <c r="T38" i="18"/>
  <c r="S38" i="18"/>
  <c r="R38" i="18"/>
  <c r="Q38" i="18"/>
  <c r="P38" i="18"/>
  <c r="O38" i="18"/>
  <c r="N38" i="18"/>
  <c r="M38" i="18"/>
  <c r="L38" i="18"/>
  <c r="T37" i="18"/>
  <c r="S37" i="18"/>
  <c r="R37" i="18"/>
  <c r="Q37" i="18"/>
  <c r="P37" i="18"/>
  <c r="O37" i="18"/>
  <c r="N37" i="18"/>
  <c r="M37" i="18"/>
  <c r="L37" i="18"/>
  <c r="T36" i="18"/>
  <c r="S36" i="18"/>
  <c r="R36" i="18"/>
  <c r="Q36" i="18"/>
  <c r="P36" i="18"/>
  <c r="O36" i="18"/>
  <c r="N36" i="18"/>
  <c r="M36" i="18"/>
  <c r="L36" i="18"/>
  <c r="T35" i="18"/>
  <c r="S35" i="18"/>
  <c r="R35" i="18"/>
  <c r="Q35" i="18"/>
  <c r="P35" i="18"/>
  <c r="O35" i="18"/>
  <c r="N35" i="18"/>
  <c r="M35" i="18"/>
  <c r="L35" i="18"/>
  <c r="T34" i="18"/>
  <c r="S34" i="18"/>
  <c r="R34" i="18"/>
  <c r="Q34" i="18"/>
  <c r="P34" i="18"/>
  <c r="O34" i="18"/>
  <c r="N34" i="18"/>
  <c r="M34" i="18"/>
  <c r="L34" i="18"/>
  <c r="T33" i="18"/>
  <c r="S33" i="18"/>
  <c r="R33" i="18"/>
  <c r="Q33" i="18"/>
  <c r="P33" i="18"/>
  <c r="O33" i="18"/>
  <c r="N33" i="18"/>
  <c r="M33" i="18"/>
  <c r="L33" i="18"/>
  <c r="T32" i="18"/>
  <c r="S32" i="18"/>
  <c r="R32" i="18"/>
  <c r="Q32" i="18"/>
  <c r="P32" i="18"/>
  <c r="O32" i="18"/>
  <c r="N32" i="18"/>
  <c r="M32" i="18"/>
  <c r="L32" i="18"/>
  <c r="T31" i="18"/>
  <c r="S31" i="18"/>
  <c r="R31" i="18"/>
  <c r="Q31" i="18"/>
  <c r="P31" i="18"/>
  <c r="O31" i="18"/>
  <c r="N31" i="18"/>
  <c r="M31" i="18"/>
  <c r="L31" i="18"/>
  <c r="T30" i="18"/>
  <c r="S30" i="18"/>
  <c r="R30" i="18"/>
  <c r="Q30" i="18"/>
  <c r="P30" i="18"/>
  <c r="O30" i="18"/>
  <c r="N30" i="18"/>
  <c r="M30" i="18"/>
  <c r="L30" i="18"/>
  <c r="T29" i="18"/>
  <c r="S29" i="18"/>
  <c r="R29" i="18"/>
  <c r="Q29" i="18"/>
  <c r="P29" i="18"/>
  <c r="O29" i="18"/>
  <c r="N29" i="18"/>
  <c r="M29" i="18"/>
  <c r="L29" i="18"/>
  <c r="T28" i="18"/>
  <c r="S28" i="18"/>
  <c r="R28" i="18"/>
  <c r="Q28" i="18"/>
  <c r="P28" i="18"/>
  <c r="O28" i="18"/>
  <c r="N28" i="18"/>
  <c r="M28" i="18"/>
  <c r="L28" i="18"/>
  <c r="T27" i="18"/>
  <c r="S27" i="18"/>
  <c r="R27" i="18"/>
  <c r="Q27" i="18"/>
  <c r="P27" i="18"/>
  <c r="O27" i="18"/>
  <c r="N27" i="18"/>
  <c r="M27" i="18"/>
  <c r="L27" i="18"/>
  <c r="T26" i="18"/>
  <c r="S26" i="18"/>
  <c r="R26" i="18"/>
  <c r="Q26" i="18"/>
  <c r="P26" i="18"/>
  <c r="O26" i="18"/>
  <c r="N26" i="18"/>
  <c r="M26" i="18"/>
  <c r="L26" i="18"/>
  <c r="T25" i="18"/>
  <c r="S25" i="18"/>
  <c r="R25" i="18"/>
  <c r="Q25" i="18"/>
  <c r="P25" i="18"/>
  <c r="O25" i="18"/>
  <c r="N25" i="18"/>
  <c r="M25" i="18"/>
  <c r="L25" i="18"/>
  <c r="T24" i="18"/>
  <c r="S24" i="18"/>
  <c r="R24" i="18"/>
  <c r="Q24" i="18"/>
  <c r="P24" i="18"/>
  <c r="O24" i="18"/>
  <c r="N24" i="18"/>
  <c r="M24" i="18"/>
  <c r="L24" i="18"/>
  <c r="T23" i="18"/>
  <c r="S23" i="18"/>
  <c r="R23" i="18"/>
  <c r="Q23" i="18"/>
  <c r="P23" i="18"/>
  <c r="O23" i="18"/>
  <c r="N23" i="18"/>
  <c r="M23" i="18"/>
  <c r="L23" i="18"/>
  <c r="T22" i="18"/>
  <c r="S22" i="18"/>
  <c r="R22" i="18"/>
  <c r="Q22" i="18"/>
  <c r="P22" i="18"/>
  <c r="O22" i="18"/>
  <c r="N22" i="18"/>
  <c r="M22" i="18"/>
  <c r="L22" i="18"/>
  <c r="T21" i="18"/>
  <c r="S21" i="18"/>
  <c r="R21" i="18"/>
  <c r="Q21" i="18"/>
  <c r="P21" i="18"/>
  <c r="O21" i="18"/>
  <c r="N21" i="18"/>
  <c r="M21" i="18"/>
  <c r="L21" i="18"/>
  <c r="T20" i="18"/>
  <c r="S20" i="18"/>
  <c r="R20" i="18"/>
  <c r="Q20" i="18"/>
  <c r="P20" i="18"/>
  <c r="O20" i="18"/>
  <c r="N20" i="18"/>
  <c r="M20" i="18"/>
  <c r="L20" i="18"/>
  <c r="T19" i="18"/>
  <c r="S19" i="18"/>
  <c r="R19" i="18"/>
  <c r="Q19" i="18"/>
  <c r="P19" i="18"/>
  <c r="O19" i="18"/>
  <c r="N19" i="18"/>
  <c r="M19" i="18"/>
  <c r="L19" i="18"/>
  <c r="T18" i="18"/>
  <c r="S18" i="18"/>
  <c r="R18" i="18"/>
  <c r="Q18" i="18"/>
  <c r="P18" i="18"/>
  <c r="O18" i="18"/>
  <c r="N18" i="18"/>
  <c r="M18" i="18"/>
  <c r="L18" i="18"/>
  <c r="T17" i="18"/>
  <c r="S17" i="18"/>
  <c r="R17" i="18"/>
  <c r="Q17" i="18"/>
  <c r="P17" i="18"/>
  <c r="O17" i="18"/>
  <c r="N17" i="18"/>
  <c r="M17" i="18"/>
  <c r="L17" i="18"/>
  <c r="T16" i="18"/>
  <c r="S16" i="18"/>
  <c r="R16" i="18"/>
  <c r="Q16" i="18"/>
  <c r="P16" i="18"/>
  <c r="O16" i="18"/>
  <c r="N16" i="18"/>
  <c r="M16" i="18"/>
  <c r="L16" i="18"/>
  <c r="T15" i="18"/>
  <c r="S15" i="18"/>
  <c r="R15" i="18"/>
  <c r="Q15" i="18"/>
  <c r="P15" i="18"/>
  <c r="O15" i="18"/>
  <c r="N15" i="18"/>
  <c r="M15" i="18"/>
  <c r="L15" i="18"/>
  <c r="T14" i="18"/>
  <c r="S14" i="18"/>
  <c r="R14" i="18"/>
  <c r="Q14" i="18"/>
  <c r="P14" i="18"/>
  <c r="O14" i="18"/>
  <c r="N14" i="18"/>
  <c r="M14" i="18"/>
  <c r="L14" i="18"/>
  <c r="T13" i="18"/>
  <c r="S13" i="18"/>
  <c r="R13" i="18"/>
  <c r="Q13" i="18"/>
  <c r="P13" i="18"/>
  <c r="O13" i="18"/>
  <c r="N13" i="18"/>
  <c r="M13" i="18"/>
  <c r="L13" i="18"/>
  <c r="T12" i="18"/>
  <c r="S12" i="18"/>
  <c r="R12" i="18"/>
  <c r="Q12" i="18"/>
  <c r="P12" i="18"/>
  <c r="O12" i="18"/>
  <c r="N12" i="18"/>
  <c r="M12" i="18"/>
  <c r="L12" i="18"/>
  <c r="T11" i="18"/>
  <c r="S11" i="18"/>
  <c r="R11" i="18"/>
  <c r="Q11" i="18"/>
  <c r="P11" i="18"/>
  <c r="O11" i="18"/>
  <c r="N11" i="18"/>
  <c r="M11" i="18"/>
  <c r="L11" i="18"/>
  <c r="T10" i="18"/>
  <c r="S10" i="18"/>
  <c r="R10" i="18"/>
  <c r="Q10" i="18"/>
  <c r="P10" i="18"/>
  <c r="O10" i="18"/>
  <c r="N10" i="18"/>
  <c r="M10" i="18"/>
  <c r="L10" i="18"/>
  <c r="T9" i="18"/>
  <c r="S9" i="18"/>
  <c r="R9" i="18"/>
  <c r="Q9" i="18"/>
  <c r="P9" i="18"/>
  <c r="O9" i="18"/>
  <c r="N9" i="18"/>
  <c r="M9" i="18"/>
  <c r="L9" i="18"/>
  <c r="T8" i="18"/>
  <c r="S8" i="18"/>
  <c r="R8" i="18"/>
  <c r="Q8" i="18"/>
  <c r="P8" i="18"/>
  <c r="O8" i="18"/>
  <c r="N8" i="18"/>
  <c r="M8" i="18"/>
  <c r="L8" i="18"/>
  <c r="T7" i="18"/>
  <c r="S7" i="18"/>
  <c r="R7" i="18"/>
  <c r="Q7" i="18"/>
  <c r="P7" i="18"/>
  <c r="O7" i="18"/>
  <c r="N7" i="18"/>
  <c r="N4" i="18" s="1"/>
  <c r="M7" i="18"/>
  <c r="L7" i="18"/>
  <c r="T6" i="18"/>
  <c r="S6" i="18"/>
  <c r="R6" i="18"/>
  <c r="Q6" i="18"/>
  <c r="P6" i="18"/>
  <c r="O6" i="18"/>
  <c r="O4" i="18" s="1"/>
  <c r="N6" i="18"/>
  <c r="M6" i="18"/>
  <c r="L6" i="18"/>
  <c r="V4" i="7"/>
  <c r="V7" i="7" a="1"/>
  <c r="V7" i="7" s="1"/>
  <c r="V8" i="7" a="1"/>
  <c r="V8" i="7" s="1"/>
  <c r="V9" i="7" a="1"/>
  <c r="V9" i="7"/>
  <c r="V10" i="7" a="1"/>
  <c r="V10" i="7" s="1"/>
  <c r="V11" i="7" a="1"/>
  <c r="V11" i="7" s="1"/>
  <c r="V12" i="7" a="1"/>
  <c r="V12" i="7"/>
  <c r="V13" i="7" a="1"/>
  <c r="V13" i="7"/>
  <c r="V14" i="7" a="1"/>
  <c r="V14" i="7"/>
  <c r="V15" i="7" a="1"/>
  <c r="V15" i="7" s="1"/>
  <c r="V16" i="7" a="1"/>
  <c r="V16" i="7" s="1"/>
  <c r="V17" i="7" a="1"/>
  <c r="V17" i="7"/>
  <c r="V18" i="7" a="1"/>
  <c r="V18" i="7" s="1"/>
  <c r="V19" i="7" a="1"/>
  <c r="V19" i="7" s="1"/>
  <c r="V20" i="7" a="1"/>
  <c r="V20" i="7"/>
  <c r="V21" i="7" a="1"/>
  <c r="V21" i="7"/>
  <c r="V22" i="7" a="1"/>
  <c r="V22" i="7"/>
  <c r="V23" i="7" a="1"/>
  <c r="V23" i="7" s="1"/>
  <c r="V24" i="7" a="1"/>
  <c r="V24" i="7" s="1"/>
  <c r="V25" i="7" a="1"/>
  <c r="V25" i="7" s="1"/>
  <c r="V26" i="7" a="1"/>
  <c r="V26" i="7"/>
  <c r="V27" i="7" a="1"/>
  <c r="V27" i="7" s="1"/>
  <c r="V28" i="7" a="1"/>
  <c r="V28" i="7"/>
  <c r="V29" i="7" a="1"/>
  <c r="V29" i="7"/>
  <c r="V30" i="7" a="1"/>
  <c r="V30" i="7"/>
  <c r="V31" i="7" a="1"/>
  <c r="V31" i="7" s="1"/>
  <c r="V32" i="7" a="1"/>
  <c r="V32" i="7" s="1"/>
  <c r="V33" i="7" a="1"/>
  <c r="V33" i="7" s="1"/>
  <c r="V34" i="7" a="1"/>
  <c r="V34" i="7" s="1"/>
  <c r="V35" i="7" a="1"/>
  <c r="V35" i="7" s="1"/>
  <c r="V36" i="7" a="1"/>
  <c r="V36" i="7"/>
  <c r="V37" i="7" a="1"/>
  <c r="V37" i="7"/>
  <c r="V38" i="7" a="1"/>
  <c r="V38" i="7"/>
  <c r="V39" i="7" a="1"/>
  <c r="V39" i="7" s="1"/>
  <c r="V40" i="7" a="1"/>
  <c r="V40" i="7"/>
  <c r="V41" i="7" a="1"/>
  <c r="V41" i="7" s="1"/>
  <c r="V42" i="7" a="1"/>
  <c r="V42" i="7" s="1"/>
  <c r="V43" i="7" a="1"/>
  <c r="V43" i="7" s="1"/>
  <c r="V44" i="7" a="1"/>
  <c r="V44" i="7"/>
  <c r="V45" i="7" a="1"/>
  <c r="V45" i="7"/>
  <c r="V46" i="7" a="1"/>
  <c r="V46" i="7"/>
  <c r="V47" i="7" a="1"/>
  <c r="V47" i="7" s="1"/>
  <c r="V48" i="7" a="1"/>
  <c r="V48" i="7" s="1"/>
  <c r="V49" i="7" a="1"/>
  <c r="V49" i="7"/>
  <c r="V50" i="7" a="1"/>
  <c r="V50" i="7" s="1"/>
  <c r="V51" i="7" a="1"/>
  <c r="V51" i="7" s="1"/>
  <c r="V52" i="7" a="1"/>
  <c r="V52" i="7"/>
  <c r="V53" i="7" a="1"/>
  <c r="V53" i="7"/>
  <c r="V54" i="7" a="1"/>
  <c r="V54" i="7"/>
  <c r="V55" i="7" a="1"/>
  <c r="V55" i="7" s="1"/>
  <c r="V56" i="7" a="1"/>
  <c r="V56" i="7" s="1"/>
  <c r="V57" i="7" a="1"/>
  <c r="V57" i="7" s="1"/>
  <c r="V58" i="7" a="1"/>
  <c r="V58" i="7"/>
  <c r="V59" i="7" a="1"/>
  <c r="V59" i="7" s="1"/>
  <c r="V60" i="7" a="1"/>
  <c r="V60" i="7"/>
  <c r="V61" i="7" a="1"/>
  <c r="V61" i="7"/>
  <c r="V62" i="7" a="1"/>
  <c r="V62" i="7"/>
  <c r="V63" i="7" a="1"/>
  <c r="V63" i="7" s="1"/>
  <c r="V64" i="7" a="1"/>
  <c r="V64" i="7" s="1"/>
  <c r="V65" i="7" a="1"/>
  <c r="V65" i="7" s="1"/>
  <c r="V66" i="7" a="1"/>
  <c r="V66" i="7" s="1"/>
  <c r="V67" i="7" a="1"/>
  <c r="V67" i="7" s="1"/>
  <c r="V68" i="7" a="1"/>
  <c r="V68" i="7"/>
  <c r="V69" i="7" a="1"/>
  <c r="V69" i="7"/>
  <c r="V70" i="7" a="1"/>
  <c r="V70" i="7"/>
  <c r="V71" i="7" a="1"/>
  <c r="V71" i="7" s="1"/>
  <c r="V72" i="7" a="1"/>
  <c r="V72" i="7"/>
  <c r="V73" i="7" a="1"/>
  <c r="V73" i="7" s="1"/>
  <c r="V74" i="7" a="1"/>
  <c r="V74" i="7" s="1"/>
  <c r="V75" i="7" a="1"/>
  <c r="V75" i="7" s="1"/>
  <c r="V76" i="7" a="1"/>
  <c r="V76" i="7"/>
  <c r="V77" i="7" a="1"/>
  <c r="V77" i="7"/>
  <c r="V78" i="7" a="1"/>
  <c r="V78" i="7"/>
  <c r="V79" i="7" a="1"/>
  <c r="V79" i="7" s="1"/>
  <c r="V80" i="7" a="1"/>
  <c r="V80" i="7" s="1"/>
  <c r="V81" i="7" a="1"/>
  <c r="V81" i="7"/>
  <c r="V82" i="7" a="1"/>
  <c r="V82" i="7" s="1"/>
  <c r="V83" i="7" a="1"/>
  <c r="V83" i="7" s="1"/>
  <c r="V84" i="7" a="1"/>
  <c r="V84" i="7"/>
  <c r="V85" i="7" a="1"/>
  <c r="V85" i="7"/>
  <c r="V86" i="7" a="1"/>
  <c r="V86" i="7"/>
  <c r="V87" i="7" a="1"/>
  <c r="V87" i="7" s="1"/>
  <c r="V88" i="7" a="1"/>
  <c r="V88" i="7" s="1"/>
  <c r="V89" i="7" a="1"/>
  <c r="V89" i="7" s="1"/>
  <c r="V90" i="7" a="1"/>
  <c r="V90" i="7"/>
  <c r="V91" i="7" a="1"/>
  <c r="V91" i="7" s="1"/>
  <c r="V92" i="7" a="1"/>
  <c r="V92" i="7"/>
  <c r="V93" i="7" a="1"/>
  <c r="V93" i="7"/>
  <c r="V94" i="7" a="1"/>
  <c r="V94" i="7"/>
  <c r="V95" i="7" a="1"/>
  <c r="V95" i="7" s="1"/>
  <c r="V96" i="7" a="1"/>
  <c r="V96" i="7" s="1"/>
  <c r="V97" i="7" a="1"/>
  <c r="V97" i="7" s="1"/>
  <c r="V98" i="7" a="1"/>
  <c r="V98" i="7" s="1"/>
  <c r="V99" i="7" a="1"/>
  <c r="V99" i="7" s="1"/>
  <c r="V100" i="7" a="1"/>
  <c r="V100" i="7"/>
  <c r="V101" i="7" a="1"/>
  <c r="V101" i="7"/>
  <c r="V102" i="7" a="1"/>
  <c r="V102" i="7"/>
  <c r="V103" i="7" a="1"/>
  <c r="V103" i="7" s="1"/>
  <c r="V104" i="7" a="1"/>
  <c r="V104" i="7"/>
  <c r="V105" i="7" a="1"/>
  <c r="V105" i="7" s="1"/>
  <c r="V106" i="7" a="1"/>
  <c r="V106" i="7" s="1"/>
  <c r="V107" i="7" a="1"/>
  <c r="V107" i="7" s="1"/>
  <c r="V108" i="7" a="1"/>
  <c r="V108" i="7"/>
  <c r="V109" i="7" a="1"/>
  <c r="V109" i="7"/>
  <c r="V110" i="7" a="1"/>
  <c r="V110" i="7"/>
  <c r="V111" i="7" a="1"/>
  <c r="V111" i="7" s="1"/>
  <c r="V112" i="7" a="1"/>
  <c r="V112" i="7" s="1"/>
  <c r="V113" i="7" a="1"/>
  <c r="V113" i="7"/>
  <c r="V114" i="7" a="1"/>
  <c r="V114" i="7" s="1"/>
  <c r="V115" i="7" a="1"/>
  <c r="V115" i="7" s="1"/>
  <c r="V116" i="7" a="1"/>
  <c r="V116" i="7"/>
  <c r="V117" i="7" a="1"/>
  <c r="V117" i="7"/>
  <c r="V118" i="7" a="1"/>
  <c r="V118" i="7"/>
  <c r="V119" i="7" a="1"/>
  <c r="V119" i="7" s="1"/>
  <c r="V120" i="7" a="1"/>
  <c r="V120" i="7" s="1"/>
  <c r="V121" i="7" a="1"/>
  <c r="V121" i="7" s="1"/>
  <c r="V122" i="7" a="1"/>
  <c r="V122" i="7"/>
  <c r="V123" i="7" a="1"/>
  <c r="V123" i="7" s="1"/>
  <c r="V124" i="7" a="1"/>
  <c r="V124" i="7" s="1"/>
  <c r="V125" i="7" a="1"/>
  <c r="V125" i="7"/>
  <c r="V126" i="7" a="1"/>
  <c r="V126" i="7"/>
  <c r="V127" i="7" a="1"/>
  <c r="V127" i="7" s="1"/>
  <c r="V128" i="7" a="1"/>
  <c r="V128" i="7" s="1"/>
  <c r="V129" i="7" a="1"/>
  <c r="V129" i="7" s="1"/>
  <c r="V130" i="7" a="1"/>
  <c r="V130" i="7" s="1"/>
  <c r="V131" i="7" a="1"/>
  <c r="V131" i="7" s="1"/>
  <c r="V132" i="7" a="1"/>
  <c r="V132" i="7"/>
  <c r="V133" i="7" a="1"/>
  <c r="V133" i="7"/>
  <c r="V134" i="7" a="1"/>
  <c r="V134" i="7"/>
  <c r="V135" i="7" a="1"/>
  <c r="V135" i="7" s="1"/>
  <c r="V136" i="7" a="1"/>
  <c r="V136" i="7"/>
  <c r="V137" i="7" a="1"/>
  <c r="V137" i="7" s="1"/>
  <c r="V138" i="7" a="1"/>
  <c r="V138" i="7" s="1"/>
  <c r="V139" i="7" a="1"/>
  <c r="V139" i="7" s="1"/>
  <c r="V140" i="7" a="1"/>
  <c r="V140" i="7"/>
  <c r="V141" i="7" a="1"/>
  <c r="V141" i="7"/>
  <c r="V142" i="7" a="1"/>
  <c r="V142" i="7"/>
  <c r="V143" i="7" a="1"/>
  <c r="V143" i="7" s="1"/>
  <c r="V144" i="7" a="1"/>
  <c r="V144" i="7" s="1"/>
  <c r="V145" i="7" a="1"/>
  <c r="V145" i="7"/>
  <c r="V146" i="7" a="1"/>
  <c r="V146" i="7" s="1"/>
  <c r="V147" i="7" a="1"/>
  <c r="V147" i="7" s="1"/>
  <c r="V148" i="7" a="1"/>
  <c r="V148" i="7"/>
  <c r="V149" i="7" a="1"/>
  <c r="V149" i="7"/>
  <c r="V150" i="7" a="1"/>
  <c r="V150" i="7"/>
  <c r="V151" i="7" a="1"/>
  <c r="V151" i="7" s="1"/>
  <c r="V152" i="7" a="1"/>
  <c r="V152" i="7" s="1"/>
  <c r="V153" i="7" a="1"/>
  <c r="V153" i="7" s="1"/>
  <c r="V154" i="7" a="1"/>
  <c r="V154" i="7"/>
  <c r="V155" i="7" a="1"/>
  <c r="V155" i="7" s="1"/>
  <c r="V156" i="7" a="1"/>
  <c r="V156" i="7"/>
  <c r="V157" i="7" a="1"/>
  <c r="V157" i="7"/>
  <c r="V158" i="7" a="1"/>
  <c r="V158" i="7"/>
  <c r="V159" i="7" a="1"/>
  <c r="V159" i="7" s="1"/>
  <c r="V160" i="7" a="1"/>
  <c r="V160" i="7" s="1"/>
  <c r="V161" i="7" a="1"/>
  <c r="V161" i="7" s="1"/>
  <c r="V162" i="7" a="1"/>
  <c r="V162" i="7" s="1"/>
  <c r="V163" i="7" a="1"/>
  <c r="V163" i="7" s="1"/>
  <c r="V164" i="7" a="1"/>
  <c r="V164" i="7"/>
  <c r="V165" i="7" a="1"/>
  <c r="V165" i="7"/>
  <c r="V166" i="7" a="1"/>
  <c r="V166" i="7"/>
  <c r="V167" i="7" a="1"/>
  <c r="V167" i="7" s="1"/>
  <c r="V168" i="7" a="1"/>
  <c r="V168" i="7"/>
  <c r="V169" i="7" a="1"/>
  <c r="V169" i="7" s="1"/>
  <c r="V170" i="7" a="1"/>
  <c r="V170" i="7" s="1"/>
  <c r="V171" i="7" a="1"/>
  <c r="V171" i="7" s="1"/>
  <c r="V172" i="7" a="1"/>
  <c r="V172" i="7"/>
  <c r="V173" i="7" a="1"/>
  <c r="V173" i="7"/>
  <c r="V174" i="7" a="1"/>
  <c r="V174" i="7"/>
  <c r="V175" i="7" a="1"/>
  <c r="V175" i="7" s="1"/>
  <c r="V176" i="7" a="1"/>
  <c r="V176" i="7" s="1"/>
  <c r="V177" i="7" a="1"/>
  <c r="V177" i="7"/>
  <c r="V178" i="7" a="1"/>
  <c r="V178" i="7" s="1"/>
  <c r="V179" i="7" a="1"/>
  <c r="V179" i="7" s="1"/>
  <c r="V180" i="7" a="1"/>
  <c r="V180" i="7"/>
  <c r="V181" i="7" a="1"/>
  <c r="V181" i="7"/>
  <c r="V182" i="7" a="1"/>
  <c r="V182" i="7"/>
  <c r="V183" i="7" a="1"/>
  <c r="V183" i="7" s="1"/>
  <c r="V184" i="7" a="1"/>
  <c r="V184" i="7" s="1"/>
  <c r="V185" i="7" a="1"/>
  <c r="V185" i="7" s="1"/>
  <c r="V186" i="7" a="1"/>
  <c r="V186" i="7"/>
  <c r="V187" i="7" a="1"/>
  <c r="V187" i="7" s="1"/>
  <c r="V188" i="7" a="1"/>
  <c r="V188" i="7"/>
  <c r="V189" i="7" a="1"/>
  <c r="V189" i="7"/>
  <c r="V190" i="7" a="1"/>
  <c r="V190" i="7"/>
  <c r="V191" i="7" a="1"/>
  <c r="V191" i="7" s="1"/>
  <c r="V192" i="7" a="1"/>
  <c r="V192" i="7" s="1"/>
  <c r="V193" i="7" a="1"/>
  <c r="V193" i="7" s="1"/>
  <c r="V194" i="7" a="1"/>
  <c r="V194" i="7" s="1"/>
  <c r="V195" i="7" a="1"/>
  <c r="V195" i="7" s="1"/>
  <c r="V196" i="7" a="1"/>
  <c r="V196" i="7"/>
  <c r="V197" i="7" a="1"/>
  <c r="V197" i="7"/>
  <c r="V198" i="7" a="1"/>
  <c r="V198" i="7"/>
  <c r="V199" i="7" a="1"/>
  <c r="V199" i="7" s="1"/>
  <c r="V200" i="7" a="1"/>
  <c r="V200" i="7"/>
  <c r="V201" i="7" a="1"/>
  <c r="V201" i="7" s="1"/>
  <c r="V202" i="7" a="1"/>
  <c r="V202" i="7" s="1"/>
  <c r="V203" i="7" a="1"/>
  <c r="V203" i="7" s="1"/>
  <c r="V204" i="7" a="1"/>
  <c r="V204" i="7"/>
  <c r="V205" i="7" a="1"/>
  <c r="V205" i="7"/>
  <c r="V206" i="7" a="1"/>
  <c r="V206" i="7" s="1"/>
  <c r="V207" i="7" a="1"/>
  <c r="V207" i="7" s="1"/>
  <c r="V208" i="7" a="1"/>
  <c r="V208" i="7" s="1"/>
  <c r="V209" i="7" a="1"/>
  <c r="V209" i="7"/>
  <c r="V210" i="7" a="1"/>
  <c r="V210" i="7" s="1"/>
  <c r="V211" i="7" a="1"/>
  <c r="V211" i="7" s="1"/>
  <c r="V212" i="7" a="1"/>
  <c r="V212" i="7"/>
  <c r="V213" i="7" a="1"/>
  <c r="V213" i="7"/>
  <c r="V214" i="7" a="1"/>
  <c r="V214" i="7"/>
  <c r="V215" i="7" a="1"/>
  <c r="V215" i="7" s="1"/>
  <c r="V216" i="7" a="1"/>
  <c r="V216" i="7" s="1"/>
  <c r="V217" i="7" a="1"/>
  <c r="V217" i="7" s="1"/>
  <c r="V218" i="7" a="1"/>
  <c r="V218" i="7"/>
  <c r="V219" i="7" a="1"/>
  <c r="V219" i="7" s="1"/>
  <c r="V220" i="7" a="1"/>
  <c r="V220" i="7" s="1"/>
  <c r="V221" i="7" a="1"/>
  <c r="V221" i="7"/>
  <c r="V222" i="7" a="1"/>
  <c r="V222" i="7"/>
  <c r="V223" i="7" a="1"/>
  <c r="V223" i="7" s="1"/>
  <c r="V224" i="7" a="1"/>
  <c r="V224" i="7" s="1"/>
  <c r="V225" i="7" a="1"/>
  <c r="V225" i="7" s="1"/>
  <c r="V226" i="7" a="1"/>
  <c r="V226" i="7" s="1"/>
  <c r="V227" i="7" a="1"/>
  <c r="V227" i="7" s="1"/>
  <c r="V228" i="7" a="1"/>
  <c r="V228" i="7"/>
  <c r="V229" i="7" a="1"/>
  <c r="V229" i="7" s="1"/>
  <c r="V230" i="7" a="1"/>
  <c r="V230" i="7"/>
  <c r="V231" i="7" a="1"/>
  <c r="V231" i="7" s="1"/>
  <c r="V232" i="7" a="1"/>
  <c r="V232" i="7"/>
  <c r="V233" i="7" a="1"/>
  <c r="V233" i="7" s="1"/>
  <c r="V234" i="7" a="1"/>
  <c r="V234" i="7" s="1"/>
  <c r="V235" i="7" a="1"/>
  <c r="V235" i="7" s="1"/>
  <c r="V236" i="7" a="1"/>
  <c r="V236" i="7"/>
  <c r="V237" i="7" a="1"/>
  <c r="V237" i="7"/>
  <c r="V238" i="7" a="1"/>
  <c r="V238" i="7" s="1"/>
  <c r="V239" i="7" a="1"/>
  <c r="V239" i="7" s="1"/>
  <c r="V240" i="7" a="1"/>
  <c r="V240" i="7" s="1"/>
  <c r="V241" i="7" a="1"/>
  <c r="V241" i="7"/>
  <c r="V242" i="7" a="1"/>
  <c r="V242" i="7" s="1"/>
  <c r="V243" i="7" a="1"/>
  <c r="V243" i="7" s="1"/>
  <c r="V244" i="7" a="1"/>
  <c r="V244" i="7"/>
  <c r="V245" i="7" a="1"/>
  <c r="V245" i="7"/>
  <c r="V246" i="7" a="1"/>
  <c r="V246" i="7"/>
  <c r="V247" i="7" a="1"/>
  <c r="V247" i="7" s="1"/>
  <c r="V248" i="7" a="1"/>
  <c r="V248" i="7" s="1"/>
  <c r="V249" i="7" a="1"/>
  <c r="V249" i="7" s="1"/>
  <c r="V250" i="7" a="1"/>
  <c r="V250" i="7"/>
  <c r="V251" i="7" a="1"/>
  <c r="V251" i="7" s="1"/>
  <c r="V252" i="7" a="1"/>
  <c r="V252" i="7" s="1"/>
  <c r="V253" i="7" a="1"/>
  <c r="V253" i="7"/>
  <c r="V254" i="7" a="1"/>
  <c r="V254" i="7"/>
  <c r="V255" i="7" a="1"/>
  <c r="V255" i="7" s="1"/>
  <c r="V256" i="7" a="1"/>
  <c r="V256" i="7" s="1"/>
  <c r="V257" i="7" a="1"/>
  <c r="V257" i="7" s="1"/>
  <c r="V258" i="7" a="1"/>
  <c r="V258" i="7" s="1"/>
  <c r="V259" i="7" a="1"/>
  <c r="V259" i="7" s="1"/>
  <c r="V260" i="7" a="1"/>
  <c r="V260" i="7"/>
  <c r="V261" i="7" a="1"/>
  <c r="V261" i="7" s="1"/>
  <c r="V262" i="7" a="1"/>
  <c r="V262" i="7"/>
  <c r="V263" i="7" a="1"/>
  <c r="V263" i="7" s="1"/>
  <c r="V264" i="7" a="1"/>
  <c r="V264" i="7"/>
  <c r="V265" i="7" a="1"/>
  <c r="V265" i="7" s="1"/>
  <c r="V266" i="7" a="1"/>
  <c r="V266" i="7" s="1"/>
  <c r="V267" i="7" a="1"/>
  <c r="V267" i="7" s="1"/>
  <c r="V268" i="7" a="1"/>
  <c r="V268" i="7"/>
  <c r="V269" i="7" a="1"/>
  <c r="V269" i="7"/>
  <c r="V270" i="7" a="1"/>
  <c r="V270" i="7" s="1"/>
  <c r="V271" i="7" a="1"/>
  <c r="V271" i="7" s="1"/>
  <c r="V272" i="7" a="1"/>
  <c r="V272" i="7" s="1"/>
  <c r="V273" i="7" a="1"/>
  <c r="V273" i="7"/>
  <c r="V274" i="7" a="1"/>
  <c r="V274" i="7"/>
  <c r="V275" i="7" a="1"/>
  <c r="V275" i="7" s="1"/>
  <c r="V276" i="7" a="1"/>
  <c r="V276" i="7"/>
  <c r="V277" i="7" a="1"/>
  <c r="V277" i="7"/>
  <c r="V278" i="7" a="1"/>
  <c r="V278" i="7"/>
  <c r="V279" i="7" a="1"/>
  <c r="V279" i="7" s="1"/>
  <c r="V280" i="7" a="1"/>
  <c r="V280" i="7" s="1"/>
  <c r="V281" i="7" a="1"/>
  <c r="V281" i="7" s="1"/>
  <c r="V282" i="7" a="1"/>
  <c r="V282" i="7"/>
  <c r="V283" i="7" a="1"/>
  <c r="V283" i="7" s="1"/>
  <c r="V284" i="7" a="1"/>
  <c r="V284" i="7" s="1"/>
  <c r="V285" i="7" a="1"/>
  <c r="V285" i="7"/>
  <c r="V286" i="7" a="1"/>
  <c r="V286" i="7"/>
  <c r="V287" i="7" a="1"/>
  <c r="V287" i="7" s="1"/>
  <c r="V288" i="7" a="1"/>
  <c r="V288" i="7"/>
  <c r="V289" i="7" a="1"/>
  <c r="V289" i="7" s="1"/>
  <c r="V290" i="7" a="1"/>
  <c r="V290" i="7" s="1"/>
  <c r="V291" i="7" a="1"/>
  <c r="V291" i="7" s="1"/>
  <c r="V292" i="7" a="1"/>
  <c r="V292" i="7"/>
  <c r="V293" i="7" a="1"/>
  <c r="V293" i="7" s="1"/>
  <c r="V294" i="7" a="1"/>
  <c r="V294" i="7"/>
  <c r="V295" i="7" a="1"/>
  <c r="V295" i="7" s="1"/>
  <c r="V296" i="7" a="1"/>
  <c r="V296" i="7"/>
  <c r="V297" i="7" a="1"/>
  <c r="V297" i="7"/>
  <c r="V298" i="7" a="1"/>
  <c r="V298" i="7" s="1"/>
  <c r="V299" i="7" a="1"/>
  <c r="V299" i="7" s="1"/>
  <c r="V300" i="7" a="1"/>
  <c r="V300" i="7"/>
  <c r="V301" i="7" a="1"/>
  <c r="V301" i="7"/>
  <c r="V302" i="7" a="1"/>
  <c r="V302" i="7" s="1"/>
  <c r="V303" i="7" a="1"/>
  <c r="V303" i="7" s="1"/>
  <c r="V304" i="7" a="1"/>
  <c r="V304" i="7" s="1"/>
  <c r="V305" i="7" a="1"/>
  <c r="V305" i="7"/>
  <c r="V306" i="7" a="1"/>
  <c r="V306" i="7"/>
  <c r="V307" i="7" a="1"/>
  <c r="V307" i="7" s="1"/>
  <c r="V308" i="7" a="1"/>
  <c r="V308" i="7"/>
  <c r="V309" i="7" a="1"/>
  <c r="V309" i="7"/>
  <c r="V310" i="7" a="1"/>
  <c r="V310" i="7"/>
  <c r="V311" i="7" a="1"/>
  <c r="V311" i="7" s="1"/>
  <c r="V312" i="7" a="1"/>
  <c r="V312" i="7" s="1"/>
  <c r="V313" i="7" a="1"/>
  <c r="V313" i="7" s="1"/>
  <c r="V314" i="7" a="1"/>
  <c r="V314" i="7"/>
  <c r="V315" i="7" a="1"/>
  <c r="V315" i="7" s="1"/>
  <c r="V316" i="7" a="1"/>
  <c r="V316" i="7" s="1"/>
  <c r="V317" i="7" a="1"/>
  <c r="V317" i="7"/>
  <c r="V318" i="7" a="1"/>
  <c r="V318" i="7"/>
  <c r="V319" i="7" a="1"/>
  <c r="V319" i="7" s="1"/>
  <c r="V320" i="7" a="1"/>
  <c r="V320" i="7"/>
  <c r="V321" i="7" a="1"/>
  <c r="V321" i="7" s="1"/>
  <c r="V322" i="7" a="1"/>
  <c r="V322" i="7" s="1"/>
  <c r="V323" i="7" a="1"/>
  <c r="V323" i="7" s="1"/>
  <c r="V324" i="7" a="1"/>
  <c r="V324" i="7"/>
  <c r="V325" i="7" a="1"/>
  <c r="V325" i="7" s="1"/>
  <c r="V326" i="7" a="1"/>
  <c r="V326" i="7"/>
  <c r="V327" i="7" a="1"/>
  <c r="V327" i="7" s="1"/>
  <c r="V328" i="7" a="1"/>
  <c r="V328" i="7"/>
  <c r="V329" i="7" a="1"/>
  <c r="V329" i="7"/>
  <c r="V330" i="7" a="1"/>
  <c r="V330" i="7" s="1"/>
  <c r="V331" i="7" a="1"/>
  <c r="V331" i="7" s="1"/>
  <c r="V332" i="7" a="1"/>
  <c r="V332" i="7"/>
  <c r="V333" i="7" a="1"/>
  <c r="V333" i="7"/>
  <c r="V334" i="7" a="1"/>
  <c r="V334" i="7" s="1"/>
  <c r="V335" i="7" a="1"/>
  <c r="V335" i="7" s="1"/>
  <c r="V336" i="7" a="1"/>
  <c r="V336" i="7" s="1"/>
  <c r="V337" i="7" a="1"/>
  <c r="V337" i="7"/>
  <c r="V338" i="7" a="1"/>
  <c r="V338" i="7"/>
  <c r="V339" i="7" a="1"/>
  <c r="V339" i="7" s="1"/>
  <c r="V340" i="7" a="1"/>
  <c r="V340" i="7"/>
  <c r="V341" i="7" a="1"/>
  <c r="V341" i="7"/>
  <c r="V342" i="7" a="1"/>
  <c r="V342" i="7"/>
  <c r="V343" i="7" a="1"/>
  <c r="V343" i="7" s="1"/>
  <c r="V344" i="7" a="1"/>
  <c r="V344" i="7" s="1"/>
  <c r="V345" i="7" a="1"/>
  <c r="V345" i="7" s="1"/>
  <c r="V346" i="7" a="1"/>
  <c r="V346" i="7"/>
  <c r="V347" i="7" a="1"/>
  <c r="V347" i="7"/>
  <c r="V348" i="7" a="1"/>
  <c r="V348" i="7" s="1"/>
  <c r="V349" i="7" a="1"/>
  <c r="V349" i="7" s="1"/>
  <c r="V350" i="7" a="1"/>
  <c r="V350" i="7"/>
  <c r="V351" i="7" a="1"/>
  <c r="V351" i="7"/>
  <c r="V352" i="7" a="1"/>
  <c r="V352" i="7" s="1"/>
  <c r="V353" i="7" a="1"/>
  <c r="V353" i="7" s="1"/>
  <c r="V354" i="7" a="1"/>
  <c r="V354" i="7"/>
  <c r="V355" i="7" a="1"/>
  <c r="V355" i="7"/>
  <c r="V356" i="7" a="1"/>
  <c r="V356" i="7" s="1"/>
  <c r="V357" i="7" a="1"/>
  <c r="V357" i="7" s="1"/>
  <c r="V358" i="7" a="1"/>
  <c r="V358" i="7"/>
  <c r="V359" i="7" a="1"/>
  <c r="V359" i="7"/>
  <c r="V360" i="7" a="1"/>
  <c r="V360" i="7" s="1"/>
  <c r="V361" i="7" a="1"/>
  <c r="V361" i="7" s="1"/>
  <c r="V362" i="7" a="1"/>
  <c r="V362" i="7"/>
  <c r="V363" i="7" a="1"/>
  <c r="V363" i="7"/>
  <c r="V364" i="7" a="1"/>
  <c r="V364" i="7" s="1"/>
  <c r="V365" i="7" a="1"/>
  <c r="V365" i="7" s="1"/>
  <c r="V366" i="7" a="1"/>
  <c r="V366" i="7"/>
  <c r="V367" i="7" a="1"/>
  <c r="V367" i="7"/>
  <c r="V368" i="7" a="1"/>
  <c r="V368" i="7" s="1"/>
  <c r="V369" i="7" a="1"/>
  <c r="V369" i="7" s="1"/>
  <c r="V370" i="7" a="1"/>
  <c r="V370" i="7" s="1"/>
  <c r="V371" i="7" a="1"/>
  <c r="V371" i="7"/>
  <c r="V372" i="7" a="1"/>
  <c r="V372" i="7" s="1"/>
  <c r="V373" i="7" a="1"/>
  <c r="V373" i="7" s="1"/>
  <c r="V374" i="7" a="1"/>
  <c r="V374" i="7" s="1"/>
  <c r="V375" i="7" a="1"/>
  <c r="V375" i="7"/>
  <c r="V376" i="7" a="1"/>
  <c r="V376" i="7" s="1"/>
  <c r="V377" i="7" a="1"/>
  <c r="V377" i="7" s="1"/>
  <c r="V378" i="7" a="1"/>
  <c r="V378" i="7" s="1"/>
  <c r="V379" i="7" a="1"/>
  <c r="V379" i="7"/>
  <c r="V380" i="7" a="1"/>
  <c r="V380" i="7" s="1"/>
  <c r="V381" i="7" a="1"/>
  <c r="V381" i="7" s="1"/>
  <c r="V382" i="7" a="1"/>
  <c r="V382" i="7" s="1"/>
  <c r="V383" i="7" a="1"/>
  <c r="V383" i="7"/>
  <c r="V384" i="7" a="1"/>
  <c r="V384" i="7" s="1"/>
  <c r="V385" i="7" a="1"/>
  <c r="V385" i="7" s="1"/>
  <c r="V386" i="7" a="1"/>
  <c r="V386" i="7" s="1"/>
  <c r="V387" i="7" a="1"/>
  <c r="V387" i="7"/>
  <c r="V388" i="7" a="1"/>
  <c r="V388" i="7" s="1"/>
  <c r="V389" i="7" a="1"/>
  <c r="V389" i="7" s="1"/>
  <c r="V390" i="7" a="1"/>
  <c r="V390" i="7" s="1"/>
  <c r="V391" i="7" a="1"/>
  <c r="V391" i="7"/>
  <c r="V392" i="7" a="1"/>
  <c r="V392" i="7" s="1"/>
  <c r="V393" i="7" a="1"/>
  <c r="V393" i="7" s="1"/>
  <c r="V394" i="7" a="1"/>
  <c r="V394" i="7" s="1"/>
  <c r="V395" i="7" a="1"/>
  <c r="V395" i="7"/>
  <c r="V396" i="7" a="1"/>
  <c r="V396" i="7" s="1"/>
  <c r="V397" i="7" a="1"/>
  <c r="V397" i="7" s="1"/>
  <c r="V398" i="7" a="1"/>
  <c r="V398" i="7" s="1"/>
  <c r="V399" i="7" a="1"/>
  <c r="V399" i="7"/>
  <c r="V400" i="7" a="1"/>
  <c r="V400" i="7" s="1"/>
  <c r="V401" i="7" a="1"/>
  <c r="V401" i="7" s="1"/>
  <c r="V402" i="7" a="1"/>
  <c r="V402" i="7" s="1"/>
  <c r="V403" i="7" a="1"/>
  <c r="V403" i="7"/>
  <c r="V404" i="7" a="1"/>
  <c r="V404" i="7" s="1"/>
  <c r="V405" i="7" a="1"/>
  <c r="V405" i="7" s="1"/>
  <c r="V406" i="7" a="1"/>
  <c r="V406" i="7" s="1"/>
  <c r="V407" i="7" a="1"/>
  <c r="V407" i="7"/>
  <c r="V408" i="7" a="1"/>
  <c r="V408" i="7" s="1"/>
  <c r="V409" i="7" a="1"/>
  <c r="V409" i="7" s="1"/>
  <c r="V410" i="7" a="1"/>
  <c r="V410" i="7" s="1"/>
  <c r="V411" i="7" a="1"/>
  <c r="V411" i="7"/>
  <c r="V412" i="7" a="1"/>
  <c r="V412" i="7" s="1"/>
  <c r="V413" i="7" a="1"/>
  <c r="V413" i="7" s="1"/>
  <c r="V414" i="7" a="1"/>
  <c r="V414" i="7" s="1"/>
  <c r="V415" i="7" a="1"/>
  <c r="V415" i="7"/>
  <c r="V416" i="7" a="1"/>
  <c r="V416" i="7" s="1"/>
  <c r="V417" i="7" a="1"/>
  <c r="V417" i="7" s="1"/>
  <c r="V418" i="7" a="1"/>
  <c r="V418" i="7" s="1"/>
  <c r="V419" i="7" a="1"/>
  <c r="V419" i="7"/>
  <c r="V420" i="7" a="1"/>
  <c r="V420" i="7" s="1"/>
  <c r="V421" i="7" a="1"/>
  <c r="V421" i="7" s="1"/>
  <c r="V422" i="7" a="1"/>
  <c r="V422" i="7" s="1"/>
  <c r="V423" i="7" a="1"/>
  <c r="V423" i="7"/>
  <c r="V424" i="7" a="1"/>
  <c r="V424" i="7" s="1"/>
  <c r="V425" i="7" a="1"/>
  <c r="V425" i="7" s="1"/>
  <c r="V426" i="7" a="1"/>
  <c r="V426" i="7" s="1"/>
  <c r="V427" i="7" a="1"/>
  <c r="V427" i="7"/>
  <c r="V428" i="7" a="1"/>
  <c r="V428" i="7" s="1"/>
  <c r="V429" i="7" a="1"/>
  <c r="V429" i="7" s="1"/>
  <c r="V430" i="7" a="1"/>
  <c r="V430" i="7" s="1"/>
  <c r="V431" i="7" a="1"/>
  <c r="V431" i="7"/>
  <c r="V432" i="7" a="1"/>
  <c r="V432" i="7" s="1"/>
  <c r="V433" i="7" a="1"/>
  <c r="V433" i="7" s="1"/>
  <c r="V434" i="7" a="1"/>
  <c r="V434" i="7" s="1"/>
  <c r="V435" i="7" a="1"/>
  <c r="V435" i="7"/>
  <c r="V436" i="7" a="1"/>
  <c r="V436" i="7" s="1"/>
  <c r="V437" i="7" a="1"/>
  <c r="V437" i="7" s="1"/>
  <c r="V438" i="7" a="1"/>
  <c r="V438" i="7" s="1"/>
  <c r="V439" i="7" a="1"/>
  <c r="V439" i="7"/>
  <c r="V440" i="7" a="1"/>
  <c r="V440" i="7" s="1"/>
  <c r="V441" i="7" a="1"/>
  <c r="V441" i="7" s="1"/>
  <c r="V442" i="7" a="1"/>
  <c r="V442" i="7" s="1"/>
  <c r="V443" i="7" a="1"/>
  <c r="V443" i="7"/>
  <c r="V444" i="7" a="1"/>
  <c r="V444" i="7" s="1"/>
  <c r="V445" i="7" a="1"/>
  <c r="V445" i="7" s="1"/>
  <c r="V446" i="7" a="1"/>
  <c r="V446" i="7" s="1"/>
  <c r="V447" i="7" a="1"/>
  <c r="V447" i="7"/>
  <c r="V448" i="7" a="1"/>
  <c r="V448" i="7" s="1"/>
  <c r="V449" i="7" a="1"/>
  <c r="V449" i="7" s="1"/>
  <c r="V450" i="7" a="1"/>
  <c r="V450" i="7" s="1"/>
  <c r="V451" i="7" a="1"/>
  <c r="V451" i="7"/>
  <c r="V452" i="7" a="1"/>
  <c r="V452" i="7" s="1"/>
  <c r="V453" i="7" a="1"/>
  <c r="V453" i="7" s="1"/>
  <c r="V454" i="7" a="1"/>
  <c r="V454" i="7" s="1"/>
  <c r="V455" i="7" a="1"/>
  <c r="V455" i="7"/>
  <c r="V456" i="7" a="1"/>
  <c r="V456" i="7" s="1"/>
  <c r="V457" i="7" a="1"/>
  <c r="V457" i="7" s="1"/>
  <c r="V458" i="7" a="1"/>
  <c r="V458" i="7" s="1"/>
  <c r="V459" i="7" a="1"/>
  <c r="V459" i="7"/>
  <c r="V460" i="7" a="1"/>
  <c r="V460" i="7" s="1"/>
  <c r="V461" i="7" a="1"/>
  <c r="V461" i="7" s="1"/>
  <c r="V462" i="7" a="1"/>
  <c r="V462" i="7" s="1"/>
  <c r="V463" i="7" a="1"/>
  <c r="V463" i="7"/>
  <c r="V464" i="7" a="1"/>
  <c r="V464" i="7" s="1"/>
  <c r="V465" i="7" a="1"/>
  <c r="V465" i="7" s="1"/>
  <c r="V466" i="7" a="1"/>
  <c r="V466" i="7" s="1"/>
  <c r="V467" i="7" a="1"/>
  <c r="V467" i="7"/>
  <c r="V468" i="7" a="1"/>
  <c r="V468" i="7" s="1"/>
  <c r="V469" i="7" a="1"/>
  <c r="V469" i="7" s="1"/>
  <c r="V470" i="7" a="1"/>
  <c r="V470" i="7" s="1"/>
  <c r="V471" i="7" a="1"/>
  <c r="V471" i="7"/>
  <c r="V472" i="7" a="1"/>
  <c r="V472" i="7" s="1"/>
  <c r="V473" i="7" a="1"/>
  <c r="V473" i="7" s="1"/>
  <c r="V474" i="7" a="1"/>
  <c r="V474" i="7" s="1"/>
  <c r="V475" i="7" a="1"/>
  <c r="V475" i="7"/>
  <c r="V476" i="7" a="1"/>
  <c r="V476" i="7" s="1"/>
  <c r="V477" i="7" a="1"/>
  <c r="V477" i="7" s="1"/>
  <c r="V478" i="7" a="1"/>
  <c r="V478" i="7" s="1"/>
  <c r="V479" i="7" a="1"/>
  <c r="V479" i="7"/>
  <c r="V480" i="7" a="1"/>
  <c r="V480" i="7" s="1"/>
  <c r="V481" i="7" a="1"/>
  <c r="V481" i="7" s="1"/>
  <c r="V482" i="7" a="1"/>
  <c r="V482" i="7" s="1"/>
  <c r="V483" i="7" a="1"/>
  <c r="V483" i="7"/>
  <c r="V484" i="7" a="1"/>
  <c r="V484" i="7" s="1"/>
  <c r="V485" i="7" a="1"/>
  <c r="V485" i="7" s="1"/>
  <c r="V486" i="7" a="1"/>
  <c r="V486" i="7" s="1"/>
  <c r="V487" i="7" a="1"/>
  <c r="V487" i="7"/>
  <c r="V488" i="7" a="1"/>
  <c r="V488" i="7" s="1"/>
  <c r="V489" i="7" a="1"/>
  <c r="V489" i="7" s="1"/>
  <c r="V490" i="7" a="1"/>
  <c r="V490" i="7" s="1"/>
  <c r="V491" i="7" a="1"/>
  <c r="V491" i="7"/>
  <c r="V492" i="7" a="1"/>
  <c r="V492" i="7" s="1"/>
  <c r="V493" i="7" a="1"/>
  <c r="V493" i="7" s="1"/>
  <c r="V494" i="7" a="1"/>
  <c r="V494" i="7" s="1"/>
  <c r="V495" i="7" a="1"/>
  <c r="V495" i="7"/>
  <c r="V496" i="7" a="1"/>
  <c r="V496" i="7" s="1"/>
  <c r="V497" i="7" a="1"/>
  <c r="V497" i="7" s="1"/>
  <c r="V6" i="7" a="1"/>
  <c r="V6" i="7" s="1"/>
  <c r="Y15" i="7"/>
  <c r="U4" i="7"/>
  <c r="P4" i="7"/>
  <c r="Q4" i="7"/>
  <c r="R4" i="7"/>
  <c r="S4" i="7"/>
  <c r="T4" i="7"/>
  <c r="O4" i="7"/>
  <c r="N4" i="7"/>
  <c r="M4" i="7"/>
  <c r="U496" i="7"/>
  <c r="U495" i="7"/>
  <c r="U494" i="7"/>
  <c r="U493" i="7"/>
  <c r="U492" i="7"/>
  <c r="U491" i="7"/>
  <c r="U490" i="7"/>
  <c r="U489" i="7"/>
  <c r="U488" i="7"/>
  <c r="U487" i="7"/>
  <c r="U486" i="7"/>
  <c r="U485" i="7"/>
  <c r="U484" i="7"/>
  <c r="U483" i="7"/>
  <c r="U482" i="7"/>
  <c r="U481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6" i="7"/>
  <c r="U465" i="7"/>
  <c r="U464" i="7"/>
  <c r="U463" i="7"/>
  <c r="U462" i="7"/>
  <c r="U461" i="7"/>
  <c r="U460" i="7"/>
  <c r="U459" i="7"/>
  <c r="U458" i="7"/>
  <c r="U457" i="7"/>
  <c r="U456" i="7"/>
  <c r="U455" i="7"/>
  <c r="U454" i="7"/>
  <c r="U453" i="7"/>
  <c r="U452" i="7"/>
  <c r="U451" i="7"/>
  <c r="U450" i="7"/>
  <c r="U449" i="7"/>
  <c r="U448" i="7"/>
  <c r="U447" i="7"/>
  <c r="U446" i="7"/>
  <c r="U445" i="7"/>
  <c r="U444" i="7"/>
  <c r="U443" i="7"/>
  <c r="U442" i="7"/>
  <c r="U441" i="7"/>
  <c r="U440" i="7"/>
  <c r="U439" i="7"/>
  <c r="U438" i="7"/>
  <c r="U437" i="7"/>
  <c r="U436" i="7"/>
  <c r="U435" i="7"/>
  <c r="U434" i="7"/>
  <c r="U433" i="7"/>
  <c r="U432" i="7"/>
  <c r="U431" i="7"/>
  <c r="U430" i="7"/>
  <c r="U429" i="7"/>
  <c r="U428" i="7"/>
  <c r="U427" i="7"/>
  <c r="U426" i="7"/>
  <c r="U425" i="7"/>
  <c r="U424" i="7"/>
  <c r="U423" i="7"/>
  <c r="U422" i="7"/>
  <c r="U421" i="7"/>
  <c r="U420" i="7"/>
  <c r="U419" i="7"/>
  <c r="U418" i="7"/>
  <c r="U417" i="7"/>
  <c r="U416" i="7"/>
  <c r="U415" i="7"/>
  <c r="U414" i="7"/>
  <c r="U413" i="7"/>
  <c r="U412" i="7"/>
  <c r="U411" i="7"/>
  <c r="U410" i="7"/>
  <c r="U409" i="7"/>
  <c r="U408" i="7"/>
  <c r="U407" i="7"/>
  <c r="U406" i="7"/>
  <c r="U405" i="7"/>
  <c r="U404" i="7"/>
  <c r="U403" i="7"/>
  <c r="U402" i="7"/>
  <c r="U401" i="7"/>
  <c r="U400" i="7"/>
  <c r="U399" i="7"/>
  <c r="U398" i="7"/>
  <c r="U397" i="7"/>
  <c r="U396" i="7"/>
  <c r="U395" i="7"/>
  <c r="U394" i="7"/>
  <c r="U393" i="7"/>
  <c r="U392" i="7"/>
  <c r="U391" i="7"/>
  <c r="U390" i="7"/>
  <c r="U389" i="7"/>
  <c r="U388" i="7"/>
  <c r="U387" i="7"/>
  <c r="U386" i="7"/>
  <c r="U385" i="7"/>
  <c r="U384" i="7"/>
  <c r="U383" i="7"/>
  <c r="U382" i="7"/>
  <c r="U381" i="7"/>
  <c r="U380" i="7"/>
  <c r="U379" i="7"/>
  <c r="U378" i="7"/>
  <c r="U377" i="7"/>
  <c r="U376" i="7"/>
  <c r="U375" i="7"/>
  <c r="U374" i="7"/>
  <c r="U373" i="7"/>
  <c r="U372" i="7"/>
  <c r="U371" i="7"/>
  <c r="U370" i="7"/>
  <c r="U369" i="7"/>
  <c r="U368" i="7"/>
  <c r="U367" i="7"/>
  <c r="U366" i="7"/>
  <c r="U365" i="7"/>
  <c r="U364" i="7"/>
  <c r="U363" i="7"/>
  <c r="U362" i="7"/>
  <c r="U361" i="7"/>
  <c r="U360" i="7"/>
  <c r="U359" i="7"/>
  <c r="U358" i="7"/>
  <c r="U357" i="7"/>
  <c r="U356" i="7"/>
  <c r="U355" i="7"/>
  <c r="U354" i="7"/>
  <c r="U353" i="7"/>
  <c r="U352" i="7"/>
  <c r="U351" i="7"/>
  <c r="U350" i="7"/>
  <c r="U349" i="7"/>
  <c r="U348" i="7"/>
  <c r="U347" i="7"/>
  <c r="U346" i="7"/>
  <c r="U345" i="7"/>
  <c r="U344" i="7"/>
  <c r="U343" i="7"/>
  <c r="U342" i="7"/>
  <c r="U341" i="7"/>
  <c r="U340" i="7"/>
  <c r="U339" i="7"/>
  <c r="U338" i="7"/>
  <c r="U337" i="7"/>
  <c r="U336" i="7"/>
  <c r="U335" i="7"/>
  <c r="U334" i="7"/>
  <c r="U333" i="7"/>
  <c r="U332" i="7"/>
  <c r="U331" i="7"/>
  <c r="U330" i="7"/>
  <c r="U329" i="7"/>
  <c r="U328" i="7"/>
  <c r="U327" i="7"/>
  <c r="U326" i="7"/>
  <c r="U325" i="7"/>
  <c r="U324" i="7"/>
  <c r="U323" i="7"/>
  <c r="U322" i="7"/>
  <c r="U321" i="7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M6" i="7"/>
  <c r="N6" i="7"/>
  <c r="O6" i="7"/>
  <c r="P6" i="7"/>
  <c r="Q6" i="7"/>
  <c r="R6" i="7"/>
  <c r="S6" i="7"/>
  <c r="T6" i="7"/>
  <c r="M7" i="7"/>
  <c r="N7" i="7"/>
  <c r="O7" i="7"/>
  <c r="P7" i="7"/>
  <c r="Q7" i="7"/>
  <c r="R7" i="7"/>
  <c r="S7" i="7"/>
  <c r="T7" i="7"/>
  <c r="M8" i="7"/>
  <c r="N8" i="7"/>
  <c r="O8" i="7"/>
  <c r="P8" i="7"/>
  <c r="Q8" i="7"/>
  <c r="R8" i="7"/>
  <c r="S8" i="7"/>
  <c r="T8" i="7"/>
  <c r="M9" i="7"/>
  <c r="N9" i="7"/>
  <c r="O9" i="7"/>
  <c r="P9" i="7"/>
  <c r="Q9" i="7"/>
  <c r="R9" i="7"/>
  <c r="S9" i="7"/>
  <c r="T9" i="7"/>
  <c r="M10" i="7"/>
  <c r="N10" i="7"/>
  <c r="O10" i="7"/>
  <c r="P10" i="7"/>
  <c r="Q10" i="7"/>
  <c r="R10" i="7"/>
  <c r="S10" i="7"/>
  <c r="T10" i="7"/>
  <c r="M11" i="7"/>
  <c r="N11" i="7"/>
  <c r="O11" i="7"/>
  <c r="P11" i="7"/>
  <c r="Q11" i="7"/>
  <c r="R11" i="7"/>
  <c r="S11" i="7"/>
  <c r="T11" i="7"/>
  <c r="M12" i="7"/>
  <c r="N12" i="7"/>
  <c r="O12" i="7"/>
  <c r="P12" i="7"/>
  <c r="Q12" i="7"/>
  <c r="R12" i="7"/>
  <c r="S12" i="7"/>
  <c r="T12" i="7"/>
  <c r="M13" i="7"/>
  <c r="N13" i="7"/>
  <c r="O13" i="7"/>
  <c r="P13" i="7"/>
  <c r="Q13" i="7"/>
  <c r="R13" i="7"/>
  <c r="S13" i="7"/>
  <c r="T13" i="7"/>
  <c r="M14" i="7"/>
  <c r="N14" i="7"/>
  <c r="O14" i="7"/>
  <c r="P14" i="7"/>
  <c r="Q14" i="7"/>
  <c r="R14" i="7"/>
  <c r="S14" i="7"/>
  <c r="T14" i="7"/>
  <c r="M15" i="7"/>
  <c r="N15" i="7"/>
  <c r="O15" i="7"/>
  <c r="P15" i="7"/>
  <c r="Q15" i="7"/>
  <c r="R15" i="7"/>
  <c r="S15" i="7"/>
  <c r="T15" i="7"/>
  <c r="M16" i="7"/>
  <c r="N16" i="7"/>
  <c r="O16" i="7"/>
  <c r="P16" i="7"/>
  <c r="Q16" i="7"/>
  <c r="R16" i="7"/>
  <c r="S16" i="7"/>
  <c r="T16" i="7"/>
  <c r="M17" i="7"/>
  <c r="N17" i="7"/>
  <c r="O17" i="7"/>
  <c r="P17" i="7"/>
  <c r="Q17" i="7"/>
  <c r="R17" i="7"/>
  <c r="S17" i="7"/>
  <c r="T17" i="7"/>
  <c r="M18" i="7"/>
  <c r="N18" i="7"/>
  <c r="O18" i="7"/>
  <c r="P18" i="7"/>
  <c r="Q18" i="7"/>
  <c r="R18" i="7"/>
  <c r="S18" i="7"/>
  <c r="T18" i="7"/>
  <c r="M19" i="7"/>
  <c r="N19" i="7"/>
  <c r="O19" i="7"/>
  <c r="P19" i="7"/>
  <c r="Q19" i="7"/>
  <c r="R19" i="7"/>
  <c r="S19" i="7"/>
  <c r="T19" i="7"/>
  <c r="M20" i="7"/>
  <c r="N20" i="7"/>
  <c r="O20" i="7"/>
  <c r="P20" i="7"/>
  <c r="Q20" i="7"/>
  <c r="R20" i="7"/>
  <c r="S20" i="7"/>
  <c r="T20" i="7"/>
  <c r="M21" i="7"/>
  <c r="N21" i="7"/>
  <c r="O21" i="7"/>
  <c r="P21" i="7"/>
  <c r="Q21" i="7"/>
  <c r="R21" i="7"/>
  <c r="S21" i="7"/>
  <c r="T21" i="7"/>
  <c r="M22" i="7"/>
  <c r="N22" i="7"/>
  <c r="O22" i="7"/>
  <c r="P22" i="7"/>
  <c r="Q22" i="7"/>
  <c r="R22" i="7"/>
  <c r="S22" i="7"/>
  <c r="T22" i="7"/>
  <c r="M23" i="7"/>
  <c r="N23" i="7"/>
  <c r="O23" i="7"/>
  <c r="P23" i="7"/>
  <c r="Q23" i="7"/>
  <c r="R23" i="7"/>
  <c r="S23" i="7"/>
  <c r="T23" i="7"/>
  <c r="M24" i="7"/>
  <c r="N24" i="7"/>
  <c r="O24" i="7"/>
  <c r="P24" i="7"/>
  <c r="Q24" i="7"/>
  <c r="R24" i="7"/>
  <c r="S24" i="7"/>
  <c r="T24" i="7"/>
  <c r="M25" i="7"/>
  <c r="N25" i="7"/>
  <c r="O25" i="7"/>
  <c r="P25" i="7"/>
  <c r="Q25" i="7"/>
  <c r="R25" i="7"/>
  <c r="S25" i="7"/>
  <c r="T25" i="7"/>
  <c r="M26" i="7"/>
  <c r="N26" i="7"/>
  <c r="O26" i="7"/>
  <c r="P26" i="7"/>
  <c r="Q26" i="7"/>
  <c r="R26" i="7"/>
  <c r="S26" i="7"/>
  <c r="T26" i="7"/>
  <c r="M27" i="7"/>
  <c r="N27" i="7"/>
  <c r="O27" i="7"/>
  <c r="P27" i="7"/>
  <c r="Q27" i="7"/>
  <c r="R27" i="7"/>
  <c r="S27" i="7"/>
  <c r="T27" i="7"/>
  <c r="M28" i="7"/>
  <c r="N28" i="7"/>
  <c r="O28" i="7"/>
  <c r="P28" i="7"/>
  <c r="Q28" i="7"/>
  <c r="R28" i="7"/>
  <c r="S28" i="7"/>
  <c r="T28" i="7"/>
  <c r="M29" i="7"/>
  <c r="N29" i="7"/>
  <c r="O29" i="7"/>
  <c r="P29" i="7"/>
  <c r="Q29" i="7"/>
  <c r="R29" i="7"/>
  <c r="S29" i="7"/>
  <c r="T29" i="7"/>
  <c r="M30" i="7"/>
  <c r="N30" i="7"/>
  <c r="O30" i="7"/>
  <c r="P30" i="7"/>
  <c r="Q30" i="7"/>
  <c r="R30" i="7"/>
  <c r="S30" i="7"/>
  <c r="T30" i="7"/>
  <c r="M31" i="7"/>
  <c r="N31" i="7"/>
  <c r="O31" i="7"/>
  <c r="P31" i="7"/>
  <c r="Q31" i="7"/>
  <c r="R31" i="7"/>
  <c r="S31" i="7"/>
  <c r="T31" i="7"/>
  <c r="M32" i="7"/>
  <c r="N32" i="7"/>
  <c r="O32" i="7"/>
  <c r="P32" i="7"/>
  <c r="Q32" i="7"/>
  <c r="R32" i="7"/>
  <c r="S32" i="7"/>
  <c r="T32" i="7"/>
  <c r="M33" i="7"/>
  <c r="N33" i="7"/>
  <c r="O33" i="7"/>
  <c r="P33" i="7"/>
  <c r="Q33" i="7"/>
  <c r="R33" i="7"/>
  <c r="S33" i="7"/>
  <c r="T33" i="7"/>
  <c r="M34" i="7"/>
  <c r="N34" i="7"/>
  <c r="O34" i="7"/>
  <c r="P34" i="7"/>
  <c r="Q34" i="7"/>
  <c r="R34" i="7"/>
  <c r="S34" i="7"/>
  <c r="T34" i="7"/>
  <c r="M35" i="7"/>
  <c r="N35" i="7"/>
  <c r="O35" i="7"/>
  <c r="P35" i="7"/>
  <c r="Q35" i="7"/>
  <c r="R35" i="7"/>
  <c r="S35" i="7"/>
  <c r="T35" i="7"/>
  <c r="M36" i="7"/>
  <c r="N36" i="7"/>
  <c r="O36" i="7"/>
  <c r="P36" i="7"/>
  <c r="Q36" i="7"/>
  <c r="R36" i="7"/>
  <c r="S36" i="7"/>
  <c r="T36" i="7"/>
  <c r="M37" i="7"/>
  <c r="N37" i="7"/>
  <c r="O37" i="7"/>
  <c r="P37" i="7"/>
  <c r="Q37" i="7"/>
  <c r="R37" i="7"/>
  <c r="S37" i="7"/>
  <c r="T37" i="7"/>
  <c r="M38" i="7"/>
  <c r="N38" i="7"/>
  <c r="O38" i="7"/>
  <c r="P38" i="7"/>
  <c r="Q38" i="7"/>
  <c r="R38" i="7"/>
  <c r="S38" i="7"/>
  <c r="T38" i="7"/>
  <c r="M39" i="7"/>
  <c r="N39" i="7"/>
  <c r="O39" i="7"/>
  <c r="P39" i="7"/>
  <c r="Q39" i="7"/>
  <c r="R39" i="7"/>
  <c r="S39" i="7"/>
  <c r="T39" i="7"/>
  <c r="M40" i="7"/>
  <c r="N40" i="7"/>
  <c r="O40" i="7"/>
  <c r="P40" i="7"/>
  <c r="Q40" i="7"/>
  <c r="R40" i="7"/>
  <c r="S40" i="7"/>
  <c r="T40" i="7"/>
  <c r="M41" i="7"/>
  <c r="N41" i="7"/>
  <c r="O41" i="7"/>
  <c r="P41" i="7"/>
  <c r="Q41" i="7"/>
  <c r="R41" i="7"/>
  <c r="S41" i="7"/>
  <c r="T41" i="7"/>
  <c r="M42" i="7"/>
  <c r="N42" i="7"/>
  <c r="O42" i="7"/>
  <c r="P42" i="7"/>
  <c r="Q42" i="7"/>
  <c r="R42" i="7"/>
  <c r="S42" i="7"/>
  <c r="T42" i="7"/>
  <c r="M43" i="7"/>
  <c r="N43" i="7"/>
  <c r="O43" i="7"/>
  <c r="P43" i="7"/>
  <c r="Q43" i="7"/>
  <c r="R43" i="7"/>
  <c r="S43" i="7"/>
  <c r="T43" i="7"/>
  <c r="M44" i="7"/>
  <c r="N44" i="7"/>
  <c r="O44" i="7"/>
  <c r="P44" i="7"/>
  <c r="Q44" i="7"/>
  <c r="R44" i="7"/>
  <c r="S44" i="7"/>
  <c r="T44" i="7"/>
  <c r="M45" i="7"/>
  <c r="N45" i="7"/>
  <c r="O45" i="7"/>
  <c r="P45" i="7"/>
  <c r="Q45" i="7"/>
  <c r="R45" i="7"/>
  <c r="S45" i="7"/>
  <c r="T45" i="7"/>
  <c r="M46" i="7"/>
  <c r="N46" i="7"/>
  <c r="O46" i="7"/>
  <c r="P46" i="7"/>
  <c r="Q46" i="7"/>
  <c r="R46" i="7"/>
  <c r="S46" i="7"/>
  <c r="T46" i="7"/>
  <c r="M47" i="7"/>
  <c r="N47" i="7"/>
  <c r="O47" i="7"/>
  <c r="P47" i="7"/>
  <c r="Q47" i="7"/>
  <c r="R47" i="7"/>
  <c r="S47" i="7"/>
  <c r="T47" i="7"/>
  <c r="M48" i="7"/>
  <c r="N48" i="7"/>
  <c r="O48" i="7"/>
  <c r="P48" i="7"/>
  <c r="Q48" i="7"/>
  <c r="R48" i="7"/>
  <c r="S48" i="7"/>
  <c r="T48" i="7"/>
  <c r="M49" i="7"/>
  <c r="N49" i="7"/>
  <c r="O49" i="7"/>
  <c r="P49" i="7"/>
  <c r="Q49" i="7"/>
  <c r="R49" i="7"/>
  <c r="S49" i="7"/>
  <c r="T49" i="7"/>
  <c r="M50" i="7"/>
  <c r="N50" i="7"/>
  <c r="O50" i="7"/>
  <c r="P50" i="7"/>
  <c r="Q50" i="7"/>
  <c r="R50" i="7"/>
  <c r="S50" i="7"/>
  <c r="T50" i="7"/>
  <c r="M51" i="7"/>
  <c r="N51" i="7"/>
  <c r="O51" i="7"/>
  <c r="P51" i="7"/>
  <c r="Q51" i="7"/>
  <c r="R51" i="7"/>
  <c r="S51" i="7"/>
  <c r="T51" i="7"/>
  <c r="M52" i="7"/>
  <c r="N52" i="7"/>
  <c r="O52" i="7"/>
  <c r="P52" i="7"/>
  <c r="Q52" i="7"/>
  <c r="R52" i="7"/>
  <c r="S52" i="7"/>
  <c r="T52" i="7"/>
  <c r="M53" i="7"/>
  <c r="N53" i="7"/>
  <c r="O53" i="7"/>
  <c r="P53" i="7"/>
  <c r="Q53" i="7"/>
  <c r="R53" i="7"/>
  <c r="S53" i="7"/>
  <c r="T53" i="7"/>
  <c r="M54" i="7"/>
  <c r="N54" i="7"/>
  <c r="O54" i="7"/>
  <c r="P54" i="7"/>
  <c r="Q54" i="7"/>
  <c r="R54" i="7"/>
  <c r="S54" i="7"/>
  <c r="T54" i="7"/>
  <c r="M55" i="7"/>
  <c r="N55" i="7"/>
  <c r="O55" i="7"/>
  <c r="P55" i="7"/>
  <c r="Q55" i="7"/>
  <c r="R55" i="7"/>
  <c r="S55" i="7"/>
  <c r="T55" i="7"/>
  <c r="M56" i="7"/>
  <c r="N56" i="7"/>
  <c r="O56" i="7"/>
  <c r="P56" i="7"/>
  <c r="Q56" i="7"/>
  <c r="R56" i="7"/>
  <c r="S56" i="7"/>
  <c r="T56" i="7"/>
  <c r="M57" i="7"/>
  <c r="N57" i="7"/>
  <c r="O57" i="7"/>
  <c r="P57" i="7"/>
  <c r="Q57" i="7"/>
  <c r="R57" i="7"/>
  <c r="S57" i="7"/>
  <c r="T57" i="7"/>
  <c r="M58" i="7"/>
  <c r="N58" i="7"/>
  <c r="O58" i="7"/>
  <c r="P58" i="7"/>
  <c r="Q58" i="7"/>
  <c r="R58" i="7"/>
  <c r="S58" i="7"/>
  <c r="T58" i="7"/>
  <c r="M59" i="7"/>
  <c r="N59" i="7"/>
  <c r="O59" i="7"/>
  <c r="P59" i="7"/>
  <c r="Q59" i="7"/>
  <c r="R59" i="7"/>
  <c r="S59" i="7"/>
  <c r="T59" i="7"/>
  <c r="M60" i="7"/>
  <c r="N60" i="7"/>
  <c r="O60" i="7"/>
  <c r="P60" i="7"/>
  <c r="Q60" i="7"/>
  <c r="R60" i="7"/>
  <c r="S60" i="7"/>
  <c r="T60" i="7"/>
  <c r="M61" i="7"/>
  <c r="N61" i="7"/>
  <c r="O61" i="7"/>
  <c r="P61" i="7"/>
  <c r="Q61" i="7"/>
  <c r="R61" i="7"/>
  <c r="S61" i="7"/>
  <c r="T61" i="7"/>
  <c r="M62" i="7"/>
  <c r="N62" i="7"/>
  <c r="O62" i="7"/>
  <c r="P62" i="7"/>
  <c r="Q62" i="7"/>
  <c r="R62" i="7"/>
  <c r="S62" i="7"/>
  <c r="T62" i="7"/>
  <c r="M63" i="7"/>
  <c r="N63" i="7"/>
  <c r="O63" i="7"/>
  <c r="P63" i="7"/>
  <c r="Q63" i="7"/>
  <c r="R63" i="7"/>
  <c r="S63" i="7"/>
  <c r="T63" i="7"/>
  <c r="M64" i="7"/>
  <c r="N64" i="7"/>
  <c r="O64" i="7"/>
  <c r="P64" i="7"/>
  <c r="Q64" i="7"/>
  <c r="R64" i="7"/>
  <c r="S64" i="7"/>
  <c r="T64" i="7"/>
  <c r="M65" i="7"/>
  <c r="N65" i="7"/>
  <c r="O65" i="7"/>
  <c r="P65" i="7"/>
  <c r="Q65" i="7"/>
  <c r="R65" i="7"/>
  <c r="S65" i="7"/>
  <c r="T65" i="7"/>
  <c r="M66" i="7"/>
  <c r="N66" i="7"/>
  <c r="O66" i="7"/>
  <c r="P66" i="7"/>
  <c r="Q66" i="7"/>
  <c r="R66" i="7"/>
  <c r="S66" i="7"/>
  <c r="T66" i="7"/>
  <c r="M67" i="7"/>
  <c r="N67" i="7"/>
  <c r="O67" i="7"/>
  <c r="P67" i="7"/>
  <c r="Q67" i="7"/>
  <c r="R67" i="7"/>
  <c r="S67" i="7"/>
  <c r="T67" i="7"/>
  <c r="M68" i="7"/>
  <c r="N68" i="7"/>
  <c r="O68" i="7"/>
  <c r="P68" i="7"/>
  <c r="Q68" i="7"/>
  <c r="R68" i="7"/>
  <c r="S68" i="7"/>
  <c r="T68" i="7"/>
  <c r="M69" i="7"/>
  <c r="N69" i="7"/>
  <c r="O69" i="7"/>
  <c r="P69" i="7"/>
  <c r="Q69" i="7"/>
  <c r="R69" i="7"/>
  <c r="S69" i="7"/>
  <c r="T69" i="7"/>
  <c r="M70" i="7"/>
  <c r="N70" i="7"/>
  <c r="O70" i="7"/>
  <c r="P70" i="7"/>
  <c r="Q70" i="7"/>
  <c r="R70" i="7"/>
  <c r="S70" i="7"/>
  <c r="T70" i="7"/>
  <c r="M71" i="7"/>
  <c r="N71" i="7"/>
  <c r="O71" i="7"/>
  <c r="P71" i="7"/>
  <c r="Q71" i="7"/>
  <c r="R71" i="7"/>
  <c r="S71" i="7"/>
  <c r="T71" i="7"/>
  <c r="M72" i="7"/>
  <c r="N72" i="7"/>
  <c r="O72" i="7"/>
  <c r="P72" i="7"/>
  <c r="Q72" i="7"/>
  <c r="R72" i="7"/>
  <c r="S72" i="7"/>
  <c r="T72" i="7"/>
  <c r="M73" i="7"/>
  <c r="N73" i="7"/>
  <c r="O73" i="7"/>
  <c r="P73" i="7"/>
  <c r="Q73" i="7"/>
  <c r="R73" i="7"/>
  <c r="S73" i="7"/>
  <c r="T73" i="7"/>
  <c r="M74" i="7"/>
  <c r="N74" i="7"/>
  <c r="O74" i="7"/>
  <c r="P74" i="7"/>
  <c r="Q74" i="7"/>
  <c r="R74" i="7"/>
  <c r="S74" i="7"/>
  <c r="T74" i="7"/>
  <c r="M75" i="7"/>
  <c r="N75" i="7"/>
  <c r="O75" i="7"/>
  <c r="P75" i="7"/>
  <c r="Q75" i="7"/>
  <c r="R75" i="7"/>
  <c r="S75" i="7"/>
  <c r="T75" i="7"/>
  <c r="M76" i="7"/>
  <c r="N76" i="7"/>
  <c r="O76" i="7"/>
  <c r="P76" i="7"/>
  <c r="Q76" i="7"/>
  <c r="R76" i="7"/>
  <c r="S76" i="7"/>
  <c r="T76" i="7"/>
  <c r="M77" i="7"/>
  <c r="N77" i="7"/>
  <c r="O77" i="7"/>
  <c r="P77" i="7"/>
  <c r="Q77" i="7"/>
  <c r="R77" i="7"/>
  <c r="S77" i="7"/>
  <c r="T77" i="7"/>
  <c r="M78" i="7"/>
  <c r="N78" i="7"/>
  <c r="O78" i="7"/>
  <c r="P78" i="7"/>
  <c r="Q78" i="7"/>
  <c r="R78" i="7"/>
  <c r="S78" i="7"/>
  <c r="T78" i="7"/>
  <c r="M79" i="7"/>
  <c r="N79" i="7"/>
  <c r="O79" i="7"/>
  <c r="P79" i="7"/>
  <c r="Q79" i="7"/>
  <c r="R79" i="7"/>
  <c r="S79" i="7"/>
  <c r="T79" i="7"/>
  <c r="M80" i="7"/>
  <c r="N80" i="7"/>
  <c r="O80" i="7"/>
  <c r="P80" i="7"/>
  <c r="Q80" i="7"/>
  <c r="R80" i="7"/>
  <c r="S80" i="7"/>
  <c r="T80" i="7"/>
  <c r="M81" i="7"/>
  <c r="N81" i="7"/>
  <c r="O81" i="7"/>
  <c r="P81" i="7"/>
  <c r="Q81" i="7"/>
  <c r="R81" i="7"/>
  <c r="S81" i="7"/>
  <c r="T81" i="7"/>
  <c r="M82" i="7"/>
  <c r="N82" i="7"/>
  <c r="O82" i="7"/>
  <c r="P82" i="7"/>
  <c r="Q82" i="7"/>
  <c r="R82" i="7"/>
  <c r="S82" i="7"/>
  <c r="T82" i="7"/>
  <c r="M83" i="7"/>
  <c r="N83" i="7"/>
  <c r="O83" i="7"/>
  <c r="P83" i="7"/>
  <c r="Q83" i="7"/>
  <c r="R83" i="7"/>
  <c r="S83" i="7"/>
  <c r="T83" i="7"/>
  <c r="M84" i="7"/>
  <c r="N84" i="7"/>
  <c r="O84" i="7"/>
  <c r="P84" i="7"/>
  <c r="Q84" i="7"/>
  <c r="R84" i="7"/>
  <c r="S84" i="7"/>
  <c r="T84" i="7"/>
  <c r="M85" i="7"/>
  <c r="N85" i="7"/>
  <c r="O85" i="7"/>
  <c r="P85" i="7"/>
  <c r="Q85" i="7"/>
  <c r="R85" i="7"/>
  <c r="S85" i="7"/>
  <c r="T85" i="7"/>
  <c r="M86" i="7"/>
  <c r="N86" i="7"/>
  <c r="O86" i="7"/>
  <c r="P86" i="7"/>
  <c r="Q86" i="7"/>
  <c r="R86" i="7"/>
  <c r="S86" i="7"/>
  <c r="T86" i="7"/>
  <c r="M87" i="7"/>
  <c r="N87" i="7"/>
  <c r="O87" i="7"/>
  <c r="P87" i="7"/>
  <c r="Q87" i="7"/>
  <c r="R87" i="7"/>
  <c r="S87" i="7"/>
  <c r="T87" i="7"/>
  <c r="M88" i="7"/>
  <c r="N88" i="7"/>
  <c r="O88" i="7"/>
  <c r="P88" i="7"/>
  <c r="Q88" i="7"/>
  <c r="R88" i="7"/>
  <c r="S88" i="7"/>
  <c r="T88" i="7"/>
  <c r="M89" i="7"/>
  <c r="N89" i="7"/>
  <c r="O89" i="7"/>
  <c r="P89" i="7"/>
  <c r="Q89" i="7"/>
  <c r="R89" i="7"/>
  <c r="S89" i="7"/>
  <c r="T89" i="7"/>
  <c r="M90" i="7"/>
  <c r="N90" i="7"/>
  <c r="O90" i="7"/>
  <c r="P90" i="7"/>
  <c r="Q90" i="7"/>
  <c r="R90" i="7"/>
  <c r="S90" i="7"/>
  <c r="T90" i="7"/>
  <c r="M91" i="7"/>
  <c r="N91" i="7"/>
  <c r="O91" i="7"/>
  <c r="P91" i="7"/>
  <c r="Q91" i="7"/>
  <c r="R91" i="7"/>
  <c r="S91" i="7"/>
  <c r="T91" i="7"/>
  <c r="M92" i="7"/>
  <c r="N92" i="7"/>
  <c r="O92" i="7"/>
  <c r="P92" i="7"/>
  <c r="Q92" i="7"/>
  <c r="R92" i="7"/>
  <c r="S92" i="7"/>
  <c r="T92" i="7"/>
  <c r="M93" i="7"/>
  <c r="N93" i="7"/>
  <c r="O93" i="7"/>
  <c r="P93" i="7"/>
  <c r="Q93" i="7"/>
  <c r="R93" i="7"/>
  <c r="S93" i="7"/>
  <c r="T93" i="7"/>
  <c r="M94" i="7"/>
  <c r="N94" i="7"/>
  <c r="O94" i="7"/>
  <c r="P94" i="7"/>
  <c r="Q94" i="7"/>
  <c r="R94" i="7"/>
  <c r="S94" i="7"/>
  <c r="T94" i="7"/>
  <c r="M95" i="7"/>
  <c r="N95" i="7"/>
  <c r="O95" i="7"/>
  <c r="P95" i="7"/>
  <c r="Q95" i="7"/>
  <c r="R95" i="7"/>
  <c r="S95" i="7"/>
  <c r="T95" i="7"/>
  <c r="M96" i="7"/>
  <c r="N96" i="7"/>
  <c r="O96" i="7"/>
  <c r="P96" i="7"/>
  <c r="Q96" i="7"/>
  <c r="R96" i="7"/>
  <c r="S96" i="7"/>
  <c r="T96" i="7"/>
  <c r="M97" i="7"/>
  <c r="N97" i="7"/>
  <c r="O97" i="7"/>
  <c r="P97" i="7"/>
  <c r="Q97" i="7"/>
  <c r="R97" i="7"/>
  <c r="S97" i="7"/>
  <c r="T97" i="7"/>
  <c r="M98" i="7"/>
  <c r="N98" i="7"/>
  <c r="O98" i="7"/>
  <c r="P98" i="7"/>
  <c r="Q98" i="7"/>
  <c r="R98" i="7"/>
  <c r="S98" i="7"/>
  <c r="T98" i="7"/>
  <c r="M99" i="7"/>
  <c r="N99" i="7"/>
  <c r="O99" i="7"/>
  <c r="P99" i="7"/>
  <c r="Q99" i="7"/>
  <c r="R99" i="7"/>
  <c r="S99" i="7"/>
  <c r="T99" i="7"/>
  <c r="M100" i="7"/>
  <c r="N100" i="7"/>
  <c r="O100" i="7"/>
  <c r="P100" i="7"/>
  <c r="Q100" i="7"/>
  <c r="R100" i="7"/>
  <c r="S100" i="7"/>
  <c r="T100" i="7"/>
  <c r="M101" i="7"/>
  <c r="N101" i="7"/>
  <c r="O101" i="7"/>
  <c r="P101" i="7"/>
  <c r="Q101" i="7"/>
  <c r="R101" i="7"/>
  <c r="S101" i="7"/>
  <c r="T101" i="7"/>
  <c r="M102" i="7"/>
  <c r="N102" i="7"/>
  <c r="O102" i="7"/>
  <c r="P102" i="7"/>
  <c r="Q102" i="7"/>
  <c r="R102" i="7"/>
  <c r="S102" i="7"/>
  <c r="T102" i="7"/>
  <c r="M103" i="7"/>
  <c r="N103" i="7"/>
  <c r="O103" i="7"/>
  <c r="P103" i="7"/>
  <c r="Q103" i="7"/>
  <c r="R103" i="7"/>
  <c r="S103" i="7"/>
  <c r="T103" i="7"/>
  <c r="M104" i="7"/>
  <c r="N104" i="7"/>
  <c r="O104" i="7"/>
  <c r="P104" i="7"/>
  <c r="Q104" i="7"/>
  <c r="R104" i="7"/>
  <c r="S104" i="7"/>
  <c r="T104" i="7"/>
  <c r="M105" i="7"/>
  <c r="N105" i="7"/>
  <c r="O105" i="7"/>
  <c r="P105" i="7"/>
  <c r="Q105" i="7"/>
  <c r="R105" i="7"/>
  <c r="S105" i="7"/>
  <c r="T105" i="7"/>
  <c r="M106" i="7"/>
  <c r="N106" i="7"/>
  <c r="O106" i="7"/>
  <c r="P106" i="7"/>
  <c r="Q106" i="7"/>
  <c r="R106" i="7"/>
  <c r="S106" i="7"/>
  <c r="T106" i="7"/>
  <c r="M107" i="7"/>
  <c r="N107" i="7"/>
  <c r="O107" i="7"/>
  <c r="P107" i="7"/>
  <c r="Q107" i="7"/>
  <c r="R107" i="7"/>
  <c r="S107" i="7"/>
  <c r="T107" i="7"/>
  <c r="M108" i="7"/>
  <c r="N108" i="7"/>
  <c r="O108" i="7"/>
  <c r="P108" i="7"/>
  <c r="Q108" i="7"/>
  <c r="R108" i="7"/>
  <c r="S108" i="7"/>
  <c r="T108" i="7"/>
  <c r="M109" i="7"/>
  <c r="N109" i="7"/>
  <c r="O109" i="7"/>
  <c r="P109" i="7"/>
  <c r="Q109" i="7"/>
  <c r="R109" i="7"/>
  <c r="S109" i="7"/>
  <c r="T109" i="7"/>
  <c r="M110" i="7"/>
  <c r="N110" i="7"/>
  <c r="O110" i="7"/>
  <c r="P110" i="7"/>
  <c r="Q110" i="7"/>
  <c r="R110" i="7"/>
  <c r="S110" i="7"/>
  <c r="T110" i="7"/>
  <c r="M111" i="7"/>
  <c r="N111" i="7"/>
  <c r="O111" i="7"/>
  <c r="P111" i="7"/>
  <c r="Q111" i="7"/>
  <c r="R111" i="7"/>
  <c r="S111" i="7"/>
  <c r="T111" i="7"/>
  <c r="M112" i="7"/>
  <c r="N112" i="7"/>
  <c r="O112" i="7"/>
  <c r="P112" i="7"/>
  <c r="Q112" i="7"/>
  <c r="R112" i="7"/>
  <c r="S112" i="7"/>
  <c r="T112" i="7"/>
  <c r="M113" i="7"/>
  <c r="N113" i="7"/>
  <c r="O113" i="7"/>
  <c r="P113" i="7"/>
  <c r="Q113" i="7"/>
  <c r="R113" i="7"/>
  <c r="S113" i="7"/>
  <c r="T113" i="7"/>
  <c r="M114" i="7"/>
  <c r="N114" i="7"/>
  <c r="O114" i="7"/>
  <c r="P114" i="7"/>
  <c r="Q114" i="7"/>
  <c r="R114" i="7"/>
  <c r="S114" i="7"/>
  <c r="T114" i="7"/>
  <c r="M115" i="7"/>
  <c r="N115" i="7"/>
  <c r="O115" i="7"/>
  <c r="P115" i="7"/>
  <c r="Q115" i="7"/>
  <c r="R115" i="7"/>
  <c r="S115" i="7"/>
  <c r="T115" i="7"/>
  <c r="M116" i="7"/>
  <c r="N116" i="7"/>
  <c r="O116" i="7"/>
  <c r="P116" i="7"/>
  <c r="Q116" i="7"/>
  <c r="R116" i="7"/>
  <c r="S116" i="7"/>
  <c r="T116" i="7"/>
  <c r="M117" i="7"/>
  <c r="N117" i="7"/>
  <c r="O117" i="7"/>
  <c r="P117" i="7"/>
  <c r="Q117" i="7"/>
  <c r="R117" i="7"/>
  <c r="S117" i="7"/>
  <c r="T117" i="7"/>
  <c r="M118" i="7"/>
  <c r="N118" i="7"/>
  <c r="O118" i="7"/>
  <c r="P118" i="7"/>
  <c r="Q118" i="7"/>
  <c r="R118" i="7"/>
  <c r="S118" i="7"/>
  <c r="T118" i="7"/>
  <c r="M119" i="7"/>
  <c r="N119" i="7"/>
  <c r="O119" i="7"/>
  <c r="P119" i="7"/>
  <c r="Q119" i="7"/>
  <c r="R119" i="7"/>
  <c r="S119" i="7"/>
  <c r="T119" i="7"/>
  <c r="M120" i="7"/>
  <c r="N120" i="7"/>
  <c r="O120" i="7"/>
  <c r="P120" i="7"/>
  <c r="Q120" i="7"/>
  <c r="R120" i="7"/>
  <c r="S120" i="7"/>
  <c r="T120" i="7"/>
  <c r="M121" i="7"/>
  <c r="N121" i="7"/>
  <c r="O121" i="7"/>
  <c r="P121" i="7"/>
  <c r="Q121" i="7"/>
  <c r="R121" i="7"/>
  <c r="S121" i="7"/>
  <c r="T121" i="7"/>
  <c r="M122" i="7"/>
  <c r="N122" i="7"/>
  <c r="O122" i="7"/>
  <c r="P122" i="7"/>
  <c r="Q122" i="7"/>
  <c r="R122" i="7"/>
  <c r="S122" i="7"/>
  <c r="T122" i="7"/>
  <c r="M123" i="7"/>
  <c r="N123" i="7"/>
  <c r="O123" i="7"/>
  <c r="P123" i="7"/>
  <c r="Q123" i="7"/>
  <c r="R123" i="7"/>
  <c r="S123" i="7"/>
  <c r="T123" i="7"/>
  <c r="M124" i="7"/>
  <c r="N124" i="7"/>
  <c r="O124" i="7"/>
  <c r="P124" i="7"/>
  <c r="Q124" i="7"/>
  <c r="R124" i="7"/>
  <c r="S124" i="7"/>
  <c r="T124" i="7"/>
  <c r="M125" i="7"/>
  <c r="N125" i="7"/>
  <c r="O125" i="7"/>
  <c r="P125" i="7"/>
  <c r="Q125" i="7"/>
  <c r="R125" i="7"/>
  <c r="S125" i="7"/>
  <c r="T125" i="7"/>
  <c r="M126" i="7"/>
  <c r="N126" i="7"/>
  <c r="O126" i="7"/>
  <c r="P126" i="7"/>
  <c r="Q126" i="7"/>
  <c r="R126" i="7"/>
  <c r="S126" i="7"/>
  <c r="T126" i="7"/>
  <c r="M127" i="7"/>
  <c r="N127" i="7"/>
  <c r="O127" i="7"/>
  <c r="P127" i="7"/>
  <c r="Q127" i="7"/>
  <c r="R127" i="7"/>
  <c r="S127" i="7"/>
  <c r="T127" i="7"/>
  <c r="M128" i="7"/>
  <c r="N128" i="7"/>
  <c r="O128" i="7"/>
  <c r="P128" i="7"/>
  <c r="Q128" i="7"/>
  <c r="R128" i="7"/>
  <c r="S128" i="7"/>
  <c r="T128" i="7"/>
  <c r="M129" i="7"/>
  <c r="N129" i="7"/>
  <c r="O129" i="7"/>
  <c r="P129" i="7"/>
  <c r="Q129" i="7"/>
  <c r="R129" i="7"/>
  <c r="S129" i="7"/>
  <c r="T129" i="7"/>
  <c r="M130" i="7"/>
  <c r="N130" i="7"/>
  <c r="O130" i="7"/>
  <c r="P130" i="7"/>
  <c r="Q130" i="7"/>
  <c r="R130" i="7"/>
  <c r="S130" i="7"/>
  <c r="T130" i="7"/>
  <c r="M131" i="7"/>
  <c r="N131" i="7"/>
  <c r="O131" i="7"/>
  <c r="P131" i="7"/>
  <c r="Q131" i="7"/>
  <c r="R131" i="7"/>
  <c r="S131" i="7"/>
  <c r="T131" i="7"/>
  <c r="M132" i="7"/>
  <c r="N132" i="7"/>
  <c r="O132" i="7"/>
  <c r="P132" i="7"/>
  <c r="Q132" i="7"/>
  <c r="R132" i="7"/>
  <c r="S132" i="7"/>
  <c r="T132" i="7"/>
  <c r="M133" i="7"/>
  <c r="N133" i="7"/>
  <c r="O133" i="7"/>
  <c r="P133" i="7"/>
  <c r="Q133" i="7"/>
  <c r="R133" i="7"/>
  <c r="S133" i="7"/>
  <c r="T133" i="7"/>
  <c r="M134" i="7"/>
  <c r="N134" i="7"/>
  <c r="O134" i="7"/>
  <c r="P134" i="7"/>
  <c r="Q134" i="7"/>
  <c r="R134" i="7"/>
  <c r="S134" i="7"/>
  <c r="T134" i="7"/>
  <c r="M135" i="7"/>
  <c r="N135" i="7"/>
  <c r="O135" i="7"/>
  <c r="P135" i="7"/>
  <c r="Q135" i="7"/>
  <c r="R135" i="7"/>
  <c r="S135" i="7"/>
  <c r="T135" i="7"/>
  <c r="M136" i="7"/>
  <c r="N136" i="7"/>
  <c r="O136" i="7"/>
  <c r="P136" i="7"/>
  <c r="Q136" i="7"/>
  <c r="R136" i="7"/>
  <c r="S136" i="7"/>
  <c r="T136" i="7"/>
  <c r="M137" i="7"/>
  <c r="N137" i="7"/>
  <c r="O137" i="7"/>
  <c r="P137" i="7"/>
  <c r="Q137" i="7"/>
  <c r="R137" i="7"/>
  <c r="S137" i="7"/>
  <c r="T137" i="7"/>
  <c r="M138" i="7"/>
  <c r="N138" i="7"/>
  <c r="O138" i="7"/>
  <c r="P138" i="7"/>
  <c r="Q138" i="7"/>
  <c r="R138" i="7"/>
  <c r="S138" i="7"/>
  <c r="T138" i="7"/>
  <c r="M139" i="7"/>
  <c r="N139" i="7"/>
  <c r="O139" i="7"/>
  <c r="P139" i="7"/>
  <c r="Q139" i="7"/>
  <c r="R139" i="7"/>
  <c r="S139" i="7"/>
  <c r="T139" i="7"/>
  <c r="M140" i="7"/>
  <c r="N140" i="7"/>
  <c r="O140" i="7"/>
  <c r="P140" i="7"/>
  <c r="Q140" i="7"/>
  <c r="R140" i="7"/>
  <c r="S140" i="7"/>
  <c r="T140" i="7"/>
  <c r="M141" i="7"/>
  <c r="N141" i="7"/>
  <c r="O141" i="7"/>
  <c r="P141" i="7"/>
  <c r="Q141" i="7"/>
  <c r="R141" i="7"/>
  <c r="S141" i="7"/>
  <c r="T141" i="7"/>
  <c r="M142" i="7"/>
  <c r="N142" i="7"/>
  <c r="O142" i="7"/>
  <c r="P142" i="7"/>
  <c r="Q142" i="7"/>
  <c r="R142" i="7"/>
  <c r="S142" i="7"/>
  <c r="T142" i="7"/>
  <c r="M143" i="7"/>
  <c r="N143" i="7"/>
  <c r="O143" i="7"/>
  <c r="P143" i="7"/>
  <c r="Q143" i="7"/>
  <c r="R143" i="7"/>
  <c r="S143" i="7"/>
  <c r="T143" i="7"/>
  <c r="M144" i="7"/>
  <c r="N144" i="7"/>
  <c r="O144" i="7"/>
  <c r="P144" i="7"/>
  <c r="Q144" i="7"/>
  <c r="R144" i="7"/>
  <c r="S144" i="7"/>
  <c r="T144" i="7"/>
  <c r="M145" i="7"/>
  <c r="N145" i="7"/>
  <c r="O145" i="7"/>
  <c r="P145" i="7"/>
  <c r="Q145" i="7"/>
  <c r="R145" i="7"/>
  <c r="S145" i="7"/>
  <c r="T145" i="7"/>
  <c r="M146" i="7"/>
  <c r="N146" i="7"/>
  <c r="O146" i="7"/>
  <c r="P146" i="7"/>
  <c r="Q146" i="7"/>
  <c r="R146" i="7"/>
  <c r="S146" i="7"/>
  <c r="T146" i="7"/>
  <c r="M147" i="7"/>
  <c r="N147" i="7"/>
  <c r="O147" i="7"/>
  <c r="P147" i="7"/>
  <c r="Q147" i="7"/>
  <c r="R147" i="7"/>
  <c r="S147" i="7"/>
  <c r="T147" i="7"/>
  <c r="M148" i="7"/>
  <c r="N148" i="7"/>
  <c r="O148" i="7"/>
  <c r="P148" i="7"/>
  <c r="Q148" i="7"/>
  <c r="R148" i="7"/>
  <c r="S148" i="7"/>
  <c r="T148" i="7"/>
  <c r="M149" i="7"/>
  <c r="N149" i="7"/>
  <c r="O149" i="7"/>
  <c r="P149" i="7"/>
  <c r="Q149" i="7"/>
  <c r="R149" i="7"/>
  <c r="S149" i="7"/>
  <c r="T149" i="7"/>
  <c r="M150" i="7"/>
  <c r="N150" i="7"/>
  <c r="O150" i="7"/>
  <c r="P150" i="7"/>
  <c r="Q150" i="7"/>
  <c r="R150" i="7"/>
  <c r="S150" i="7"/>
  <c r="T150" i="7"/>
  <c r="M151" i="7"/>
  <c r="N151" i="7"/>
  <c r="O151" i="7"/>
  <c r="P151" i="7"/>
  <c r="Q151" i="7"/>
  <c r="R151" i="7"/>
  <c r="S151" i="7"/>
  <c r="T151" i="7"/>
  <c r="M152" i="7"/>
  <c r="N152" i="7"/>
  <c r="O152" i="7"/>
  <c r="P152" i="7"/>
  <c r="Q152" i="7"/>
  <c r="R152" i="7"/>
  <c r="S152" i="7"/>
  <c r="T152" i="7"/>
  <c r="M153" i="7"/>
  <c r="N153" i="7"/>
  <c r="O153" i="7"/>
  <c r="P153" i="7"/>
  <c r="Q153" i="7"/>
  <c r="R153" i="7"/>
  <c r="S153" i="7"/>
  <c r="T153" i="7"/>
  <c r="M154" i="7"/>
  <c r="N154" i="7"/>
  <c r="O154" i="7"/>
  <c r="P154" i="7"/>
  <c r="Q154" i="7"/>
  <c r="R154" i="7"/>
  <c r="S154" i="7"/>
  <c r="T154" i="7"/>
  <c r="M155" i="7"/>
  <c r="N155" i="7"/>
  <c r="O155" i="7"/>
  <c r="P155" i="7"/>
  <c r="Q155" i="7"/>
  <c r="R155" i="7"/>
  <c r="S155" i="7"/>
  <c r="T155" i="7"/>
  <c r="M156" i="7"/>
  <c r="N156" i="7"/>
  <c r="O156" i="7"/>
  <c r="P156" i="7"/>
  <c r="Q156" i="7"/>
  <c r="R156" i="7"/>
  <c r="S156" i="7"/>
  <c r="T156" i="7"/>
  <c r="M157" i="7"/>
  <c r="N157" i="7"/>
  <c r="O157" i="7"/>
  <c r="P157" i="7"/>
  <c r="Q157" i="7"/>
  <c r="R157" i="7"/>
  <c r="S157" i="7"/>
  <c r="T157" i="7"/>
  <c r="M158" i="7"/>
  <c r="N158" i="7"/>
  <c r="O158" i="7"/>
  <c r="P158" i="7"/>
  <c r="Q158" i="7"/>
  <c r="R158" i="7"/>
  <c r="S158" i="7"/>
  <c r="T158" i="7"/>
  <c r="M159" i="7"/>
  <c r="N159" i="7"/>
  <c r="O159" i="7"/>
  <c r="P159" i="7"/>
  <c r="Q159" i="7"/>
  <c r="R159" i="7"/>
  <c r="S159" i="7"/>
  <c r="T159" i="7"/>
  <c r="M160" i="7"/>
  <c r="N160" i="7"/>
  <c r="O160" i="7"/>
  <c r="P160" i="7"/>
  <c r="Q160" i="7"/>
  <c r="R160" i="7"/>
  <c r="S160" i="7"/>
  <c r="T160" i="7"/>
  <c r="M161" i="7"/>
  <c r="N161" i="7"/>
  <c r="O161" i="7"/>
  <c r="P161" i="7"/>
  <c r="Q161" i="7"/>
  <c r="R161" i="7"/>
  <c r="S161" i="7"/>
  <c r="T161" i="7"/>
  <c r="M162" i="7"/>
  <c r="N162" i="7"/>
  <c r="O162" i="7"/>
  <c r="P162" i="7"/>
  <c r="Q162" i="7"/>
  <c r="R162" i="7"/>
  <c r="S162" i="7"/>
  <c r="T162" i="7"/>
  <c r="M163" i="7"/>
  <c r="N163" i="7"/>
  <c r="O163" i="7"/>
  <c r="P163" i="7"/>
  <c r="Q163" i="7"/>
  <c r="R163" i="7"/>
  <c r="S163" i="7"/>
  <c r="T163" i="7"/>
  <c r="M164" i="7"/>
  <c r="N164" i="7"/>
  <c r="O164" i="7"/>
  <c r="P164" i="7"/>
  <c r="Q164" i="7"/>
  <c r="R164" i="7"/>
  <c r="S164" i="7"/>
  <c r="T164" i="7"/>
  <c r="M165" i="7"/>
  <c r="N165" i="7"/>
  <c r="O165" i="7"/>
  <c r="P165" i="7"/>
  <c r="Q165" i="7"/>
  <c r="R165" i="7"/>
  <c r="S165" i="7"/>
  <c r="T165" i="7"/>
  <c r="M166" i="7"/>
  <c r="N166" i="7"/>
  <c r="O166" i="7"/>
  <c r="P166" i="7"/>
  <c r="Q166" i="7"/>
  <c r="R166" i="7"/>
  <c r="S166" i="7"/>
  <c r="T166" i="7"/>
  <c r="M167" i="7"/>
  <c r="N167" i="7"/>
  <c r="O167" i="7"/>
  <c r="P167" i="7"/>
  <c r="Q167" i="7"/>
  <c r="R167" i="7"/>
  <c r="S167" i="7"/>
  <c r="T167" i="7"/>
  <c r="M168" i="7"/>
  <c r="N168" i="7"/>
  <c r="O168" i="7"/>
  <c r="P168" i="7"/>
  <c r="Q168" i="7"/>
  <c r="R168" i="7"/>
  <c r="S168" i="7"/>
  <c r="T168" i="7"/>
  <c r="M169" i="7"/>
  <c r="N169" i="7"/>
  <c r="O169" i="7"/>
  <c r="P169" i="7"/>
  <c r="Q169" i="7"/>
  <c r="R169" i="7"/>
  <c r="S169" i="7"/>
  <c r="T169" i="7"/>
  <c r="M170" i="7"/>
  <c r="N170" i="7"/>
  <c r="O170" i="7"/>
  <c r="P170" i="7"/>
  <c r="Q170" i="7"/>
  <c r="R170" i="7"/>
  <c r="S170" i="7"/>
  <c r="T170" i="7"/>
  <c r="M171" i="7"/>
  <c r="N171" i="7"/>
  <c r="O171" i="7"/>
  <c r="P171" i="7"/>
  <c r="Q171" i="7"/>
  <c r="R171" i="7"/>
  <c r="S171" i="7"/>
  <c r="T171" i="7"/>
  <c r="M172" i="7"/>
  <c r="N172" i="7"/>
  <c r="O172" i="7"/>
  <c r="P172" i="7"/>
  <c r="Q172" i="7"/>
  <c r="R172" i="7"/>
  <c r="S172" i="7"/>
  <c r="T172" i="7"/>
  <c r="M173" i="7"/>
  <c r="N173" i="7"/>
  <c r="O173" i="7"/>
  <c r="P173" i="7"/>
  <c r="Q173" i="7"/>
  <c r="R173" i="7"/>
  <c r="S173" i="7"/>
  <c r="T173" i="7"/>
  <c r="M174" i="7"/>
  <c r="N174" i="7"/>
  <c r="O174" i="7"/>
  <c r="P174" i="7"/>
  <c r="Q174" i="7"/>
  <c r="R174" i="7"/>
  <c r="S174" i="7"/>
  <c r="T174" i="7"/>
  <c r="M175" i="7"/>
  <c r="N175" i="7"/>
  <c r="O175" i="7"/>
  <c r="P175" i="7"/>
  <c r="Q175" i="7"/>
  <c r="R175" i="7"/>
  <c r="S175" i="7"/>
  <c r="T175" i="7"/>
  <c r="M176" i="7"/>
  <c r="N176" i="7"/>
  <c r="O176" i="7"/>
  <c r="P176" i="7"/>
  <c r="Q176" i="7"/>
  <c r="R176" i="7"/>
  <c r="S176" i="7"/>
  <c r="T176" i="7"/>
  <c r="M177" i="7"/>
  <c r="N177" i="7"/>
  <c r="O177" i="7"/>
  <c r="P177" i="7"/>
  <c r="Q177" i="7"/>
  <c r="R177" i="7"/>
  <c r="S177" i="7"/>
  <c r="T177" i="7"/>
  <c r="M178" i="7"/>
  <c r="N178" i="7"/>
  <c r="O178" i="7"/>
  <c r="P178" i="7"/>
  <c r="Q178" i="7"/>
  <c r="R178" i="7"/>
  <c r="S178" i="7"/>
  <c r="T178" i="7"/>
  <c r="M179" i="7"/>
  <c r="N179" i="7"/>
  <c r="O179" i="7"/>
  <c r="P179" i="7"/>
  <c r="Q179" i="7"/>
  <c r="R179" i="7"/>
  <c r="S179" i="7"/>
  <c r="T179" i="7"/>
  <c r="M180" i="7"/>
  <c r="N180" i="7"/>
  <c r="O180" i="7"/>
  <c r="P180" i="7"/>
  <c r="Q180" i="7"/>
  <c r="R180" i="7"/>
  <c r="S180" i="7"/>
  <c r="T180" i="7"/>
  <c r="M181" i="7"/>
  <c r="N181" i="7"/>
  <c r="O181" i="7"/>
  <c r="P181" i="7"/>
  <c r="Q181" i="7"/>
  <c r="R181" i="7"/>
  <c r="S181" i="7"/>
  <c r="T181" i="7"/>
  <c r="M182" i="7"/>
  <c r="N182" i="7"/>
  <c r="O182" i="7"/>
  <c r="P182" i="7"/>
  <c r="Q182" i="7"/>
  <c r="R182" i="7"/>
  <c r="S182" i="7"/>
  <c r="T182" i="7"/>
  <c r="M183" i="7"/>
  <c r="N183" i="7"/>
  <c r="O183" i="7"/>
  <c r="P183" i="7"/>
  <c r="Q183" i="7"/>
  <c r="R183" i="7"/>
  <c r="S183" i="7"/>
  <c r="T183" i="7"/>
  <c r="M184" i="7"/>
  <c r="N184" i="7"/>
  <c r="O184" i="7"/>
  <c r="P184" i="7"/>
  <c r="Q184" i="7"/>
  <c r="R184" i="7"/>
  <c r="S184" i="7"/>
  <c r="T184" i="7"/>
  <c r="M185" i="7"/>
  <c r="N185" i="7"/>
  <c r="O185" i="7"/>
  <c r="P185" i="7"/>
  <c r="Q185" i="7"/>
  <c r="R185" i="7"/>
  <c r="S185" i="7"/>
  <c r="T185" i="7"/>
  <c r="M186" i="7"/>
  <c r="N186" i="7"/>
  <c r="O186" i="7"/>
  <c r="P186" i="7"/>
  <c r="Q186" i="7"/>
  <c r="R186" i="7"/>
  <c r="S186" i="7"/>
  <c r="T186" i="7"/>
  <c r="M187" i="7"/>
  <c r="N187" i="7"/>
  <c r="O187" i="7"/>
  <c r="P187" i="7"/>
  <c r="Q187" i="7"/>
  <c r="R187" i="7"/>
  <c r="S187" i="7"/>
  <c r="T187" i="7"/>
  <c r="M188" i="7"/>
  <c r="N188" i="7"/>
  <c r="O188" i="7"/>
  <c r="P188" i="7"/>
  <c r="Q188" i="7"/>
  <c r="R188" i="7"/>
  <c r="S188" i="7"/>
  <c r="T188" i="7"/>
  <c r="M189" i="7"/>
  <c r="N189" i="7"/>
  <c r="O189" i="7"/>
  <c r="P189" i="7"/>
  <c r="Q189" i="7"/>
  <c r="R189" i="7"/>
  <c r="S189" i="7"/>
  <c r="T189" i="7"/>
  <c r="M190" i="7"/>
  <c r="N190" i="7"/>
  <c r="O190" i="7"/>
  <c r="P190" i="7"/>
  <c r="Q190" i="7"/>
  <c r="R190" i="7"/>
  <c r="S190" i="7"/>
  <c r="T190" i="7"/>
  <c r="M191" i="7"/>
  <c r="N191" i="7"/>
  <c r="O191" i="7"/>
  <c r="P191" i="7"/>
  <c r="Q191" i="7"/>
  <c r="R191" i="7"/>
  <c r="S191" i="7"/>
  <c r="T191" i="7"/>
  <c r="M192" i="7"/>
  <c r="N192" i="7"/>
  <c r="O192" i="7"/>
  <c r="P192" i="7"/>
  <c r="Q192" i="7"/>
  <c r="R192" i="7"/>
  <c r="S192" i="7"/>
  <c r="T192" i="7"/>
  <c r="M193" i="7"/>
  <c r="N193" i="7"/>
  <c r="O193" i="7"/>
  <c r="P193" i="7"/>
  <c r="Q193" i="7"/>
  <c r="R193" i="7"/>
  <c r="S193" i="7"/>
  <c r="T193" i="7"/>
  <c r="M194" i="7"/>
  <c r="N194" i="7"/>
  <c r="O194" i="7"/>
  <c r="P194" i="7"/>
  <c r="Q194" i="7"/>
  <c r="R194" i="7"/>
  <c r="S194" i="7"/>
  <c r="T194" i="7"/>
  <c r="M195" i="7"/>
  <c r="N195" i="7"/>
  <c r="O195" i="7"/>
  <c r="P195" i="7"/>
  <c r="Q195" i="7"/>
  <c r="R195" i="7"/>
  <c r="S195" i="7"/>
  <c r="T195" i="7"/>
  <c r="M196" i="7"/>
  <c r="N196" i="7"/>
  <c r="O196" i="7"/>
  <c r="P196" i="7"/>
  <c r="Q196" i="7"/>
  <c r="R196" i="7"/>
  <c r="S196" i="7"/>
  <c r="T196" i="7"/>
  <c r="M197" i="7"/>
  <c r="N197" i="7"/>
  <c r="O197" i="7"/>
  <c r="P197" i="7"/>
  <c r="Q197" i="7"/>
  <c r="R197" i="7"/>
  <c r="S197" i="7"/>
  <c r="T197" i="7"/>
  <c r="M198" i="7"/>
  <c r="N198" i="7"/>
  <c r="O198" i="7"/>
  <c r="P198" i="7"/>
  <c r="Q198" i="7"/>
  <c r="R198" i="7"/>
  <c r="S198" i="7"/>
  <c r="T198" i="7"/>
  <c r="M199" i="7"/>
  <c r="N199" i="7"/>
  <c r="O199" i="7"/>
  <c r="P199" i="7"/>
  <c r="Q199" i="7"/>
  <c r="R199" i="7"/>
  <c r="S199" i="7"/>
  <c r="T199" i="7"/>
  <c r="M200" i="7"/>
  <c r="N200" i="7"/>
  <c r="O200" i="7"/>
  <c r="P200" i="7"/>
  <c r="Q200" i="7"/>
  <c r="R200" i="7"/>
  <c r="S200" i="7"/>
  <c r="T200" i="7"/>
  <c r="M201" i="7"/>
  <c r="N201" i="7"/>
  <c r="O201" i="7"/>
  <c r="P201" i="7"/>
  <c r="Q201" i="7"/>
  <c r="R201" i="7"/>
  <c r="S201" i="7"/>
  <c r="T201" i="7"/>
  <c r="M202" i="7"/>
  <c r="N202" i="7"/>
  <c r="O202" i="7"/>
  <c r="P202" i="7"/>
  <c r="Q202" i="7"/>
  <c r="R202" i="7"/>
  <c r="S202" i="7"/>
  <c r="T202" i="7"/>
  <c r="M203" i="7"/>
  <c r="N203" i="7"/>
  <c r="O203" i="7"/>
  <c r="P203" i="7"/>
  <c r="Q203" i="7"/>
  <c r="R203" i="7"/>
  <c r="S203" i="7"/>
  <c r="T203" i="7"/>
  <c r="M204" i="7"/>
  <c r="N204" i="7"/>
  <c r="O204" i="7"/>
  <c r="P204" i="7"/>
  <c r="Q204" i="7"/>
  <c r="R204" i="7"/>
  <c r="S204" i="7"/>
  <c r="T204" i="7"/>
  <c r="M205" i="7"/>
  <c r="N205" i="7"/>
  <c r="O205" i="7"/>
  <c r="P205" i="7"/>
  <c r="Q205" i="7"/>
  <c r="R205" i="7"/>
  <c r="S205" i="7"/>
  <c r="T205" i="7"/>
  <c r="M206" i="7"/>
  <c r="N206" i="7"/>
  <c r="O206" i="7"/>
  <c r="P206" i="7"/>
  <c r="Q206" i="7"/>
  <c r="R206" i="7"/>
  <c r="S206" i="7"/>
  <c r="T206" i="7"/>
  <c r="M207" i="7"/>
  <c r="N207" i="7"/>
  <c r="O207" i="7"/>
  <c r="P207" i="7"/>
  <c r="Q207" i="7"/>
  <c r="R207" i="7"/>
  <c r="S207" i="7"/>
  <c r="T207" i="7"/>
  <c r="M208" i="7"/>
  <c r="N208" i="7"/>
  <c r="O208" i="7"/>
  <c r="P208" i="7"/>
  <c r="Q208" i="7"/>
  <c r="R208" i="7"/>
  <c r="S208" i="7"/>
  <c r="T208" i="7"/>
  <c r="M209" i="7"/>
  <c r="N209" i="7"/>
  <c r="O209" i="7"/>
  <c r="P209" i="7"/>
  <c r="Q209" i="7"/>
  <c r="R209" i="7"/>
  <c r="S209" i="7"/>
  <c r="T209" i="7"/>
  <c r="M210" i="7"/>
  <c r="N210" i="7"/>
  <c r="O210" i="7"/>
  <c r="P210" i="7"/>
  <c r="Q210" i="7"/>
  <c r="R210" i="7"/>
  <c r="S210" i="7"/>
  <c r="T210" i="7"/>
  <c r="M211" i="7"/>
  <c r="N211" i="7"/>
  <c r="O211" i="7"/>
  <c r="P211" i="7"/>
  <c r="Q211" i="7"/>
  <c r="R211" i="7"/>
  <c r="S211" i="7"/>
  <c r="T211" i="7"/>
  <c r="M212" i="7"/>
  <c r="N212" i="7"/>
  <c r="O212" i="7"/>
  <c r="P212" i="7"/>
  <c r="Q212" i="7"/>
  <c r="R212" i="7"/>
  <c r="S212" i="7"/>
  <c r="T212" i="7"/>
  <c r="M213" i="7"/>
  <c r="N213" i="7"/>
  <c r="O213" i="7"/>
  <c r="P213" i="7"/>
  <c r="Q213" i="7"/>
  <c r="R213" i="7"/>
  <c r="S213" i="7"/>
  <c r="T213" i="7"/>
  <c r="M214" i="7"/>
  <c r="N214" i="7"/>
  <c r="O214" i="7"/>
  <c r="P214" i="7"/>
  <c r="Q214" i="7"/>
  <c r="R214" i="7"/>
  <c r="S214" i="7"/>
  <c r="T214" i="7"/>
  <c r="M215" i="7"/>
  <c r="N215" i="7"/>
  <c r="O215" i="7"/>
  <c r="P215" i="7"/>
  <c r="Q215" i="7"/>
  <c r="R215" i="7"/>
  <c r="S215" i="7"/>
  <c r="T215" i="7"/>
  <c r="M216" i="7"/>
  <c r="N216" i="7"/>
  <c r="O216" i="7"/>
  <c r="P216" i="7"/>
  <c r="Q216" i="7"/>
  <c r="R216" i="7"/>
  <c r="S216" i="7"/>
  <c r="T216" i="7"/>
  <c r="M217" i="7"/>
  <c r="N217" i="7"/>
  <c r="O217" i="7"/>
  <c r="P217" i="7"/>
  <c r="Q217" i="7"/>
  <c r="R217" i="7"/>
  <c r="S217" i="7"/>
  <c r="T217" i="7"/>
  <c r="M218" i="7"/>
  <c r="N218" i="7"/>
  <c r="O218" i="7"/>
  <c r="P218" i="7"/>
  <c r="Q218" i="7"/>
  <c r="R218" i="7"/>
  <c r="S218" i="7"/>
  <c r="T218" i="7"/>
  <c r="M219" i="7"/>
  <c r="N219" i="7"/>
  <c r="O219" i="7"/>
  <c r="P219" i="7"/>
  <c r="Q219" i="7"/>
  <c r="R219" i="7"/>
  <c r="S219" i="7"/>
  <c r="T219" i="7"/>
  <c r="M220" i="7"/>
  <c r="N220" i="7"/>
  <c r="O220" i="7"/>
  <c r="P220" i="7"/>
  <c r="Q220" i="7"/>
  <c r="R220" i="7"/>
  <c r="S220" i="7"/>
  <c r="T220" i="7"/>
  <c r="M221" i="7"/>
  <c r="N221" i="7"/>
  <c r="O221" i="7"/>
  <c r="P221" i="7"/>
  <c r="Q221" i="7"/>
  <c r="R221" i="7"/>
  <c r="S221" i="7"/>
  <c r="T221" i="7"/>
  <c r="M222" i="7"/>
  <c r="N222" i="7"/>
  <c r="O222" i="7"/>
  <c r="P222" i="7"/>
  <c r="Q222" i="7"/>
  <c r="R222" i="7"/>
  <c r="S222" i="7"/>
  <c r="T222" i="7"/>
  <c r="M223" i="7"/>
  <c r="N223" i="7"/>
  <c r="O223" i="7"/>
  <c r="P223" i="7"/>
  <c r="Q223" i="7"/>
  <c r="R223" i="7"/>
  <c r="S223" i="7"/>
  <c r="T223" i="7"/>
  <c r="M224" i="7"/>
  <c r="N224" i="7"/>
  <c r="O224" i="7"/>
  <c r="P224" i="7"/>
  <c r="Q224" i="7"/>
  <c r="R224" i="7"/>
  <c r="S224" i="7"/>
  <c r="T224" i="7"/>
  <c r="M225" i="7"/>
  <c r="N225" i="7"/>
  <c r="O225" i="7"/>
  <c r="P225" i="7"/>
  <c r="Q225" i="7"/>
  <c r="R225" i="7"/>
  <c r="S225" i="7"/>
  <c r="T225" i="7"/>
  <c r="M226" i="7"/>
  <c r="N226" i="7"/>
  <c r="O226" i="7"/>
  <c r="P226" i="7"/>
  <c r="Q226" i="7"/>
  <c r="R226" i="7"/>
  <c r="S226" i="7"/>
  <c r="T226" i="7"/>
  <c r="M227" i="7"/>
  <c r="N227" i="7"/>
  <c r="O227" i="7"/>
  <c r="P227" i="7"/>
  <c r="Q227" i="7"/>
  <c r="R227" i="7"/>
  <c r="S227" i="7"/>
  <c r="T227" i="7"/>
  <c r="M228" i="7"/>
  <c r="N228" i="7"/>
  <c r="O228" i="7"/>
  <c r="P228" i="7"/>
  <c r="Q228" i="7"/>
  <c r="R228" i="7"/>
  <c r="S228" i="7"/>
  <c r="T228" i="7"/>
  <c r="M229" i="7"/>
  <c r="N229" i="7"/>
  <c r="O229" i="7"/>
  <c r="P229" i="7"/>
  <c r="Q229" i="7"/>
  <c r="R229" i="7"/>
  <c r="S229" i="7"/>
  <c r="T229" i="7"/>
  <c r="M230" i="7"/>
  <c r="N230" i="7"/>
  <c r="O230" i="7"/>
  <c r="P230" i="7"/>
  <c r="Q230" i="7"/>
  <c r="R230" i="7"/>
  <c r="S230" i="7"/>
  <c r="T230" i="7"/>
  <c r="M231" i="7"/>
  <c r="N231" i="7"/>
  <c r="O231" i="7"/>
  <c r="P231" i="7"/>
  <c r="Q231" i="7"/>
  <c r="R231" i="7"/>
  <c r="S231" i="7"/>
  <c r="T231" i="7"/>
  <c r="M232" i="7"/>
  <c r="N232" i="7"/>
  <c r="O232" i="7"/>
  <c r="P232" i="7"/>
  <c r="Q232" i="7"/>
  <c r="R232" i="7"/>
  <c r="S232" i="7"/>
  <c r="T232" i="7"/>
  <c r="M233" i="7"/>
  <c r="N233" i="7"/>
  <c r="O233" i="7"/>
  <c r="P233" i="7"/>
  <c r="Q233" i="7"/>
  <c r="R233" i="7"/>
  <c r="S233" i="7"/>
  <c r="T233" i="7"/>
  <c r="M234" i="7"/>
  <c r="N234" i="7"/>
  <c r="O234" i="7"/>
  <c r="P234" i="7"/>
  <c r="Q234" i="7"/>
  <c r="R234" i="7"/>
  <c r="S234" i="7"/>
  <c r="T234" i="7"/>
  <c r="M235" i="7"/>
  <c r="N235" i="7"/>
  <c r="O235" i="7"/>
  <c r="P235" i="7"/>
  <c r="Q235" i="7"/>
  <c r="R235" i="7"/>
  <c r="S235" i="7"/>
  <c r="T235" i="7"/>
  <c r="M236" i="7"/>
  <c r="N236" i="7"/>
  <c r="O236" i="7"/>
  <c r="P236" i="7"/>
  <c r="Q236" i="7"/>
  <c r="R236" i="7"/>
  <c r="S236" i="7"/>
  <c r="T236" i="7"/>
  <c r="M237" i="7"/>
  <c r="N237" i="7"/>
  <c r="O237" i="7"/>
  <c r="P237" i="7"/>
  <c r="Q237" i="7"/>
  <c r="R237" i="7"/>
  <c r="S237" i="7"/>
  <c r="T237" i="7"/>
  <c r="M238" i="7"/>
  <c r="N238" i="7"/>
  <c r="O238" i="7"/>
  <c r="P238" i="7"/>
  <c r="Q238" i="7"/>
  <c r="R238" i="7"/>
  <c r="S238" i="7"/>
  <c r="T238" i="7"/>
  <c r="M239" i="7"/>
  <c r="N239" i="7"/>
  <c r="O239" i="7"/>
  <c r="P239" i="7"/>
  <c r="Q239" i="7"/>
  <c r="R239" i="7"/>
  <c r="S239" i="7"/>
  <c r="T239" i="7"/>
  <c r="M240" i="7"/>
  <c r="N240" i="7"/>
  <c r="O240" i="7"/>
  <c r="P240" i="7"/>
  <c r="Q240" i="7"/>
  <c r="R240" i="7"/>
  <c r="S240" i="7"/>
  <c r="T240" i="7"/>
  <c r="M241" i="7"/>
  <c r="N241" i="7"/>
  <c r="O241" i="7"/>
  <c r="P241" i="7"/>
  <c r="Q241" i="7"/>
  <c r="R241" i="7"/>
  <c r="S241" i="7"/>
  <c r="T241" i="7"/>
  <c r="M242" i="7"/>
  <c r="N242" i="7"/>
  <c r="O242" i="7"/>
  <c r="P242" i="7"/>
  <c r="Q242" i="7"/>
  <c r="R242" i="7"/>
  <c r="S242" i="7"/>
  <c r="T242" i="7"/>
  <c r="M243" i="7"/>
  <c r="N243" i="7"/>
  <c r="O243" i="7"/>
  <c r="P243" i="7"/>
  <c r="Q243" i="7"/>
  <c r="R243" i="7"/>
  <c r="S243" i="7"/>
  <c r="T243" i="7"/>
  <c r="M244" i="7"/>
  <c r="N244" i="7"/>
  <c r="O244" i="7"/>
  <c r="P244" i="7"/>
  <c r="Q244" i="7"/>
  <c r="R244" i="7"/>
  <c r="S244" i="7"/>
  <c r="T244" i="7"/>
  <c r="M245" i="7"/>
  <c r="N245" i="7"/>
  <c r="O245" i="7"/>
  <c r="P245" i="7"/>
  <c r="Q245" i="7"/>
  <c r="R245" i="7"/>
  <c r="S245" i="7"/>
  <c r="T245" i="7"/>
  <c r="M246" i="7"/>
  <c r="N246" i="7"/>
  <c r="O246" i="7"/>
  <c r="P246" i="7"/>
  <c r="Q246" i="7"/>
  <c r="R246" i="7"/>
  <c r="S246" i="7"/>
  <c r="T246" i="7"/>
  <c r="M247" i="7"/>
  <c r="N247" i="7"/>
  <c r="O247" i="7"/>
  <c r="P247" i="7"/>
  <c r="Q247" i="7"/>
  <c r="R247" i="7"/>
  <c r="S247" i="7"/>
  <c r="T247" i="7"/>
  <c r="M248" i="7"/>
  <c r="N248" i="7"/>
  <c r="O248" i="7"/>
  <c r="P248" i="7"/>
  <c r="Q248" i="7"/>
  <c r="R248" i="7"/>
  <c r="S248" i="7"/>
  <c r="T248" i="7"/>
  <c r="M249" i="7"/>
  <c r="N249" i="7"/>
  <c r="O249" i="7"/>
  <c r="P249" i="7"/>
  <c r="Q249" i="7"/>
  <c r="R249" i="7"/>
  <c r="S249" i="7"/>
  <c r="T249" i="7"/>
  <c r="M250" i="7"/>
  <c r="N250" i="7"/>
  <c r="O250" i="7"/>
  <c r="P250" i="7"/>
  <c r="Q250" i="7"/>
  <c r="R250" i="7"/>
  <c r="S250" i="7"/>
  <c r="T250" i="7"/>
  <c r="M251" i="7"/>
  <c r="N251" i="7"/>
  <c r="O251" i="7"/>
  <c r="P251" i="7"/>
  <c r="Q251" i="7"/>
  <c r="R251" i="7"/>
  <c r="S251" i="7"/>
  <c r="T251" i="7"/>
  <c r="M252" i="7"/>
  <c r="N252" i="7"/>
  <c r="O252" i="7"/>
  <c r="P252" i="7"/>
  <c r="Q252" i="7"/>
  <c r="R252" i="7"/>
  <c r="S252" i="7"/>
  <c r="T252" i="7"/>
  <c r="M253" i="7"/>
  <c r="N253" i="7"/>
  <c r="O253" i="7"/>
  <c r="P253" i="7"/>
  <c r="Q253" i="7"/>
  <c r="R253" i="7"/>
  <c r="S253" i="7"/>
  <c r="T253" i="7"/>
  <c r="M254" i="7"/>
  <c r="N254" i="7"/>
  <c r="O254" i="7"/>
  <c r="P254" i="7"/>
  <c r="Q254" i="7"/>
  <c r="R254" i="7"/>
  <c r="S254" i="7"/>
  <c r="T254" i="7"/>
  <c r="M255" i="7"/>
  <c r="N255" i="7"/>
  <c r="O255" i="7"/>
  <c r="P255" i="7"/>
  <c r="Q255" i="7"/>
  <c r="R255" i="7"/>
  <c r="S255" i="7"/>
  <c r="T255" i="7"/>
  <c r="M256" i="7"/>
  <c r="N256" i="7"/>
  <c r="O256" i="7"/>
  <c r="P256" i="7"/>
  <c r="Q256" i="7"/>
  <c r="R256" i="7"/>
  <c r="S256" i="7"/>
  <c r="T256" i="7"/>
  <c r="M257" i="7"/>
  <c r="N257" i="7"/>
  <c r="O257" i="7"/>
  <c r="P257" i="7"/>
  <c r="Q257" i="7"/>
  <c r="R257" i="7"/>
  <c r="S257" i="7"/>
  <c r="T257" i="7"/>
  <c r="M258" i="7"/>
  <c r="N258" i="7"/>
  <c r="O258" i="7"/>
  <c r="P258" i="7"/>
  <c r="Q258" i="7"/>
  <c r="R258" i="7"/>
  <c r="S258" i="7"/>
  <c r="T258" i="7"/>
  <c r="M259" i="7"/>
  <c r="N259" i="7"/>
  <c r="O259" i="7"/>
  <c r="P259" i="7"/>
  <c r="Q259" i="7"/>
  <c r="R259" i="7"/>
  <c r="S259" i="7"/>
  <c r="T259" i="7"/>
  <c r="M260" i="7"/>
  <c r="N260" i="7"/>
  <c r="O260" i="7"/>
  <c r="P260" i="7"/>
  <c r="Q260" i="7"/>
  <c r="R260" i="7"/>
  <c r="S260" i="7"/>
  <c r="T260" i="7"/>
  <c r="M261" i="7"/>
  <c r="N261" i="7"/>
  <c r="O261" i="7"/>
  <c r="P261" i="7"/>
  <c r="Q261" i="7"/>
  <c r="R261" i="7"/>
  <c r="S261" i="7"/>
  <c r="T261" i="7"/>
  <c r="M262" i="7"/>
  <c r="N262" i="7"/>
  <c r="O262" i="7"/>
  <c r="P262" i="7"/>
  <c r="Q262" i="7"/>
  <c r="R262" i="7"/>
  <c r="S262" i="7"/>
  <c r="T262" i="7"/>
  <c r="M263" i="7"/>
  <c r="N263" i="7"/>
  <c r="O263" i="7"/>
  <c r="P263" i="7"/>
  <c r="Q263" i="7"/>
  <c r="R263" i="7"/>
  <c r="S263" i="7"/>
  <c r="T263" i="7"/>
  <c r="M264" i="7"/>
  <c r="N264" i="7"/>
  <c r="O264" i="7"/>
  <c r="P264" i="7"/>
  <c r="Q264" i="7"/>
  <c r="R264" i="7"/>
  <c r="S264" i="7"/>
  <c r="T264" i="7"/>
  <c r="M265" i="7"/>
  <c r="N265" i="7"/>
  <c r="O265" i="7"/>
  <c r="P265" i="7"/>
  <c r="Q265" i="7"/>
  <c r="R265" i="7"/>
  <c r="S265" i="7"/>
  <c r="T265" i="7"/>
  <c r="M266" i="7"/>
  <c r="N266" i="7"/>
  <c r="O266" i="7"/>
  <c r="P266" i="7"/>
  <c r="Q266" i="7"/>
  <c r="R266" i="7"/>
  <c r="S266" i="7"/>
  <c r="T266" i="7"/>
  <c r="M267" i="7"/>
  <c r="N267" i="7"/>
  <c r="O267" i="7"/>
  <c r="P267" i="7"/>
  <c r="Q267" i="7"/>
  <c r="R267" i="7"/>
  <c r="S267" i="7"/>
  <c r="T267" i="7"/>
  <c r="M268" i="7"/>
  <c r="N268" i="7"/>
  <c r="O268" i="7"/>
  <c r="P268" i="7"/>
  <c r="Q268" i="7"/>
  <c r="R268" i="7"/>
  <c r="S268" i="7"/>
  <c r="T268" i="7"/>
  <c r="M269" i="7"/>
  <c r="N269" i="7"/>
  <c r="O269" i="7"/>
  <c r="P269" i="7"/>
  <c r="Q269" i="7"/>
  <c r="R269" i="7"/>
  <c r="S269" i="7"/>
  <c r="T269" i="7"/>
  <c r="M270" i="7"/>
  <c r="N270" i="7"/>
  <c r="O270" i="7"/>
  <c r="P270" i="7"/>
  <c r="Q270" i="7"/>
  <c r="R270" i="7"/>
  <c r="S270" i="7"/>
  <c r="T270" i="7"/>
  <c r="M271" i="7"/>
  <c r="N271" i="7"/>
  <c r="O271" i="7"/>
  <c r="P271" i="7"/>
  <c r="Q271" i="7"/>
  <c r="R271" i="7"/>
  <c r="S271" i="7"/>
  <c r="T271" i="7"/>
  <c r="M272" i="7"/>
  <c r="N272" i="7"/>
  <c r="O272" i="7"/>
  <c r="P272" i="7"/>
  <c r="Q272" i="7"/>
  <c r="R272" i="7"/>
  <c r="S272" i="7"/>
  <c r="T272" i="7"/>
  <c r="M273" i="7"/>
  <c r="N273" i="7"/>
  <c r="O273" i="7"/>
  <c r="P273" i="7"/>
  <c r="Q273" i="7"/>
  <c r="R273" i="7"/>
  <c r="S273" i="7"/>
  <c r="T273" i="7"/>
  <c r="M274" i="7"/>
  <c r="N274" i="7"/>
  <c r="O274" i="7"/>
  <c r="P274" i="7"/>
  <c r="Q274" i="7"/>
  <c r="R274" i="7"/>
  <c r="S274" i="7"/>
  <c r="T274" i="7"/>
  <c r="M275" i="7"/>
  <c r="N275" i="7"/>
  <c r="O275" i="7"/>
  <c r="P275" i="7"/>
  <c r="Q275" i="7"/>
  <c r="R275" i="7"/>
  <c r="S275" i="7"/>
  <c r="T275" i="7"/>
  <c r="M276" i="7"/>
  <c r="N276" i="7"/>
  <c r="O276" i="7"/>
  <c r="P276" i="7"/>
  <c r="Q276" i="7"/>
  <c r="R276" i="7"/>
  <c r="S276" i="7"/>
  <c r="T276" i="7"/>
  <c r="M277" i="7"/>
  <c r="N277" i="7"/>
  <c r="O277" i="7"/>
  <c r="P277" i="7"/>
  <c r="Q277" i="7"/>
  <c r="R277" i="7"/>
  <c r="S277" i="7"/>
  <c r="T277" i="7"/>
  <c r="M278" i="7"/>
  <c r="N278" i="7"/>
  <c r="O278" i="7"/>
  <c r="P278" i="7"/>
  <c r="Q278" i="7"/>
  <c r="R278" i="7"/>
  <c r="S278" i="7"/>
  <c r="T278" i="7"/>
  <c r="M279" i="7"/>
  <c r="N279" i="7"/>
  <c r="O279" i="7"/>
  <c r="P279" i="7"/>
  <c r="Q279" i="7"/>
  <c r="R279" i="7"/>
  <c r="S279" i="7"/>
  <c r="T279" i="7"/>
  <c r="M280" i="7"/>
  <c r="N280" i="7"/>
  <c r="O280" i="7"/>
  <c r="P280" i="7"/>
  <c r="Q280" i="7"/>
  <c r="R280" i="7"/>
  <c r="S280" i="7"/>
  <c r="T280" i="7"/>
  <c r="M281" i="7"/>
  <c r="N281" i="7"/>
  <c r="O281" i="7"/>
  <c r="P281" i="7"/>
  <c r="Q281" i="7"/>
  <c r="R281" i="7"/>
  <c r="S281" i="7"/>
  <c r="T281" i="7"/>
  <c r="M282" i="7"/>
  <c r="N282" i="7"/>
  <c r="O282" i="7"/>
  <c r="P282" i="7"/>
  <c r="Q282" i="7"/>
  <c r="R282" i="7"/>
  <c r="S282" i="7"/>
  <c r="T282" i="7"/>
  <c r="M283" i="7"/>
  <c r="N283" i="7"/>
  <c r="O283" i="7"/>
  <c r="P283" i="7"/>
  <c r="Q283" i="7"/>
  <c r="R283" i="7"/>
  <c r="S283" i="7"/>
  <c r="T283" i="7"/>
  <c r="M284" i="7"/>
  <c r="N284" i="7"/>
  <c r="O284" i="7"/>
  <c r="P284" i="7"/>
  <c r="Q284" i="7"/>
  <c r="R284" i="7"/>
  <c r="S284" i="7"/>
  <c r="T284" i="7"/>
  <c r="M285" i="7"/>
  <c r="N285" i="7"/>
  <c r="O285" i="7"/>
  <c r="P285" i="7"/>
  <c r="Q285" i="7"/>
  <c r="R285" i="7"/>
  <c r="S285" i="7"/>
  <c r="T285" i="7"/>
  <c r="M286" i="7"/>
  <c r="N286" i="7"/>
  <c r="O286" i="7"/>
  <c r="P286" i="7"/>
  <c r="Q286" i="7"/>
  <c r="R286" i="7"/>
  <c r="S286" i="7"/>
  <c r="T286" i="7"/>
  <c r="M287" i="7"/>
  <c r="N287" i="7"/>
  <c r="O287" i="7"/>
  <c r="P287" i="7"/>
  <c r="Q287" i="7"/>
  <c r="R287" i="7"/>
  <c r="S287" i="7"/>
  <c r="T287" i="7"/>
  <c r="M288" i="7"/>
  <c r="N288" i="7"/>
  <c r="O288" i="7"/>
  <c r="P288" i="7"/>
  <c r="Q288" i="7"/>
  <c r="R288" i="7"/>
  <c r="S288" i="7"/>
  <c r="T288" i="7"/>
  <c r="M289" i="7"/>
  <c r="N289" i="7"/>
  <c r="O289" i="7"/>
  <c r="P289" i="7"/>
  <c r="Q289" i="7"/>
  <c r="R289" i="7"/>
  <c r="S289" i="7"/>
  <c r="T289" i="7"/>
  <c r="M290" i="7"/>
  <c r="N290" i="7"/>
  <c r="O290" i="7"/>
  <c r="P290" i="7"/>
  <c r="Q290" i="7"/>
  <c r="R290" i="7"/>
  <c r="S290" i="7"/>
  <c r="T290" i="7"/>
  <c r="M291" i="7"/>
  <c r="N291" i="7"/>
  <c r="O291" i="7"/>
  <c r="P291" i="7"/>
  <c r="Q291" i="7"/>
  <c r="R291" i="7"/>
  <c r="S291" i="7"/>
  <c r="T291" i="7"/>
  <c r="M292" i="7"/>
  <c r="N292" i="7"/>
  <c r="O292" i="7"/>
  <c r="P292" i="7"/>
  <c r="Q292" i="7"/>
  <c r="R292" i="7"/>
  <c r="S292" i="7"/>
  <c r="T292" i="7"/>
  <c r="M293" i="7"/>
  <c r="N293" i="7"/>
  <c r="O293" i="7"/>
  <c r="P293" i="7"/>
  <c r="Q293" i="7"/>
  <c r="R293" i="7"/>
  <c r="S293" i="7"/>
  <c r="T293" i="7"/>
  <c r="M294" i="7"/>
  <c r="N294" i="7"/>
  <c r="O294" i="7"/>
  <c r="P294" i="7"/>
  <c r="Q294" i="7"/>
  <c r="R294" i="7"/>
  <c r="S294" i="7"/>
  <c r="T294" i="7"/>
  <c r="M295" i="7"/>
  <c r="N295" i="7"/>
  <c r="O295" i="7"/>
  <c r="P295" i="7"/>
  <c r="Q295" i="7"/>
  <c r="R295" i="7"/>
  <c r="S295" i="7"/>
  <c r="T295" i="7"/>
  <c r="M296" i="7"/>
  <c r="N296" i="7"/>
  <c r="O296" i="7"/>
  <c r="P296" i="7"/>
  <c r="Q296" i="7"/>
  <c r="R296" i="7"/>
  <c r="S296" i="7"/>
  <c r="T296" i="7"/>
  <c r="M297" i="7"/>
  <c r="N297" i="7"/>
  <c r="O297" i="7"/>
  <c r="P297" i="7"/>
  <c r="Q297" i="7"/>
  <c r="R297" i="7"/>
  <c r="S297" i="7"/>
  <c r="T297" i="7"/>
  <c r="M298" i="7"/>
  <c r="N298" i="7"/>
  <c r="O298" i="7"/>
  <c r="P298" i="7"/>
  <c r="Q298" i="7"/>
  <c r="R298" i="7"/>
  <c r="S298" i="7"/>
  <c r="T298" i="7"/>
  <c r="M299" i="7"/>
  <c r="N299" i="7"/>
  <c r="O299" i="7"/>
  <c r="P299" i="7"/>
  <c r="Q299" i="7"/>
  <c r="R299" i="7"/>
  <c r="S299" i="7"/>
  <c r="T299" i="7"/>
  <c r="M300" i="7"/>
  <c r="N300" i="7"/>
  <c r="O300" i="7"/>
  <c r="P300" i="7"/>
  <c r="Q300" i="7"/>
  <c r="R300" i="7"/>
  <c r="S300" i="7"/>
  <c r="T300" i="7"/>
  <c r="M301" i="7"/>
  <c r="N301" i="7"/>
  <c r="O301" i="7"/>
  <c r="P301" i="7"/>
  <c r="Q301" i="7"/>
  <c r="R301" i="7"/>
  <c r="S301" i="7"/>
  <c r="T301" i="7"/>
  <c r="M302" i="7"/>
  <c r="N302" i="7"/>
  <c r="O302" i="7"/>
  <c r="P302" i="7"/>
  <c r="Q302" i="7"/>
  <c r="R302" i="7"/>
  <c r="S302" i="7"/>
  <c r="T302" i="7"/>
  <c r="M303" i="7"/>
  <c r="N303" i="7"/>
  <c r="O303" i="7"/>
  <c r="P303" i="7"/>
  <c r="Q303" i="7"/>
  <c r="R303" i="7"/>
  <c r="S303" i="7"/>
  <c r="T303" i="7"/>
  <c r="M304" i="7"/>
  <c r="N304" i="7"/>
  <c r="O304" i="7"/>
  <c r="P304" i="7"/>
  <c r="Q304" i="7"/>
  <c r="R304" i="7"/>
  <c r="S304" i="7"/>
  <c r="T304" i="7"/>
  <c r="M305" i="7"/>
  <c r="N305" i="7"/>
  <c r="O305" i="7"/>
  <c r="P305" i="7"/>
  <c r="Q305" i="7"/>
  <c r="R305" i="7"/>
  <c r="S305" i="7"/>
  <c r="T305" i="7"/>
  <c r="M306" i="7"/>
  <c r="N306" i="7"/>
  <c r="O306" i="7"/>
  <c r="P306" i="7"/>
  <c r="Q306" i="7"/>
  <c r="R306" i="7"/>
  <c r="S306" i="7"/>
  <c r="T306" i="7"/>
  <c r="M307" i="7"/>
  <c r="N307" i="7"/>
  <c r="O307" i="7"/>
  <c r="P307" i="7"/>
  <c r="Q307" i="7"/>
  <c r="R307" i="7"/>
  <c r="S307" i="7"/>
  <c r="T307" i="7"/>
  <c r="M308" i="7"/>
  <c r="N308" i="7"/>
  <c r="O308" i="7"/>
  <c r="P308" i="7"/>
  <c r="Q308" i="7"/>
  <c r="R308" i="7"/>
  <c r="S308" i="7"/>
  <c r="T308" i="7"/>
  <c r="M309" i="7"/>
  <c r="N309" i="7"/>
  <c r="O309" i="7"/>
  <c r="P309" i="7"/>
  <c r="Q309" i="7"/>
  <c r="R309" i="7"/>
  <c r="S309" i="7"/>
  <c r="T309" i="7"/>
  <c r="M310" i="7"/>
  <c r="N310" i="7"/>
  <c r="O310" i="7"/>
  <c r="P310" i="7"/>
  <c r="Q310" i="7"/>
  <c r="R310" i="7"/>
  <c r="S310" i="7"/>
  <c r="T310" i="7"/>
  <c r="M311" i="7"/>
  <c r="N311" i="7"/>
  <c r="O311" i="7"/>
  <c r="P311" i="7"/>
  <c r="Q311" i="7"/>
  <c r="R311" i="7"/>
  <c r="S311" i="7"/>
  <c r="T311" i="7"/>
  <c r="M312" i="7"/>
  <c r="N312" i="7"/>
  <c r="O312" i="7"/>
  <c r="P312" i="7"/>
  <c r="Q312" i="7"/>
  <c r="R312" i="7"/>
  <c r="S312" i="7"/>
  <c r="T312" i="7"/>
  <c r="M313" i="7"/>
  <c r="N313" i="7"/>
  <c r="O313" i="7"/>
  <c r="P313" i="7"/>
  <c r="Q313" i="7"/>
  <c r="R313" i="7"/>
  <c r="S313" i="7"/>
  <c r="T313" i="7"/>
  <c r="M314" i="7"/>
  <c r="N314" i="7"/>
  <c r="O314" i="7"/>
  <c r="P314" i="7"/>
  <c r="Q314" i="7"/>
  <c r="R314" i="7"/>
  <c r="S314" i="7"/>
  <c r="T314" i="7"/>
  <c r="M315" i="7"/>
  <c r="N315" i="7"/>
  <c r="O315" i="7"/>
  <c r="P315" i="7"/>
  <c r="Q315" i="7"/>
  <c r="R315" i="7"/>
  <c r="S315" i="7"/>
  <c r="T315" i="7"/>
  <c r="M316" i="7"/>
  <c r="N316" i="7"/>
  <c r="O316" i="7"/>
  <c r="P316" i="7"/>
  <c r="Q316" i="7"/>
  <c r="R316" i="7"/>
  <c r="S316" i="7"/>
  <c r="T316" i="7"/>
  <c r="M317" i="7"/>
  <c r="N317" i="7"/>
  <c r="O317" i="7"/>
  <c r="P317" i="7"/>
  <c r="Q317" i="7"/>
  <c r="R317" i="7"/>
  <c r="S317" i="7"/>
  <c r="T317" i="7"/>
  <c r="M318" i="7"/>
  <c r="N318" i="7"/>
  <c r="O318" i="7"/>
  <c r="P318" i="7"/>
  <c r="Q318" i="7"/>
  <c r="R318" i="7"/>
  <c r="S318" i="7"/>
  <c r="T318" i="7"/>
  <c r="M319" i="7"/>
  <c r="N319" i="7"/>
  <c r="O319" i="7"/>
  <c r="P319" i="7"/>
  <c r="Q319" i="7"/>
  <c r="R319" i="7"/>
  <c r="S319" i="7"/>
  <c r="T319" i="7"/>
  <c r="M320" i="7"/>
  <c r="N320" i="7"/>
  <c r="O320" i="7"/>
  <c r="P320" i="7"/>
  <c r="Q320" i="7"/>
  <c r="R320" i="7"/>
  <c r="S320" i="7"/>
  <c r="T320" i="7"/>
  <c r="M321" i="7"/>
  <c r="N321" i="7"/>
  <c r="O321" i="7"/>
  <c r="P321" i="7"/>
  <c r="Q321" i="7"/>
  <c r="R321" i="7"/>
  <c r="S321" i="7"/>
  <c r="T321" i="7"/>
  <c r="M322" i="7"/>
  <c r="N322" i="7"/>
  <c r="O322" i="7"/>
  <c r="P322" i="7"/>
  <c r="Q322" i="7"/>
  <c r="R322" i="7"/>
  <c r="S322" i="7"/>
  <c r="T322" i="7"/>
  <c r="M323" i="7"/>
  <c r="N323" i="7"/>
  <c r="O323" i="7"/>
  <c r="P323" i="7"/>
  <c r="Q323" i="7"/>
  <c r="R323" i="7"/>
  <c r="S323" i="7"/>
  <c r="T323" i="7"/>
  <c r="M324" i="7"/>
  <c r="N324" i="7"/>
  <c r="O324" i="7"/>
  <c r="P324" i="7"/>
  <c r="Q324" i="7"/>
  <c r="R324" i="7"/>
  <c r="S324" i="7"/>
  <c r="T324" i="7"/>
  <c r="M325" i="7"/>
  <c r="N325" i="7"/>
  <c r="O325" i="7"/>
  <c r="P325" i="7"/>
  <c r="Q325" i="7"/>
  <c r="R325" i="7"/>
  <c r="S325" i="7"/>
  <c r="T325" i="7"/>
  <c r="M326" i="7"/>
  <c r="N326" i="7"/>
  <c r="O326" i="7"/>
  <c r="P326" i="7"/>
  <c r="Q326" i="7"/>
  <c r="R326" i="7"/>
  <c r="S326" i="7"/>
  <c r="T326" i="7"/>
  <c r="M327" i="7"/>
  <c r="N327" i="7"/>
  <c r="O327" i="7"/>
  <c r="P327" i="7"/>
  <c r="Q327" i="7"/>
  <c r="R327" i="7"/>
  <c r="S327" i="7"/>
  <c r="T327" i="7"/>
  <c r="M328" i="7"/>
  <c r="N328" i="7"/>
  <c r="O328" i="7"/>
  <c r="P328" i="7"/>
  <c r="Q328" i="7"/>
  <c r="R328" i="7"/>
  <c r="S328" i="7"/>
  <c r="T328" i="7"/>
  <c r="M329" i="7"/>
  <c r="N329" i="7"/>
  <c r="O329" i="7"/>
  <c r="P329" i="7"/>
  <c r="Q329" i="7"/>
  <c r="R329" i="7"/>
  <c r="S329" i="7"/>
  <c r="T329" i="7"/>
  <c r="M330" i="7"/>
  <c r="N330" i="7"/>
  <c r="O330" i="7"/>
  <c r="P330" i="7"/>
  <c r="Q330" i="7"/>
  <c r="R330" i="7"/>
  <c r="S330" i="7"/>
  <c r="T330" i="7"/>
  <c r="M331" i="7"/>
  <c r="N331" i="7"/>
  <c r="O331" i="7"/>
  <c r="P331" i="7"/>
  <c r="Q331" i="7"/>
  <c r="R331" i="7"/>
  <c r="S331" i="7"/>
  <c r="T331" i="7"/>
  <c r="M332" i="7"/>
  <c r="N332" i="7"/>
  <c r="O332" i="7"/>
  <c r="P332" i="7"/>
  <c r="Q332" i="7"/>
  <c r="R332" i="7"/>
  <c r="S332" i="7"/>
  <c r="T332" i="7"/>
  <c r="M333" i="7"/>
  <c r="N333" i="7"/>
  <c r="O333" i="7"/>
  <c r="P333" i="7"/>
  <c r="Q333" i="7"/>
  <c r="R333" i="7"/>
  <c r="S333" i="7"/>
  <c r="T333" i="7"/>
  <c r="M334" i="7"/>
  <c r="N334" i="7"/>
  <c r="O334" i="7"/>
  <c r="P334" i="7"/>
  <c r="Q334" i="7"/>
  <c r="R334" i="7"/>
  <c r="S334" i="7"/>
  <c r="T334" i="7"/>
  <c r="M335" i="7"/>
  <c r="N335" i="7"/>
  <c r="O335" i="7"/>
  <c r="P335" i="7"/>
  <c r="Q335" i="7"/>
  <c r="R335" i="7"/>
  <c r="S335" i="7"/>
  <c r="T335" i="7"/>
  <c r="M336" i="7"/>
  <c r="N336" i="7"/>
  <c r="O336" i="7"/>
  <c r="P336" i="7"/>
  <c r="Q336" i="7"/>
  <c r="R336" i="7"/>
  <c r="S336" i="7"/>
  <c r="T336" i="7"/>
  <c r="M337" i="7"/>
  <c r="N337" i="7"/>
  <c r="O337" i="7"/>
  <c r="P337" i="7"/>
  <c r="Q337" i="7"/>
  <c r="R337" i="7"/>
  <c r="S337" i="7"/>
  <c r="T337" i="7"/>
  <c r="M338" i="7"/>
  <c r="N338" i="7"/>
  <c r="O338" i="7"/>
  <c r="P338" i="7"/>
  <c r="Q338" i="7"/>
  <c r="R338" i="7"/>
  <c r="S338" i="7"/>
  <c r="T338" i="7"/>
  <c r="M339" i="7"/>
  <c r="N339" i="7"/>
  <c r="O339" i="7"/>
  <c r="P339" i="7"/>
  <c r="Q339" i="7"/>
  <c r="R339" i="7"/>
  <c r="S339" i="7"/>
  <c r="T339" i="7"/>
  <c r="M340" i="7"/>
  <c r="N340" i="7"/>
  <c r="O340" i="7"/>
  <c r="P340" i="7"/>
  <c r="Q340" i="7"/>
  <c r="R340" i="7"/>
  <c r="S340" i="7"/>
  <c r="T340" i="7"/>
  <c r="M341" i="7"/>
  <c r="N341" i="7"/>
  <c r="O341" i="7"/>
  <c r="P341" i="7"/>
  <c r="Q341" i="7"/>
  <c r="R341" i="7"/>
  <c r="S341" i="7"/>
  <c r="T341" i="7"/>
  <c r="M342" i="7"/>
  <c r="N342" i="7"/>
  <c r="O342" i="7"/>
  <c r="P342" i="7"/>
  <c r="Q342" i="7"/>
  <c r="R342" i="7"/>
  <c r="S342" i="7"/>
  <c r="T342" i="7"/>
  <c r="M343" i="7"/>
  <c r="N343" i="7"/>
  <c r="O343" i="7"/>
  <c r="P343" i="7"/>
  <c r="Q343" i="7"/>
  <c r="R343" i="7"/>
  <c r="S343" i="7"/>
  <c r="T343" i="7"/>
  <c r="M344" i="7"/>
  <c r="N344" i="7"/>
  <c r="O344" i="7"/>
  <c r="P344" i="7"/>
  <c r="Q344" i="7"/>
  <c r="R344" i="7"/>
  <c r="S344" i="7"/>
  <c r="T344" i="7"/>
  <c r="M345" i="7"/>
  <c r="N345" i="7"/>
  <c r="O345" i="7"/>
  <c r="P345" i="7"/>
  <c r="Q345" i="7"/>
  <c r="R345" i="7"/>
  <c r="S345" i="7"/>
  <c r="T345" i="7"/>
  <c r="M346" i="7"/>
  <c r="N346" i="7"/>
  <c r="O346" i="7"/>
  <c r="P346" i="7"/>
  <c r="Q346" i="7"/>
  <c r="R346" i="7"/>
  <c r="S346" i="7"/>
  <c r="T346" i="7"/>
  <c r="M347" i="7"/>
  <c r="N347" i="7"/>
  <c r="O347" i="7"/>
  <c r="P347" i="7"/>
  <c r="Q347" i="7"/>
  <c r="R347" i="7"/>
  <c r="S347" i="7"/>
  <c r="T347" i="7"/>
  <c r="M348" i="7"/>
  <c r="N348" i="7"/>
  <c r="O348" i="7"/>
  <c r="P348" i="7"/>
  <c r="Q348" i="7"/>
  <c r="R348" i="7"/>
  <c r="S348" i="7"/>
  <c r="T348" i="7"/>
  <c r="M349" i="7"/>
  <c r="N349" i="7"/>
  <c r="O349" i="7"/>
  <c r="P349" i="7"/>
  <c r="Q349" i="7"/>
  <c r="R349" i="7"/>
  <c r="S349" i="7"/>
  <c r="T349" i="7"/>
  <c r="M350" i="7"/>
  <c r="N350" i="7"/>
  <c r="O350" i="7"/>
  <c r="P350" i="7"/>
  <c r="Q350" i="7"/>
  <c r="R350" i="7"/>
  <c r="S350" i="7"/>
  <c r="T350" i="7"/>
  <c r="M351" i="7"/>
  <c r="N351" i="7"/>
  <c r="O351" i="7"/>
  <c r="P351" i="7"/>
  <c r="Q351" i="7"/>
  <c r="R351" i="7"/>
  <c r="S351" i="7"/>
  <c r="T351" i="7"/>
  <c r="M352" i="7"/>
  <c r="N352" i="7"/>
  <c r="O352" i="7"/>
  <c r="P352" i="7"/>
  <c r="Q352" i="7"/>
  <c r="R352" i="7"/>
  <c r="S352" i="7"/>
  <c r="T352" i="7"/>
  <c r="M353" i="7"/>
  <c r="N353" i="7"/>
  <c r="O353" i="7"/>
  <c r="P353" i="7"/>
  <c r="Q353" i="7"/>
  <c r="R353" i="7"/>
  <c r="S353" i="7"/>
  <c r="T353" i="7"/>
  <c r="M354" i="7"/>
  <c r="N354" i="7"/>
  <c r="O354" i="7"/>
  <c r="P354" i="7"/>
  <c r="Q354" i="7"/>
  <c r="R354" i="7"/>
  <c r="S354" i="7"/>
  <c r="T354" i="7"/>
  <c r="M355" i="7"/>
  <c r="N355" i="7"/>
  <c r="O355" i="7"/>
  <c r="P355" i="7"/>
  <c r="Q355" i="7"/>
  <c r="R355" i="7"/>
  <c r="S355" i="7"/>
  <c r="T355" i="7"/>
  <c r="M356" i="7"/>
  <c r="N356" i="7"/>
  <c r="O356" i="7"/>
  <c r="P356" i="7"/>
  <c r="Q356" i="7"/>
  <c r="R356" i="7"/>
  <c r="S356" i="7"/>
  <c r="T356" i="7"/>
  <c r="M357" i="7"/>
  <c r="N357" i="7"/>
  <c r="O357" i="7"/>
  <c r="P357" i="7"/>
  <c r="Q357" i="7"/>
  <c r="R357" i="7"/>
  <c r="S357" i="7"/>
  <c r="T357" i="7"/>
  <c r="M358" i="7"/>
  <c r="N358" i="7"/>
  <c r="O358" i="7"/>
  <c r="P358" i="7"/>
  <c r="Q358" i="7"/>
  <c r="R358" i="7"/>
  <c r="S358" i="7"/>
  <c r="T358" i="7"/>
  <c r="M359" i="7"/>
  <c r="N359" i="7"/>
  <c r="O359" i="7"/>
  <c r="P359" i="7"/>
  <c r="Q359" i="7"/>
  <c r="R359" i="7"/>
  <c r="S359" i="7"/>
  <c r="T359" i="7"/>
  <c r="M360" i="7"/>
  <c r="N360" i="7"/>
  <c r="O360" i="7"/>
  <c r="P360" i="7"/>
  <c r="Q360" i="7"/>
  <c r="R360" i="7"/>
  <c r="S360" i="7"/>
  <c r="T360" i="7"/>
  <c r="M361" i="7"/>
  <c r="N361" i="7"/>
  <c r="O361" i="7"/>
  <c r="P361" i="7"/>
  <c r="Q361" i="7"/>
  <c r="R361" i="7"/>
  <c r="S361" i="7"/>
  <c r="T361" i="7"/>
  <c r="M362" i="7"/>
  <c r="N362" i="7"/>
  <c r="O362" i="7"/>
  <c r="P362" i="7"/>
  <c r="Q362" i="7"/>
  <c r="R362" i="7"/>
  <c r="S362" i="7"/>
  <c r="T362" i="7"/>
  <c r="M363" i="7"/>
  <c r="N363" i="7"/>
  <c r="O363" i="7"/>
  <c r="P363" i="7"/>
  <c r="Q363" i="7"/>
  <c r="R363" i="7"/>
  <c r="S363" i="7"/>
  <c r="T363" i="7"/>
  <c r="M364" i="7"/>
  <c r="N364" i="7"/>
  <c r="O364" i="7"/>
  <c r="P364" i="7"/>
  <c r="Q364" i="7"/>
  <c r="R364" i="7"/>
  <c r="S364" i="7"/>
  <c r="T364" i="7"/>
  <c r="M365" i="7"/>
  <c r="N365" i="7"/>
  <c r="O365" i="7"/>
  <c r="P365" i="7"/>
  <c r="Q365" i="7"/>
  <c r="R365" i="7"/>
  <c r="S365" i="7"/>
  <c r="T365" i="7"/>
  <c r="M366" i="7"/>
  <c r="N366" i="7"/>
  <c r="O366" i="7"/>
  <c r="P366" i="7"/>
  <c r="Q366" i="7"/>
  <c r="R366" i="7"/>
  <c r="S366" i="7"/>
  <c r="T366" i="7"/>
  <c r="M367" i="7"/>
  <c r="N367" i="7"/>
  <c r="O367" i="7"/>
  <c r="P367" i="7"/>
  <c r="Q367" i="7"/>
  <c r="R367" i="7"/>
  <c r="S367" i="7"/>
  <c r="T367" i="7"/>
  <c r="M368" i="7"/>
  <c r="N368" i="7"/>
  <c r="O368" i="7"/>
  <c r="P368" i="7"/>
  <c r="Q368" i="7"/>
  <c r="R368" i="7"/>
  <c r="S368" i="7"/>
  <c r="T368" i="7"/>
  <c r="M369" i="7"/>
  <c r="N369" i="7"/>
  <c r="O369" i="7"/>
  <c r="P369" i="7"/>
  <c r="Q369" i="7"/>
  <c r="R369" i="7"/>
  <c r="S369" i="7"/>
  <c r="T369" i="7"/>
  <c r="M370" i="7"/>
  <c r="N370" i="7"/>
  <c r="O370" i="7"/>
  <c r="P370" i="7"/>
  <c r="Q370" i="7"/>
  <c r="R370" i="7"/>
  <c r="S370" i="7"/>
  <c r="T370" i="7"/>
  <c r="M371" i="7"/>
  <c r="N371" i="7"/>
  <c r="O371" i="7"/>
  <c r="P371" i="7"/>
  <c r="Q371" i="7"/>
  <c r="R371" i="7"/>
  <c r="S371" i="7"/>
  <c r="T371" i="7"/>
  <c r="M372" i="7"/>
  <c r="N372" i="7"/>
  <c r="O372" i="7"/>
  <c r="P372" i="7"/>
  <c r="Q372" i="7"/>
  <c r="R372" i="7"/>
  <c r="S372" i="7"/>
  <c r="T372" i="7"/>
  <c r="M373" i="7"/>
  <c r="N373" i="7"/>
  <c r="O373" i="7"/>
  <c r="P373" i="7"/>
  <c r="Q373" i="7"/>
  <c r="R373" i="7"/>
  <c r="S373" i="7"/>
  <c r="T373" i="7"/>
  <c r="M374" i="7"/>
  <c r="N374" i="7"/>
  <c r="O374" i="7"/>
  <c r="P374" i="7"/>
  <c r="Q374" i="7"/>
  <c r="R374" i="7"/>
  <c r="S374" i="7"/>
  <c r="T374" i="7"/>
  <c r="M375" i="7"/>
  <c r="N375" i="7"/>
  <c r="O375" i="7"/>
  <c r="P375" i="7"/>
  <c r="Q375" i="7"/>
  <c r="R375" i="7"/>
  <c r="S375" i="7"/>
  <c r="T375" i="7"/>
  <c r="M376" i="7"/>
  <c r="N376" i="7"/>
  <c r="O376" i="7"/>
  <c r="P376" i="7"/>
  <c r="Q376" i="7"/>
  <c r="R376" i="7"/>
  <c r="S376" i="7"/>
  <c r="T376" i="7"/>
  <c r="M377" i="7"/>
  <c r="N377" i="7"/>
  <c r="O377" i="7"/>
  <c r="P377" i="7"/>
  <c r="Q377" i="7"/>
  <c r="R377" i="7"/>
  <c r="S377" i="7"/>
  <c r="T377" i="7"/>
  <c r="M378" i="7"/>
  <c r="N378" i="7"/>
  <c r="O378" i="7"/>
  <c r="P378" i="7"/>
  <c r="Q378" i="7"/>
  <c r="R378" i="7"/>
  <c r="S378" i="7"/>
  <c r="T378" i="7"/>
  <c r="M379" i="7"/>
  <c r="N379" i="7"/>
  <c r="O379" i="7"/>
  <c r="P379" i="7"/>
  <c r="Q379" i="7"/>
  <c r="R379" i="7"/>
  <c r="S379" i="7"/>
  <c r="T379" i="7"/>
  <c r="M380" i="7"/>
  <c r="N380" i="7"/>
  <c r="O380" i="7"/>
  <c r="P380" i="7"/>
  <c r="Q380" i="7"/>
  <c r="R380" i="7"/>
  <c r="S380" i="7"/>
  <c r="T380" i="7"/>
  <c r="M381" i="7"/>
  <c r="N381" i="7"/>
  <c r="O381" i="7"/>
  <c r="P381" i="7"/>
  <c r="Q381" i="7"/>
  <c r="R381" i="7"/>
  <c r="S381" i="7"/>
  <c r="T381" i="7"/>
  <c r="M382" i="7"/>
  <c r="N382" i="7"/>
  <c r="O382" i="7"/>
  <c r="P382" i="7"/>
  <c r="Q382" i="7"/>
  <c r="R382" i="7"/>
  <c r="S382" i="7"/>
  <c r="T382" i="7"/>
  <c r="M383" i="7"/>
  <c r="N383" i="7"/>
  <c r="O383" i="7"/>
  <c r="P383" i="7"/>
  <c r="Q383" i="7"/>
  <c r="R383" i="7"/>
  <c r="S383" i="7"/>
  <c r="T383" i="7"/>
  <c r="M384" i="7"/>
  <c r="N384" i="7"/>
  <c r="O384" i="7"/>
  <c r="P384" i="7"/>
  <c r="Q384" i="7"/>
  <c r="R384" i="7"/>
  <c r="S384" i="7"/>
  <c r="T384" i="7"/>
  <c r="M385" i="7"/>
  <c r="N385" i="7"/>
  <c r="O385" i="7"/>
  <c r="P385" i="7"/>
  <c r="Q385" i="7"/>
  <c r="R385" i="7"/>
  <c r="S385" i="7"/>
  <c r="T385" i="7"/>
  <c r="M386" i="7"/>
  <c r="N386" i="7"/>
  <c r="O386" i="7"/>
  <c r="P386" i="7"/>
  <c r="Q386" i="7"/>
  <c r="R386" i="7"/>
  <c r="S386" i="7"/>
  <c r="T386" i="7"/>
  <c r="M387" i="7"/>
  <c r="N387" i="7"/>
  <c r="O387" i="7"/>
  <c r="P387" i="7"/>
  <c r="Q387" i="7"/>
  <c r="R387" i="7"/>
  <c r="S387" i="7"/>
  <c r="T387" i="7"/>
  <c r="M388" i="7"/>
  <c r="N388" i="7"/>
  <c r="O388" i="7"/>
  <c r="P388" i="7"/>
  <c r="Q388" i="7"/>
  <c r="R388" i="7"/>
  <c r="S388" i="7"/>
  <c r="T388" i="7"/>
  <c r="M389" i="7"/>
  <c r="N389" i="7"/>
  <c r="O389" i="7"/>
  <c r="P389" i="7"/>
  <c r="Q389" i="7"/>
  <c r="R389" i="7"/>
  <c r="S389" i="7"/>
  <c r="T389" i="7"/>
  <c r="M390" i="7"/>
  <c r="N390" i="7"/>
  <c r="O390" i="7"/>
  <c r="P390" i="7"/>
  <c r="Q390" i="7"/>
  <c r="R390" i="7"/>
  <c r="S390" i="7"/>
  <c r="T390" i="7"/>
  <c r="M391" i="7"/>
  <c r="N391" i="7"/>
  <c r="O391" i="7"/>
  <c r="P391" i="7"/>
  <c r="Q391" i="7"/>
  <c r="R391" i="7"/>
  <c r="S391" i="7"/>
  <c r="T391" i="7"/>
  <c r="M392" i="7"/>
  <c r="N392" i="7"/>
  <c r="O392" i="7"/>
  <c r="P392" i="7"/>
  <c r="Q392" i="7"/>
  <c r="R392" i="7"/>
  <c r="S392" i="7"/>
  <c r="T392" i="7"/>
  <c r="M393" i="7"/>
  <c r="N393" i="7"/>
  <c r="O393" i="7"/>
  <c r="P393" i="7"/>
  <c r="Q393" i="7"/>
  <c r="R393" i="7"/>
  <c r="S393" i="7"/>
  <c r="T393" i="7"/>
  <c r="M394" i="7"/>
  <c r="N394" i="7"/>
  <c r="O394" i="7"/>
  <c r="P394" i="7"/>
  <c r="Q394" i="7"/>
  <c r="R394" i="7"/>
  <c r="S394" i="7"/>
  <c r="T394" i="7"/>
  <c r="M395" i="7"/>
  <c r="N395" i="7"/>
  <c r="O395" i="7"/>
  <c r="P395" i="7"/>
  <c r="Q395" i="7"/>
  <c r="R395" i="7"/>
  <c r="S395" i="7"/>
  <c r="T395" i="7"/>
  <c r="M396" i="7"/>
  <c r="N396" i="7"/>
  <c r="O396" i="7"/>
  <c r="P396" i="7"/>
  <c r="Q396" i="7"/>
  <c r="R396" i="7"/>
  <c r="S396" i="7"/>
  <c r="T396" i="7"/>
  <c r="M397" i="7"/>
  <c r="N397" i="7"/>
  <c r="O397" i="7"/>
  <c r="P397" i="7"/>
  <c r="Q397" i="7"/>
  <c r="R397" i="7"/>
  <c r="S397" i="7"/>
  <c r="T397" i="7"/>
  <c r="M398" i="7"/>
  <c r="N398" i="7"/>
  <c r="O398" i="7"/>
  <c r="P398" i="7"/>
  <c r="Q398" i="7"/>
  <c r="R398" i="7"/>
  <c r="S398" i="7"/>
  <c r="T398" i="7"/>
  <c r="M399" i="7"/>
  <c r="N399" i="7"/>
  <c r="O399" i="7"/>
  <c r="P399" i="7"/>
  <c r="Q399" i="7"/>
  <c r="R399" i="7"/>
  <c r="S399" i="7"/>
  <c r="T399" i="7"/>
  <c r="M400" i="7"/>
  <c r="N400" i="7"/>
  <c r="O400" i="7"/>
  <c r="P400" i="7"/>
  <c r="Q400" i="7"/>
  <c r="R400" i="7"/>
  <c r="S400" i="7"/>
  <c r="T400" i="7"/>
  <c r="M401" i="7"/>
  <c r="N401" i="7"/>
  <c r="O401" i="7"/>
  <c r="P401" i="7"/>
  <c r="Q401" i="7"/>
  <c r="R401" i="7"/>
  <c r="S401" i="7"/>
  <c r="T401" i="7"/>
  <c r="M402" i="7"/>
  <c r="N402" i="7"/>
  <c r="O402" i="7"/>
  <c r="P402" i="7"/>
  <c r="Q402" i="7"/>
  <c r="R402" i="7"/>
  <c r="S402" i="7"/>
  <c r="T402" i="7"/>
  <c r="M403" i="7"/>
  <c r="N403" i="7"/>
  <c r="O403" i="7"/>
  <c r="P403" i="7"/>
  <c r="Q403" i="7"/>
  <c r="R403" i="7"/>
  <c r="S403" i="7"/>
  <c r="T403" i="7"/>
  <c r="M404" i="7"/>
  <c r="N404" i="7"/>
  <c r="O404" i="7"/>
  <c r="P404" i="7"/>
  <c r="Q404" i="7"/>
  <c r="R404" i="7"/>
  <c r="S404" i="7"/>
  <c r="T404" i="7"/>
  <c r="M405" i="7"/>
  <c r="N405" i="7"/>
  <c r="O405" i="7"/>
  <c r="P405" i="7"/>
  <c r="Q405" i="7"/>
  <c r="R405" i="7"/>
  <c r="S405" i="7"/>
  <c r="T405" i="7"/>
  <c r="M406" i="7"/>
  <c r="N406" i="7"/>
  <c r="O406" i="7"/>
  <c r="P406" i="7"/>
  <c r="Q406" i="7"/>
  <c r="R406" i="7"/>
  <c r="S406" i="7"/>
  <c r="T406" i="7"/>
  <c r="M407" i="7"/>
  <c r="N407" i="7"/>
  <c r="O407" i="7"/>
  <c r="P407" i="7"/>
  <c r="Q407" i="7"/>
  <c r="R407" i="7"/>
  <c r="S407" i="7"/>
  <c r="T407" i="7"/>
  <c r="M408" i="7"/>
  <c r="N408" i="7"/>
  <c r="O408" i="7"/>
  <c r="P408" i="7"/>
  <c r="Q408" i="7"/>
  <c r="R408" i="7"/>
  <c r="S408" i="7"/>
  <c r="T408" i="7"/>
  <c r="M409" i="7"/>
  <c r="N409" i="7"/>
  <c r="O409" i="7"/>
  <c r="P409" i="7"/>
  <c r="Q409" i="7"/>
  <c r="R409" i="7"/>
  <c r="S409" i="7"/>
  <c r="T409" i="7"/>
  <c r="M410" i="7"/>
  <c r="N410" i="7"/>
  <c r="O410" i="7"/>
  <c r="P410" i="7"/>
  <c r="Q410" i="7"/>
  <c r="R410" i="7"/>
  <c r="S410" i="7"/>
  <c r="T410" i="7"/>
  <c r="M411" i="7"/>
  <c r="N411" i="7"/>
  <c r="O411" i="7"/>
  <c r="P411" i="7"/>
  <c r="Q411" i="7"/>
  <c r="R411" i="7"/>
  <c r="S411" i="7"/>
  <c r="T411" i="7"/>
  <c r="M412" i="7"/>
  <c r="N412" i="7"/>
  <c r="O412" i="7"/>
  <c r="P412" i="7"/>
  <c r="Q412" i="7"/>
  <c r="R412" i="7"/>
  <c r="S412" i="7"/>
  <c r="T412" i="7"/>
  <c r="M413" i="7"/>
  <c r="N413" i="7"/>
  <c r="O413" i="7"/>
  <c r="P413" i="7"/>
  <c r="Q413" i="7"/>
  <c r="R413" i="7"/>
  <c r="S413" i="7"/>
  <c r="T413" i="7"/>
  <c r="M414" i="7"/>
  <c r="N414" i="7"/>
  <c r="O414" i="7"/>
  <c r="P414" i="7"/>
  <c r="Q414" i="7"/>
  <c r="R414" i="7"/>
  <c r="S414" i="7"/>
  <c r="T414" i="7"/>
  <c r="M415" i="7"/>
  <c r="N415" i="7"/>
  <c r="O415" i="7"/>
  <c r="P415" i="7"/>
  <c r="Q415" i="7"/>
  <c r="R415" i="7"/>
  <c r="S415" i="7"/>
  <c r="T415" i="7"/>
  <c r="M416" i="7"/>
  <c r="N416" i="7"/>
  <c r="O416" i="7"/>
  <c r="P416" i="7"/>
  <c r="Q416" i="7"/>
  <c r="R416" i="7"/>
  <c r="S416" i="7"/>
  <c r="T416" i="7"/>
  <c r="M417" i="7"/>
  <c r="N417" i="7"/>
  <c r="O417" i="7"/>
  <c r="P417" i="7"/>
  <c r="Q417" i="7"/>
  <c r="R417" i="7"/>
  <c r="S417" i="7"/>
  <c r="T417" i="7"/>
  <c r="M418" i="7"/>
  <c r="N418" i="7"/>
  <c r="O418" i="7"/>
  <c r="P418" i="7"/>
  <c r="Q418" i="7"/>
  <c r="R418" i="7"/>
  <c r="S418" i="7"/>
  <c r="T418" i="7"/>
  <c r="M419" i="7"/>
  <c r="N419" i="7"/>
  <c r="O419" i="7"/>
  <c r="P419" i="7"/>
  <c r="Q419" i="7"/>
  <c r="R419" i="7"/>
  <c r="S419" i="7"/>
  <c r="T419" i="7"/>
  <c r="M420" i="7"/>
  <c r="N420" i="7"/>
  <c r="O420" i="7"/>
  <c r="P420" i="7"/>
  <c r="Q420" i="7"/>
  <c r="R420" i="7"/>
  <c r="S420" i="7"/>
  <c r="T420" i="7"/>
  <c r="M421" i="7"/>
  <c r="N421" i="7"/>
  <c r="O421" i="7"/>
  <c r="P421" i="7"/>
  <c r="Q421" i="7"/>
  <c r="R421" i="7"/>
  <c r="S421" i="7"/>
  <c r="T421" i="7"/>
  <c r="M422" i="7"/>
  <c r="N422" i="7"/>
  <c r="O422" i="7"/>
  <c r="P422" i="7"/>
  <c r="Q422" i="7"/>
  <c r="R422" i="7"/>
  <c r="S422" i="7"/>
  <c r="T422" i="7"/>
  <c r="M423" i="7"/>
  <c r="N423" i="7"/>
  <c r="O423" i="7"/>
  <c r="P423" i="7"/>
  <c r="Q423" i="7"/>
  <c r="R423" i="7"/>
  <c r="S423" i="7"/>
  <c r="T423" i="7"/>
  <c r="M424" i="7"/>
  <c r="N424" i="7"/>
  <c r="O424" i="7"/>
  <c r="P424" i="7"/>
  <c r="Q424" i="7"/>
  <c r="R424" i="7"/>
  <c r="S424" i="7"/>
  <c r="T424" i="7"/>
  <c r="M425" i="7"/>
  <c r="N425" i="7"/>
  <c r="O425" i="7"/>
  <c r="P425" i="7"/>
  <c r="Q425" i="7"/>
  <c r="R425" i="7"/>
  <c r="S425" i="7"/>
  <c r="T425" i="7"/>
  <c r="M426" i="7"/>
  <c r="N426" i="7"/>
  <c r="O426" i="7"/>
  <c r="P426" i="7"/>
  <c r="Q426" i="7"/>
  <c r="R426" i="7"/>
  <c r="S426" i="7"/>
  <c r="T426" i="7"/>
  <c r="M427" i="7"/>
  <c r="N427" i="7"/>
  <c r="O427" i="7"/>
  <c r="P427" i="7"/>
  <c r="Q427" i="7"/>
  <c r="R427" i="7"/>
  <c r="S427" i="7"/>
  <c r="T427" i="7"/>
  <c r="M428" i="7"/>
  <c r="N428" i="7"/>
  <c r="O428" i="7"/>
  <c r="P428" i="7"/>
  <c r="Q428" i="7"/>
  <c r="R428" i="7"/>
  <c r="S428" i="7"/>
  <c r="T428" i="7"/>
  <c r="M429" i="7"/>
  <c r="N429" i="7"/>
  <c r="O429" i="7"/>
  <c r="P429" i="7"/>
  <c r="Q429" i="7"/>
  <c r="R429" i="7"/>
  <c r="S429" i="7"/>
  <c r="T429" i="7"/>
  <c r="M430" i="7"/>
  <c r="N430" i="7"/>
  <c r="O430" i="7"/>
  <c r="P430" i="7"/>
  <c r="Q430" i="7"/>
  <c r="R430" i="7"/>
  <c r="S430" i="7"/>
  <c r="T430" i="7"/>
  <c r="M431" i="7"/>
  <c r="N431" i="7"/>
  <c r="O431" i="7"/>
  <c r="P431" i="7"/>
  <c r="Q431" i="7"/>
  <c r="R431" i="7"/>
  <c r="S431" i="7"/>
  <c r="T431" i="7"/>
  <c r="M432" i="7"/>
  <c r="N432" i="7"/>
  <c r="O432" i="7"/>
  <c r="P432" i="7"/>
  <c r="Q432" i="7"/>
  <c r="R432" i="7"/>
  <c r="S432" i="7"/>
  <c r="T432" i="7"/>
  <c r="M433" i="7"/>
  <c r="N433" i="7"/>
  <c r="O433" i="7"/>
  <c r="P433" i="7"/>
  <c r="Q433" i="7"/>
  <c r="R433" i="7"/>
  <c r="S433" i="7"/>
  <c r="T433" i="7"/>
  <c r="M434" i="7"/>
  <c r="N434" i="7"/>
  <c r="O434" i="7"/>
  <c r="P434" i="7"/>
  <c r="Q434" i="7"/>
  <c r="R434" i="7"/>
  <c r="S434" i="7"/>
  <c r="T434" i="7"/>
  <c r="M435" i="7"/>
  <c r="N435" i="7"/>
  <c r="O435" i="7"/>
  <c r="P435" i="7"/>
  <c r="Q435" i="7"/>
  <c r="R435" i="7"/>
  <c r="S435" i="7"/>
  <c r="T435" i="7"/>
  <c r="M436" i="7"/>
  <c r="N436" i="7"/>
  <c r="O436" i="7"/>
  <c r="P436" i="7"/>
  <c r="Q436" i="7"/>
  <c r="R436" i="7"/>
  <c r="S436" i="7"/>
  <c r="T436" i="7"/>
  <c r="M437" i="7"/>
  <c r="N437" i="7"/>
  <c r="O437" i="7"/>
  <c r="P437" i="7"/>
  <c r="Q437" i="7"/>
  <c r="R437" i="7"/>
  <c r="S437" i="7"/>
  <c r="T437" i="7"/>
  <c r="M438" i="7"/>
  <c r="N438" i="7"/>
  <c r="O438" i="7"/>
  <c r="P438" i="7"/>
  <c r="Q438" i="7"/>
  <c r="R438" i="7"/>
  <c r="S438" i="7"/>
  <c r="T438" i="7"/>
  <c r="M439" i="7"/>
  <c r="N439" i="7"/>
  <c r="O439" i="7"/>
  <c r="P439" i="7"/>
  <c r="Q439" i="7"/>
  <c r="R439" i="7"/>
  <c r="S439" i="7"/>
  <c r="T439" i="7"/>
  <c r="M440" i="7"/>
  <c r="N440" i="7"/>
  <c r="O440" i="7"/>
  <c r="P440" i="7"/>
  <c r="Q440" i="7"/>
  <c r="R440" i="7"/>
  <c r="S440" i="7"/>
  <c r="T440" i="7"/>
  <c r="M441" i="7"/>
  <c r="N441" i="7"/>
  <c r="O441" i="7"/>
  <c r="P441" i="7"/>
  <c r="Q441" i="7"/>
  <c r="R441" i="7"/>
  <c r="S441" i="7"/>
  <c r="T441" i="7"/>
  <c r="M442" i="7"/>
  <c r="N442" i="7"/>
  <c r="O442" i="7"/>
  <c r="P442" i="7"/>
  <c r="Q442" i="7"/>
  <c r="R442" i="7"/>
  <c r="S442" i="7"/>
  <c r="T442" i="7"/>
  <c r="M443" i="7"/>
  <c r="N443" i="7"/>
  <c r="O443" i="7"/>
  <c r="P443" i="7"/>
  <c r="Q443" i="7"/>
  <c r="R443" i="7"/>
  <c r="S443" i="7"/>
  <c r="T443" i="7"/>
  <c r="M444" i="7"/>
  <c r="N444" i="7"/>
  <c r="O444" i="7"/>
  <c r="P444" i="7"/>
  <c r="Q444" i="7"/>
  <c r="R444" i="7"/>
  <c r="S444" i="7"/>
  <c r="T444" i="7"/>
  <c r="M445" i="7"/>
  <c r="N445" i="7"/>
  <c r="O445" i="7"/>
  <c r="P445" i="7"/>
  <c r="Q445" i="7"/>
  <c r="R445" i="7"/>
  <c r="S445" i="7"/>
  <c r="T445" i="7"/>
  <c r="M446" i="7"/>
  <c r="N446" i="7"/>
  <c r="O446" i="7"/>
  <c r="P446" i="7"/>
  <c r="Q446" i="7"/>
  <c r="R446" i="7"/>
  <c r="S446" i="7"/>
  <c r="T446" i="7"/>
  <c r="M447" i="7"/>
  <c r="N447" i="7"/>
  <c r="O447" i="7"/>
  <c r="P447" i="7"/>
  <c r="Q447" i="7"/>
  <c r="R447" i="7"/>
  <c r="S447" i="7"/>
  <c r="T447" i="7"/>
  <c r="M448" i="7"/>
  <c r="N448" i="7"/>
  <c r="O448" i="7"/>
  <c r="P448" i="7"/>
  <c r="Q448" i="7"/>
  <c r="R448" i="7"/>
  <c r="S448" i="7"/>
  <c r="T448" i="7"/>
  <c r="M449" i="7"/>
  <c r="N449" i="7"/>
  <c r="O449" i="7"/>
  <c r="P449" i="7"/>
  <c r="Q449" i="7"/>
  <c r="R449" i="7"/>
  <c r="S449" i="7"/>
  <c r="T449" i="7"/>
  <c r="M450" i="7"/>
  <c r="N450" i="7"/>
  <c r="O450" i="7"/>
  <c r="P450" i="7"/>
  <c r="Q450" i="7"/>
  <c r="R450" i="7"/>
  <c r="S450" i="7"/>
  <c r="T450" i="7"/>
  <c r="M451" i="7"/>
  <c r="N451" i="7"/>
  <c r="O451" i="7"/>
  <c r="P451" i="7"/>
  <c r="Q451" i="7"/>
  <c r="R451" i="7"/>
  <c r="S451" i="7"/>
  <c r="T451" i="7"/>
  <c r="M452" i="7"/>
  <c r="N452" i="7"/>
  <c r="O452" i="7"/>
  <c r="P452" i="7"/>
  <c r="Q452" i="7"/>
  <c r="R452" i="7"/>
  <c r="S452" i="7"/>
  <c r="T452" i="7"/>
  <c r="M453" i="7"/>
  <c r="N453" i="7"/>
  <c r="O453" i="7"/>
  <c r="P453" i="7"/>
  <c r="Q453" i="7"/>
  <c r="R453" i="7"/>
  <c r="S453" i="7"/>
  <c r="T453" i="7"/>
  <c r="M454" i="7"/>
  <c r="N454" i="7"/>
  <c r="O454" i="7"/>
  <c r="P454" i="7"/>
  <c r="Q454" i="7"/>
  <c r="R454" i="7"/>
  <c r="S454" i="7"/>
  <c r="T454" i="7"/>
  <c r="M455" i="7"/>
  <c r="N455" i="7"/>
  <c r="O455" i="7"/>
  <c r="P455" i="7"/>
  <c r="Q455" i="7"/>
  <c r="R455" i="7"/>
  <c r="S455" i="7"/>
  <c r="T455" i="7"/>
  <c r="M456" i="7"/>
  <c r="N456" i="7"/>
  <c r="O456" i="7"/>
  <c r="P456" i="7"/>
  <c r="Q456" i="7"/>
  <c r="R456" i="7"/>
  <c r="S456" i="7"/>
  <c r="T456" i="7"/>
  <c r="M457" i="7"/>
  <c r="N457" i="7"/>
  <c r="O457" i="7"/>
  <c r="P457" i="7"/>
  <c r="Q457" i="7"/>
  <c r="R457" i="7"/>
  <c r="S457" i="7"/>
  <c r="T457" i="7"/>
  <c r="M458" i="7"/>
  <c r="N458" i="7"/>
  <c r="O458" i="7"/>
  <c r="P458" i="7"/>
  <c r="Q458" i="7"/>
  <c r="R458" i="7"/>
  <c r="S458" i="7"/>
  <c r="T458" i="7"/>
  <c r="M459" i="7"/>
  <c r="N459" i="7"/>
  <c r="O459" i="7"/>
  <c r="P459" i="7"/>
  <c r="Q459" i="7"/>
  <c r="R459" i="7"/>
  <c r="S459" i="7"/>
  <c r="T459" i="7"/>
  <c r="M460" i="7"/>
  <c r="N460" i="7"/>
  <c r="O460" i="7"/>
  <c r="P460" i="7"/>
  <c r="Q460" i="7"/>
  <c r="R460" i="7"/>
  <c r="S460" i="7"/>
  <c r="T460" i="7"/>
  <c r="M461" i="7"/>
  <c r="N461" i="7"/>
  <c r="O461" i="7"/>
  <c r="P461" i="7"/>
  <c r="Q461" i="7"/>
  <c r="R461" i="7"/>
  <c r="S461" i="7"/>
  <c r="T461" i="7"/>
  <c r="M462" i="7"/>
  <c r="N462" i="7"/>
  <c r="O462" i="7"/>
  <c r="P462" i="7"/>
  <c r="Q462" i="7"/>
  <c r="R462" i="7"/>
  <c r="S462" i="7"/>
  <c r="T462" i="7"/>
  <c r="M463" i="7"/>
  <c r="N463" i="7"/>
  <c r="O463" i="7"/>
  <c r="P463" i="7"/>
  <c r="Q463" i="7"/>
  <c r="R463" i="7"/>
  <c r="S463" i="7"/>
  <c r="T463" i="7"/>
  <c r="M464" i="7"/>
  <c r="N464" i="7"/>
  <c r="O464" i="7"/>
  <c r="P464" i="7"/>
  <c r="Q464" i="7"/>
  <c r="R464" i="7"/>
  <c r="S464" i="7"/>
  <c r="T464" i="7"/>
  <c r="M465" i="7"/>
  <c r="N465" i="7"/>
  <c r="O465" i="7"/>
  <c r="P465" i="7"/>
  <c r="Q465" i="7"/>
  <c r="R465" i="7"/>
  <c r="S465" i="7"/>
  <c r="T465" i="7"/>
  <c r="M466" i="7"/>
  <c r="N466" i="7"/>
  <c r="O466" i="7"/>
  <c r="P466" i="7"/>
  <c r="Q466" i="7"/>
  <c r="R466" i="7"/>
  <c r="S466" i="7"/>
  <c r="T466" i="7"/>
  <c r="M467" i="7"/>
  <c r="N467" i="7"/>
  <c r="O467" i="7"/>
  <c r="P467" i="7"/>
  <c r="Q467" i="7"/>
  <c r="R467" i="7"/>
  <c r="S467" i="7"/>
  <c r="T467" i="7"/>
  <c r="M468" i="7"/>
  <c r="N468" i="7"/>
  <c r="O468" i="7"/>
  <c r="P468" i="7"/>
  <c r="Q468" i="7"/>
  <c r="R468" i="7"/>
  <c r="S468" i="7"/>
  <c r="T468" i="7"/>
  <c r="M469" i="7"/>
  <c r="N469" i="7"/>
  <c r="O469" i="7"/>
  <c r="P469" i="7"/>
  <c r="Q469" i="7"/>
  <c r="R469" i="7"/>
  <c r="S469" i="7"/>
  <c r="T469" i="7"/>
  <c r="M470" i="7"/>
  <c r="N470" i="7"/>
  <c r="O470" i="7"/>
  <c r="P470" i="7"/>
  <c r="Q470" i="7"/>
  <c r="R470" i="7"/>
  <c r="S470" i="7"/>
  <c r="T470" i="7"/>
  <c r="M471" i="7"/>
  <c r="N471" i="7"/>
  <c r="O471" i="7"/>
  <c r="P471" i="7"/>
  <c r="Q471" i="7"/>
  <c r="R471" i="7"/>
  <c r="S471" i="7"/>
  <c r="T471" i="7"/>
  <c r="M472" i="7"/>
  <c r="N472" i="7"/>
  <c r="O472" i="7"/>
  <c r="P472" i="7"/>
  <c r="Q472" i="7"/>
  <c r="R472" i="7"/>
  <c r="S472" i="7"/>
  <c r="T472" i="7"/>
  <c r="M473" i="7"/>
  <c r="N473" i="7"/>
  <c r="O473" i="7"/>
  <c r="P473" i="7"/>
  <c r="Q473" i="7"/>
  <c r="R473" i="7"/>
  <c r="S473" i="7"/>
  <c r="T473" i="7"/>
  <c r="M474" i="7"/>
  <c r="N474" i="7"/>
  <c r="O474" i="7"/>
  <c r="P474" i="7"/>
  <c r="Q474" i="7"/>
  <c r="R474" i="7"/>
  <c r="S474" i="7"/>
  <c r="T474" i="7"/>
  <c r="M475" i="7"/>
  <c r="N475" i="7"/>
  <c r="O475" i="7"/>
  <c r="P475" i="7"/>
  <c r="Q475" i="7"/>
  <c r="R475" i="7"/>
  <c r="S475" i="7"/>
  <c r="T475" i="7"/>
  <c r="M476" i="7"/>
  <c r="N476" i="7"/>
  <c r="O476" i="7"/>
  <c r="P476" i="7"/>
  <c r="Q476" i="7"/>
  <c r="R476" i="7"/>
  <c r="S476" i="7"/>
  <c r="T476" i="7"/>
  <c r="M477" i="7"/>
  <c r="N477" i="7"/>
  <c r="O477" i="7"/>
  <c r="P477" i="7"/>
  <c r="Q477" i="7"/>
  <c r="R477" i="7"/>
  <c r="S477" i="7"/>
  <c r="T477" i="7"/>
  <c r="M478" i="7"/>
  <c r="N478" i="7"/>
  <c r="O478" i="7"/>
  <c r="P478" i="7"/>
  <c r="Q478" i="7"/>
  <c r="R478" i="7"/>
  <c r="S478" i="7"/>
  <c r="T478" i="7"/>
  <c r="M479" i="7"/>
  <c r="N479" i="7"/>
  <c r="O479" i="7"/>
  <c r="P479" i="7"/>
  <c r="Q479" i="7"/>
  <c r="R479" i="7"/>
  <c r="S479" i="7"/>
  <c r="T479" i="7"/>
  <c r="M480" i="7"/>
  <c r="N480" i="7"/>
  <c r="O480" i="7"/>
  <c r="P480" i="7"/>
  <c r="Q480" i="7"/>
  <c r="R480" i="7"/>
  <c r="S480" i="7"/>
  <c r="T480" i="7"/>
  <c r="M481" i="7"/>
  <c r="N481" i="7"/>
  <c r="O481" i="7"/>
  <c r="P481" i="7"/>
  <c r="Q481" i="7"/>
  <c r="R481" i="7"/>
  <c r="S481" i="7"/>
  <c r="T481" i="7"/>
  <c r="M482" i="7"/>
  <c r="N482" i="7"/>
  <c r="O482" i="7"/>
  <c r="P482" i="7"/>
  <c r="Q482" i="7"/>
  <c r="R482" i="7"/>
  <c r="S482" i="7"/>
  <c r="T482" i="7"/>
  <c r="M483" i="7"/>
  <c r="N483" i="7"/>
  <c r="O483" i="7"/>
  <c r="P483" i="7"/>
  <c r="Q483" i="7"/>
  <c r="R483" i="7"/>
  <c r="S483" i="7"/>
  <c r="T483" i="7"/>
  <c r="M484" i="7"/>
  <c r="N484" i="7"/>
  <c r="O484" i="7"/>
  <c r="P484" i="7"/>
  <c r="Q484" i="7"/>
  <c r="R484" i="7"/>
  <c r="S484" i="7"/>
  <c r="T484" i="7"/>
  <c r="M485" i="7"/>
  <c r="N485" i="7"/>
  <c r="O485" i="7"/>
  <c r="P485" i="7"/>
  <c r="Q485" i="7"/>
  <c r="R485" i="7"/>
  <c r="S485" i="7"/>
  <c r="T485" i="7"/>
  <c r="M486" i="7"/>
  <c r="N486" i="7"/>
  <c r="O486" i="7"/>
  <c r="P486" i="7"/>
  <c r="Q486" i="7"/>
  <c r="R486" i="7"/>
  <c r="S486" i="7"/>
  <c r="T486" i="7"/>
  <c r="M487" i="7"/>
  <c r="N487" i="7"/>
  <c r="O487" i="7"/>
  <c r="P487" i="7"/>
  <c r="Q487" i="7"/>
  <c r="R487" i="7"/>
  <c r="S487" i="7"/>
  <c r="T487" i="7"/>
  <c r="M488" i="7"/>
  <c r="N488" i="7"/>
  <c r="O488" i="7"/>
  <c r="P488" i="7"/>
  <c r="Q488" i="7"/>
  <c r="R488" i="7"/>
  <c r="S488" i="7"/>
  <c r="T488" i="7"/>
  <c r="M489" i="7"/>
  <c r="N489" i="7"/>
  <c r="O489" i="7"/>
  <c r="P489" i="7"/>
  <c r="Q489" i="7"/>
  <c r="R489" i="7"/>
  <c r="S489" i="7"/>
  <c r="T489" i="7"/>
  <c r="M490" i="7"/>
  <c r="N490" i="7"/>
  <c r="O490" i="7"/>
  <c r="P490" i="7"/>
  <c r="Q490" i="7"/>
  <c r="R490" i="7"/>
  <c r="S490" i="7"/>
  <c r="T490" i="7"/>
  <c r="M491" i="7"/>
  <c r="N491" i="7"/>
  <c r="O491" i="7"/>
  <c r="P491" i="7"/>
  <c r="Q491" i="7"/>
  <c r="R491" i="7"/>
  <c r="S491" i="7"/>
  <c r="T491" i="7"/>
  <c r="M492" i="7"/>
  <c r="N492" i="7"/>
  <c r="O492" i="7"/>
  <c r="P492" i="7"/>
  <c r="Q492" i="7"/>
  <c r="R492" i="7"/>
  <c r="S492" i="7"/>
  <c r="T492" i="7"/>
  <c r="M493" i="7"/>
  <c r="N493" i="7"/>
  <c r="O493" i="7"/>
  <c r="P493" i="7"/>
  <c r="Q493" i="7"/>
  <c r="R493" i="7"/>
  <c r="S493" i="7"/>
  <c r="T493" i="7"/>
  <c r="M494" i="7"/>
  <c r="N494" i="7"/>
  <c r="O494" i="7"/>
  <c r="P494" i="7"/>
  <c r="Q494" i="7"/>
  <c r="R494" i="7"/>
  <c r="S494" i="7"/>
  <c r="T494" i="7"/>
  <c r="M495" i="7"/>
  <c r="N495" i="7"/>
  <c r="O495" i="7"/>
  <c r="P495" i="7"/>
  <c r="Q495" i="7"/>
  <c r="R495" i="7"/>
  <c r="S495" i="7"/>
  <c r="T495" i="7"/>
  <c r="M496" i="7"/>
  <c r="N496" i="7"/>
  <c r="O496" i="7"/>
  <c r="P496" i="7"/>
  <c r="Q496" i="7"/>
  <c r="R496" i="7"/>
  <c r="S496" i="7"/>
  <c r="T496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G6" i="15"/>
  <c r="F6" i="15"/>
  <c r="F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" i="15"/>
  <c r="U9" i="18" l="1"/>
  <c r="U17" i="18"/>
  <c r="U25" i="18"/>
  <c r="U33" i="18"/>
  <c r="U41" i="18"/>
  <c r="U49" i="18"/>
  <c r="U57" i="18"/>
  <c r="U65" i="18"/>
  <c r="U73" i="18"/>
  <c r="U81" i="18"/>
  <c r="U97" i="18"/>
  <c r="U106" i="18"/>
  <c r="U113" i="18"/>
  <c r="U114" i="18"/>
  <c r="U122" i="18"/>
  <c r="U129" i="18"/>
  <c r="U138" i="18"/>
  <c r="U145" i="18"/>
  <c r="U146" i="18"/>
  <c r="U154" i="18"/>
  <c r="U161" i="18"/>
  <c r="U170" i="18"/>
  <c r="U177" i="18"/>
  <c r="U178" i="18"/>
  <c r="U186" i="18"/>
  <c r="U193" i="18"/>
  <c r="U201" i="18"/>
  <c r="U217" i="18"/>
  <c r="U233" i="18"/>
  <c r="U249" i="18"/>
  <c r="U273" i="18"/>
  <c r="U289" i="18"/>
  <c r="U298" i="18"/>
  <c r="U321" i="18"/>
  <c r="U329" i="18"/>
  <c r="U402" i="18"/>
  <c r="U434" i="18"/>
  <c r="U450" i="18"/>
  <c r="U466" i="18"/>
  <c r="Q4" i="18"/>
  <c r="P4" i="18"/>
  <c r="U90" i="18"/>
  <c r="U266" i="18"/>
  <c r="U275" i="18"/>
  <c r="U291" i="18"/>
  <c r="U347" i="18"/>
  <c r="U354" i="18"/>
  <c r="U411" i="18"/>
  <c r="U475" i="18"/>
  <c r="R4" i="18"/>
  <c r="U11" i="18"/>
  <c r="U19" i="18"/>
  <c r="U27" i="18"/>
  <c r="U35" i="18"/>
  <c r="U43" i="18"/>
  <c r="U51" i="18"/>
  <c r="U59" i="18"/>
  <c r="U67" i="18"/>
  <c r="U75" i="18"/>
  <c r="U92" i="18"/>
  <c r="U99" i="18"/>
  <c r="U108" i="18"/>
  <c r="U115" i="18"/>
  <c r="U124" i="18"/>
  <c r="U140" i="18"/>
  <c r="U147" i="18"/>
  <c r="U156" i="18"/>
  <c r="U172" i="18"/>
  <c r="U179" i="18"/>
  <c r="U187" i="18"/>
  <c r="U188" i="18"/>
  <c r="U307" i="18"/>
  <c r="U331" i="18"/>
  <c r="U444" i="18"/>
  <c r="U268" i="18"/>
  <c r="U316" i="18"/>
  <c r="U340" i="18"/>
  <c r="U421" i="18"/>
  <c r="T4" i="18"/>
  <c r="U13" i="18"/>
  <c r="U21" i="18"/>
  <c r="U29" i="18"/>
  <c r="U37" i="18"/>
  <c r="U45" i="18"/>
  <c r="U53" i="18"/>
  <c r="U61" i="18"/>
  <c r="U69" i="18"/>
  <c r="U77" i="18"/>
  <c r="U101" i="18"/>
  <c r="U117" i="18"/>
  <c r="U133" i="18"/>
  <c r="U149" i="18"/>
  <c r="U165" i="18"/>
  <c r="U181" i="18"/>
  <c r="U213" i="18"/>
  <c r="U221" i="18"/>
  <c r="U245" i="18"/>
  <c r="U253" i="18"/>
  <c r="U293" i="18"/>
  <c r="U309" i="18"/>
  <c r="U382" i="18"/>
  <c r="U414" i="18"/>
  <c r="U446" i="18"/>
  <c r="S4" i="18"/>
  <c r="M4" i="18"/>
  <c r="U86" i="18"/>
  <c r="U94" i="18"/>
  <c r="U103" i="18"/>
  <c r="U110" i="18"/>
  <c r="U126" i="18"/>
  <c r="U135" i="18"/>
  <c r="U142" i="18"/>
  <c r="U158" i="18"/>
  <c r="U167" i="18"/>
  <c r="U174" i="18"/>
  <c r="U262" i="18"/>
  <c r="U270" i="18"/>
  <c r="U302" i="18"/>
  <c r="U326" i="18"/>
  <c r="U334" i="18"/>
  <c r="U495" i="18"/>
  <c r="U7" i="18"/>
  <c r="U15" i="18"/>
  <c r="U23" i="18"/>
  <c r="U31" i="18"/>
  <c r="U39" i="18"/>
  <c r="U47" i="18"/>
  <c r="U55" i="18"/>
  <c r="U63" i="18"/>
  <c r="U71" i="18"/>
  <c r="U79" i="18"/>
  <c r="U95" i="18"/>
  <c r="U96" i="18"/>
  <c r="U111" i="18"/>
  <c r="U127" i="18"/>
  <c r="U128" i="18"/>
  <c r="U143" i="18"/>
  <c r="U159" i="18"/>
  <c r="U160" i="18"/>
  <c r="U175" i="18"/>
  <c r="U191" i="18"/>
  <c r="U199" i="18"/>
  <c r="U223" i="18"/>
  <c r="U255" i="18"/>
  <c r="U263" i="18"/>
  <c r="U288" i="18"/>
  <c r="U295" i="18"/>
  <c r="U303" i="18"/>
  <c r="U336" i="18"/>
  <c r="U343" i="18"/>
  <c r="U376" i="18"/>
  <c r="U408" i="18"/>
  <c r="U440" i="18"/>
  <c r="U472" i="18"/>
  <c r="U488" i="18"/>
  <c r="L4" i="18"/>
  <c r="U98" i="18"/>
  <c r="U105" i="18"/>
  <c r="U119" i="18"/>
  <c r="U130" i="18"/>
  <c r="U137" i="18"/>
  <c r="U162" i="18"/>
  <c r="U169" i="18"/>
  <c r="U183" i="18"/>
  <c r="U194" i="18"/>
  <c r="U202" i="18"/>
  <c r="U207" i="18"/>
  <c r="U230" i="18"/>
  <c r="U234" i="18"/>
  <c r="U239" i="18"/>
  <c r="U301" i="18"/>
  <c r="U83" i="18"/>
  <c r="U85" i="18"/>
  <c r="U88" i="18"/>
  <c r="U109" i="18"/>
  <c r="U141" i="18"/>
  <c r="U173" i="18"/>
  <c r="U277" i="18"/>
  <c r="U102" i="18"/>
  <c r="U131" i="18"/>
  <c r="U134" i="18"/>
  <c r="U163" i="18"/>
  <c r="U166" i="18"/>
  <c r="U195" i="18"/>
  <c r="U204" i="18"/>
  <c r="U208" i="18"/>
  <c r="U227" i="18"/>
  <c r="U231" i="18"/>
  <c r="U236" i="18"/>
  <c r="U240" i="18"/>
  <c r="U259" i="18"/>
  <c r="U287" i="18"/>
  <c r="U312" i="18"/>
  <c r="U323" i="18"/>
  <c r="U120" i="18"/>
  <c r="U152" i="18"/>
  <c r="U184" i="18"/>
  <c r="U196" i="18"/>
  <c r="U308" i="18"/>
  <c r="U8" i="18"/>
  <c r="U10" i="18"/>
  <c r="U12" i="18"/>
  <c r="U14" i="18"/>
  <c r="U205" i="18"/>
  <c r="U214" i="18"/>
  <c r="U218" i="18"/>
  <c r="U237" i="18"/>
  <c r="U246" i="18"/>
  <c r="U250" i="18"/>
  <c r="U269" i="18"/>
  <c r="U284" i="18"/>
  <c r="U294" i="18"/>
  <c r="U313" i="18"/>
  <c r="U6" i="18"/>
  <c r="U16" i="18"/>
  <c r="U18" i="18"/>
  <c r="U20" i="18"/>
  <c r="U22" i="18"/>
  <c r="U24" i="18"/>
  <c r="U26" i="18"/>
  <c r="U28" i="18"/>
  <c r="U30" i="18"/>
  <c r="U32" i="18"/>
  <c r="U34" i="18"/>
  <c r="U36" i="18"/>
  <c r="U38" i="18"/>
  <c r="U40" i="18"/>
  <c r="U42" i="18"/>
  <c r="U44" i="18"/>
  <c r="U46" i="18"/>
  <c r="U48" i="18"/>
  <c r="U50" i="18"/>
  <c r="U52" i="18"/>
  <c r="U54" i="18"/>
  <c r="U56" i="18"/>
  <c r="U58" i="18"/>
  <c r="U60" i="18"/>
  <c r="U62" i="18"/>
  <c r="U64" i="18"/>
  <c r="U66" i="18"/>
  <c r="U68" i="18"/>
  <c r="U70" i="18"/>
  <c r="U72" i="18"/>
  <c r="U74" i="18"/>
  <c r="U76" i="18"/>
  <c r="U78" i="18"/>
  <c r="U80" i="18"/>
  <c r="U82" i="18"/>
  <c r="U84" i="18"/>
  <c r="U93" i="18"/>
  <c r="U125" i="18"/>
  <c r="U157" i="18"/>
  <c r="U189" i="18"/>
  <c r="U118" i="18"/>
  <c r="U150" i="18"/>
  <c r="U182" i="18"/>
  <c r="U211" i="18"/>
  <c r="U215" i="18"/>
  <c r="U220" i="18"/>
  <c r="U224" i="18"/>
  <c r="U243" i="18"/>
  <c r="U247" i="18"/>
  <c r="U252" i="18"/>
  <c r="U256" i="18"/>
  <c r="U319" i="18"/>
  <c r="U320" i="18"/>
  <c r="U87" i="18"/>
  <c r="U104" i="18"/>
  <c r="U112" i="18"/>
  <c r="U136" i="18"/>
  <c r="U144" i="18"/>
  <c r="U151" i="18"/>
  <c r="U168" i="18"/>
  <c r="U176" i="18"/>
  <c r="U229" i="18"/>
  <c r="U261" i="18"/>
  <c r="U276" i="18"/>
  <c r="U300" i="18"/>
  <c r="U190" i="18"/>
  <c r="U198" i="18"/>
  <c r="U210" i="18"/>
  <c r="U226" i="18"/>
  <c r="U242" i="18"/>
  <c r="U258" i="18"/>
  <c r="U265" i="18"/>
  <c r="U272" i="18"/>
  <c r="U279" i="18"/>
  <c r="U286" i="18"/>
  <c r="U297" i="18"/>
  <c r="U304" i="18"/>
  <c r="U311" i="18"/>
  <c r="U318" i="18"/>
  <c r="U379" i="18"/>
  <c r="U431" i="18"/>
  <c r="U443" i="18"/>
  <c r="U348" i="18"/>
  <c r="U352" i="18"/>
  <c r="U363" i="18"/>
  <c r="U386" i="18"/>
  <c r="U398" i="18"/>
  <c r="U485" i="18"/>
  <c r="U335" i="18"/>
  <c r="U358" i="18"/>
  <c r="U380" i="18"/>
  <c r="U462" i="18"/>
  <c r="U349" i="18"/>
  <c r="U364" i="18"/>
  <c r="U399" i="18"/>
  <c r="U197" i="18"/>
  <c r="U209" i="18"/>
  <c r="U212" i="18"/>
  <c r="U225" i="18"/>
  <c r="U228" i="18"/>
  <c r="U241" i="18"/>
  <c r="U244" i="18"/>
  <c r="U257" i="18"/>
  <c r="U260" i="18"/>
  <c r="U292" i="18"/>
  <c r="U324" i="18"/>
  <c r="U328" i="18"/>
  <c r="U332" i="18"/>
  <c r="U337" i="18"/>
  <c r="U345" i="18"/>
  <c r="U360" i="18"/>
  <c r="U389" i="18"/>
  <c r="U418" i="18"/>
  <c r="U430" i="18"/>
  <c r="U453" i="18"/>
  <c r="U463" i="18"/>
  <c r="U89" i="18"/>
  <c r="U91" i="18"/>
  <c r="U100" i="18"/>
  <c r="U107" i="18"/>
  <c r="U116" i="18"/>
  <c r="U123" i="18"/>
  <c r="U132" i="18"/>
  <c r="U139" i="18"/>
  <c r="U148" i="18"/>
  <c r="U155" i="18"/>
  <c r="U164" i="18"/>
  <c r="U171" i="18"/>
  <c r="U180" i="18"/>
  <c r="U192" i="18"/>
  <c r="U200" i="18"/>
  <c r="U203" i="18"/>
  <c r="U206" i="18"/>
  <c r="U219" i="18"/>
  <c r="U222" i="18"/>
  <c r="U235" i="18"/>
  <c r="U238" i="18"/>
  <c r="U251" i="18"/>
  <c r="U254" i="18"/>
  <c r="U264" i="18"/>
  <c r="U278" i="18"/>
  <c r="U282" i="18"/>
  <c r="U285" i="18"/>
  <c r="U296" i="18"/>
  <c r="U310" i="18"/>
  <c r="U314" i="18"/>
  <c r="U317" i="18"/>
  <c r="U333" i="18"/>
  <c r="U412" i="18"/>
  <c r="U482" i="18"/>
  <c r="U216" i="18"/>
  <c r="U232" i="18"/>
  <c r="U248" i="18"/>
  <c r="U271" i="18"/>
  <c r="U325" i="18"/>
  <c r="U338" i="18"/>
  <c r="U342" i="18"/>
  <c r="U346" i="18"/>
  <c r="U351" i="18"/>
  <c r="U367" i="18"/>
  <c r="U385" i="18"/>
  <c r="U449" i="18"/>
  <c r="U476" i="18"/>
  <c r="U339" i="18"/>
  <c r="U383" i="18"/>
  <c r="U415" i="18"/>
  <c r="U447" i="18"/>
  <c r="U479" i="18"/>
  <c r="U491" i="18"/>
  <c r="U369" i="18"/>
  <c r="U395" i="18"/>
  <c r="U427" i="18"/>
  <c r="U459" i="18"/>
  <c r="U478" i="18"/>
  <c r="U267" i="18"/>
  <c r="U274" i="18"/>
  <c r="U283" i="18"/>
  <c r="U290" i="18"/>
  <c r="U299" i="18"/>
  <c r="U306" i="18"/>
  <c r="U315" i="18"/>
  <c r="U322" i="18"/>
  <c r="U327" i="18"/>
  <c r="U330" i="18"/>
  <c r="U341" i="18"/>
  <c r="U344" i="18"/>
  <c r="U350" i="18"/>
  <c r="U353" i="18"/>
  <c r="U373" i="18"/>
  <c r="U401" i="18"/>
  <c r="U405" i="18"/>
  <c r="U433" i="18"/>
  <c r="U437" i="18"/>
  <c r="U465" i="18"/>
  <c r="U469" i="18"/>
  <c r="U357" i="18"/>
  <c r="U361" i="18"/>
  <c r="U366" i="18"/>
  <c r="U370" i="18"/>
  <c r="U392" i="18"/>
  <c r="U396" i="18"/>
  <c r="U424" i="18"/>
  <c r="U428" i="18"/>
  <c r="U456" i="18"/>
  <c r="U460" i="18"/>
  <c r="U356" i="18"/>
  <c r="U359" i="18"/>
  <c r="U372" i="18"/>
  <c r="U375" i="18"/>
  <c r="U388" i="18"/>
  <c r="U391" i="18"/>
  <c r="U404" i="18"/>
  <c r="U407" i="18"/>
  <c r="U420" i="18"/>
  <c r="U423" i="18"/>
  <c r="U436" i="18"/>
  <c r="U439" i="18"/>
  <c r="U452" i="18"/>
  <c r="U455" i="18"/>
  <c r="U468" i="18"/>
  <c r="U471" i="18"/>
  <c r="U484" i="18"/>
  <c r="U487" i="18"/>
  <c r="U494" i="18"/>
  <c r="U492" i="18"/>
  <c r="U374" i="18"/>
  <c r="U377" i="18"/>
  <c r="U390" i="18"/>
  <c r="U393" i="18"/>
  <c r="U406" i="18"/>
  <c r="U409" i="18"/>
  <c r="U422" i="18"/>
  <c r="U425" i="18"/>
  <c r="U438" i="18"/>
  <c r="U441" i="18"/>
  <c r="U454" i="18"/>
  <c r="U457" i="18"/>
  <c r="U470" i="18"/>
  <c r="U473" i="18"/>
  <c r="U486" i="18"/>
  <c r="U489" i="18"/>
  <c r="U355" i="18"/>
  <c r="U368" i="18"/>
  <c r="U371" i="18"/>
  <c r="U384" i="18"/>
  <c r="U387" i="18"/>
  <c r="U400" i="18"/>
  <c r="U403" i="18"/>
  <c r="U416" i="18"/>
  <c r="U419" i="18"/>
  <c r="U432" i="18"/>
  <c r="U435" i="18"/>
  <c r="U448" i="18"/>
  <c r="U451" i="18"/>
  <c r="U464" i="18"/>
  <c r="U467" i="18"/>
  <c r="U480" i="18"/>
  <c r="U483" i="18"/>
  <c r="U362" i="18"/>
  <c r="U365" i="18"/>
  <c r="U378" i="18"/>
  <c r="U381" i="18"/>
  <c r="U394" i="18"/>
  <c r="U397" i="18"/>
  <c r="U410" i="18"/>
  <c r="U413" i="18"/>
  <c r="U426" i="18"/>
  <c r="U429" i="18"/>
  <c r="U442" i="18"/>
  <c r="U445" i="18"/>
  <c r="U458" i="18"/>
  <c r="U461" i="18"/>
  <c r="U474" i="18"/>
  <c r="U477" i="18"/>
  <c r="U490" i="18"/>
  <c r="U493" i="18"/>
  <c r="U496" i="18"/>
  <c r="U4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67D41C-62E3-A243-AE34-D0A2D47E8344}" name="base_retornos_acoes1" type="6" refreshedVersion="7" background="1" saveData="1">
    <textPr codePage="65001" sourceFile="/Users/vinicius/Desktop/Preditiva.ai/Conteudo/Cases/case_probabilidades/base_retornos_acoe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FDDE009-BE96-3C46-8F0E-3FDD06B128E3}" name="base_retornos_acoes11" type="6" refreshedVersion="7" background="1" saveData="1">
    <textPr codePage="65001" sourceFile="/Users/vinicius/Desktop/Preditiva.ai/Conteudo/Cases/case_probabilidades/base_retornos_acoe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A43DE82C-6FD7-8841-A5E5-96F63A56E2FA}" keepAlive="1" name="Consulta - ITSA4 SA (4)" description="Conexão com a consulta 'ITSA4 SA (4)' na pasta de trabalho." type="5" refreshedVersion="0" background="1">
    <dbPr connection="Provider=Microsoft.Mashup.OleDb.1;Data Source=$Workbook$;Location=&quot;ITSA4 SA (4)&quot;;Extended Properties=&quot;&quot;" command="SELECT * FROM [ITSA4 SA (4)]"/>
  </connection>
  <connection id="4" xr16:uid="{8F9AFD5A-C219-4C41-ADAA-73CD63BFE789}" keepAlive="1" name="Consulta - ITSA4 SA (5)" description="Conexão com a consulta 'ITSA4 SA (5)' na pasta de trabalho." type="5" refreshedVersion="8" background="1" saveData="1">
    <dbPr connection="Provider=Microsoft.Mashup.OleDb.1;Data Source=$Workbook$;Location=&quot;ITSA4 SA (5)&quot;;Extended Properties=&quot;&quot;" command="SELECT * FROM [ITSA4 SA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<sst xmlns="http://schemas.openxmlformats.org/spreadsheetml/2006/main" count="360" uniqueCount="288">
  <si>
    <t>Petrobras</t>
  </si>
  <si>
    <t>Lojas Americanas</t>
  </si>
  <si>
    <t>Vale</t>
  </si>
  <si>
    <t>Multiplan</t>
  </si>
  <si>
    <t>Klabin</t>
  </si>
  <si>
    <t>Localiza</t>
  </si>
  <si>
    <t>Arezzo&amp;Co</t>
  </si>
  <si>
    <t>SulAmerica</t>
  </si>
  <si>
    <t>B3</t>
  </si>
  <si>
    <t>Data</t>
  </si>
  <si>
    <t>Base Transposta</t>
  </si>
  <si>
    <t xml:space="preserve">https://br.financas.yahoo.com </t>
  </si>
  <si>
    <t>Bases de Dados:</t>
  </si>
  <si>
    <r>
      <t xml:space="preserve">Perda esperada de </t>
    </r>
    <r>
      <rPr>
        <b/>
        <sz val="16"/>
        <color theme="4"/>
        <rFont val="Calibri (Corpo)"/>
      </rPr>
      <t>Ativos Financeiros</t>
    </r>
  </si>
  <si>
    <t>Retorno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</si>
  <si>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</si>
  <si>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</si>
  <si>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</si>
  <si>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</si>
  <si>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</si>
  <si>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</si>
  <si>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</si>
  <si>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</si>
  <si>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</si>
  <si>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</si>
  <si>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</si>
  <si>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</si>
  <si>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</si>
  <si>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</si>
  <si>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</si>
  <si>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</si>
  <si>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</si>
  <si>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</si>
  <si>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</si>
  <si>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</si>
  <si>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</si>
  <si>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</si>
  <si>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</si>
  <si>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</si>
  <si>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</si>
  <si>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</si>
  <si>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</si>
  <si>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</si>
  <si>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</si>
  <si>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</si>
  <si>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</si>
  <si>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</si>
  <si>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</si>
  <si>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</si>
  <si>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</si>
  <si>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</si>
  <si>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</si>
  <si>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</si>
  <si>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</si>
  <si>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</si>
  <si>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</si>
  <si>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</si>
  <si>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</si>
  <si>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</si>
  <si>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</si>
  <si>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</si>
  <si>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</si>
  <si>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</si>
  <si>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</si>
  <si>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</si>
  <si>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</si>
  <si>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</si>
  <si>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</si>
  <si>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</si>
  <si>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</si>
  <si>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</si>
  <si>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</si>
  <si>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</si>
  <si>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</si>
  <si>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</si>
  <si>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</si>
  <si>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</si>
  <si>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</si>
  <si>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</si>
  <si>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</si>
  <si>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</si>
  <si>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</si>
  <si>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</si>
  <si>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</si>
  <si>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</si>
  <si>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</si>
  <si>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</si>
  <si>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</si>
  <si>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</si>
  <si>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</si>
  <si>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</si>
  <si>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</si>
  <si>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</si>
  <si>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</si>
  <si>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</si>
  <si>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</si>
  <si>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</si>
  <si>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</si>
  <si>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</si>
  <si>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</si>
  <si>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</si>
  <si>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</si>
  <si>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</si>
  <si>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</si>
  <si>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</si>
  <si>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</si>
  <si>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</si>
  <si>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</si>
  <si>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</si>
  <si>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</si>
  <si>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</si>
  <si>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</si>
  <si>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</si>
  <si>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</si>
  <si>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</si>
  <si>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</si>
  <si>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</si>
  <si>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</si>
  <si>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</si>
  <si>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</si>
  <si>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</si>
  <si>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</si>
  <si>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</si>
  <si>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</si>
  <si>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</si>
  <si>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</si>
  <si>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</si>
  <si>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</si>
  <si>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</si>
  <si>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</si>
  <si>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</si>
  <si>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</si>
  <si>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</si>
  <si>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</si>
  <si>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</si>
  <si>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</si>
  <si>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</si>
  <si>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</si>
  <si>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</si>
  <si>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</si>
  <si>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</si>
  <si>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</si>
  <si>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</si>
  <si>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</si>
  <si>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</si>
  <si>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</si>
  <si>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</si>
  <si>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</si>
  <si>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</si>
  <si>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</si>
  <si>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</si>
  <si>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</si>
  <si>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</si>
  <si>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</si>
  <si>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</si>
  <si>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</si>
  <si>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</si>
  <si>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</si>
  <si>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</si>
  <si>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</si>
  <si>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</si>
  <si>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</si>
  <si>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</si>
  <si>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</si>
  <si>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</si>
  <si>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</si>
  <si>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</si>
  <si>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</si>
  <si>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</si>
  <si>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</si>
  <si>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</si>
  <si>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</si>
  <si>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</si>
  <si>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</si>
  <si>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</si>
  <si>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</si>
  <si>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</si>
  <si>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</si>
  <si>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</si>
  <si>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</si>
  <si>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</si>
  <si>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</si>
  <si>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</si>
  <si>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</si>
  <si>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</si>
  <si>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</si>
  <si>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</si>
  <si>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</si>
  <si>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</si>
  <si>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</si>
  <si>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</si>
  <si>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</si>
  <si>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</si>
  <si>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</si>
  <si>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</si>
  <si>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</si>
  <si>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</si>
  <si>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</si>
  <si>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</si>
  <si>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</si>
  <si>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</si>
  <si>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</si>
  <si>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</si>
  <si>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</si>
  <si>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</si>
  <si>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</si>
  <si>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</si>
  <si>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</si>
  <si>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</si>
  <si>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</si>
  <si>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</si>
  <si>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</si>
  <si>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</si>
  <si>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</si>
  <si>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</si>
  <si>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</si>
  <si>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</si>
  <si>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</si>
  <si>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</si>
  <si>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</si>
  <si>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</si>
  <si>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</si>
  <si>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</si>
  <si>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</si>
  <si>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</si>
  <si>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</si>
  <si>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</si>
  <si>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</si>
  <si>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</si>
  <si>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</si>
  <si>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</si>
  <si>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</si>
  <si>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</si>
  <si>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</si>
  <si>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</si>
  <si>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</si>
  <si>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</si>
  <si>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</si>
  <si>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</si>
  <si>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</si>
  <si>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</si>
  <si>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</si>
  <si>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</si>
  <si>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</si>
  <si>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</si>
  <si>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</si>
  <si>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</si>
  <si>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</si>
  <si>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</si>
  <si>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</si>
  <si>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</si>
  <si>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</si>
  <si>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</si>
  <si>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</si>
  <si>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</si>
  <si>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</si>
  <si>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</si>
  <si>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</si>
  <si>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</si>
  <si>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</si>
  <si>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</si>
  <si>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</si>
  <si>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</si>
  <si>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</si>
  <si>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</si>
  <si>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</si>
  <si>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</si>
  <si>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Data de Fechamento</t>
  </si>
  <si>
    <t>Preço</t>
  </si>
  <si>
    <t>Volatilidade</t>
  </si>
  <si>
    <t>Média de Retornos entre os dias</t>
  </si>
  <si>
    <t>Mediana</t>
  </si>
  <si>
    <t>Matriz dos Retornos</t>
  </si>
  <si>
    <t>Retorno da Carteira</t>
  </si>
  <si>
    <t>Alocação dos Ativos</t>
  </si>
  <si>
    <t>Retorno da Carteira Ponderada</t>
  </si>
  <si>
    <t>VaR</t>
  </si>
  <si>
    <t>VaR - Percentil 5%</t>
  </si>
  <si>
    <t>Volume Da Carteira</t>
  </si>
  <si>
    <t>Dias</t>
  </si>
  <si>
    <t>VaR Percentil</t>
  </si>
  <si>
    <t>Valor da Carteira</t>
  </si>
  <si>
    <t>Ação do Itau</t>
  </si>
  <si>
    <t>data máxima</t>
  </si>
  <si>
    <t>Período Anterior</t>
  </si>
  <si>
    <t>Período Posterior</t>
  </si>
  <si>
    <t>(usado para prever o VaR)</t>
  </si>
  <si>
    <t>(usado para verificar se o VaR anterior se manteve)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</si>
</sst>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.000_-;\-* #,##0.00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4"/>
      <name val="Calibri (Corpo)"/>
    </font>
    <font>
      <b/>
      <sz val="16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3" borderId="0" xfId="2" applyFill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9" fillId="0" borderId="3" xfId="0" applyFont="1" applyBorder="1" applyAlignment="1">
      <alignment horizontal="center"/>
    </xf>
    <xf numFmtId="2" fontId="0" fillId="3" borderId="0" xfId="0" applyNumberFormat="1" applyFill="1"/>
    <xf numFmtId="164" fontId="0" fillId="0" borderId="0" xfId="0" applyNumberFormat="1"/>
    <xf numFmtId="10" fontId="0" fillId="0" borderId="0" xfId="4" applyNumberFormat="1" applyFont="1"/>
    <xf numFmtId="2" fontId="0" fillId="0" borderId="0" xfId="0" applyNumberFormat="1"/>
    <xf numFmtId="2" fontId="0" fillId="0" borderId="2" xfId="0" applyNumberFormat="1" applyBorder="1"/>
    <xf numFmtId="9" fontId="0" fillId="0" borderId="0" xfId="0" applyNumberFormat="1"/>
    <xf numFmtId="0" fontId="6" fillId="5" borderId="6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0" fillId="6" borderId="6" xfId="0" applyFill="1" applyBorder="1"/>
    <xf numFmtId="2" fontId="0" fillId="6" borderId="7" xfId="0" applyNumberFormat="1" applyFill="1" applyBorder="1"/>
    <xf numFmtId="0" fontId="0" fillId="0" borderId="6" xfId="0" applyBorder="1"/>
    <xf numFmtId="2" fontId="0" fillId="0" borderId="7" xfId="0" applyNumberFormat="1" applyBorder="1"/>
    <xf numFmtId="0" fontId="0" fillId="0" borderId="4" xfId="0" applyBorder="1"/>
    <xf numFmtId="2" fontId="0" fillId="0" borderId="5" xfId="0" applyNumberFormat="1" applyBorder="1"/>
    <xf numFmtId="10" fontId="0" fillId="6" borderId="8" xfId="4" applyNumberFormat="1" applyFont="1" applyFill="1" applyBorder="1"/>
    <xf numFmtId="0" fontId="0" fillId="7" borderId="0" xfId="0" applyFill="1"/>
    <xf numFmtId="10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0" borderId="0" xfId="0" applyFont="1"/>
    <xf numFmtId="165" fontId="0" fillId="0" borderId="0" xfId="1" applyNumberFormat="1" applyFont="1"/>
    <xf numFmtId="2" fontId="0" fillId="7" borderId="0" xfId="0" applyNumberFormat="1" applyFill="1"/>
    <xf numFmtId="0" fontId="9" fillId="7" borderId="3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8" fillId="0" borderId="0" xfId="0" applyNumberFormat="1" applyFont="1"/>
    <xf numFmtId="9" fontId="8" fillId="9" borderId="0" xfId="0" applyNumberFormat="1" applyFont="1" applyFill="1"/>
    <xf numFmtId="44" fontId="0" fillId="0" borderId="0" xfId="3" applyFont="1"/>
    <xf numFmtId="10" fontId="7" fillId="0" borderId="0" xfId="0" applyNumberFormat="1" applyFont="1"/>
    <xf numFmtId="44" fontId="7" fillId="0" borderId="0" xfId="0" applyNumberFormat="1" applyFont="1"/>
    <xf numFmtId="164" fontId="7" fillId="0" borderId="0" xfId="4" applyNumberFormat="1" applyFont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3" applyFont="1" applyAlignment="1">
      <alignment horizontal="center"/>
    </xf>
    <xf numFmtId="44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 wrapText="1"/>
    </xf>
  </cellXfs>
  <cellStyles count="5">
    <cellStyle name="Comma" xfId="1" builtinId="3"/>
    <cellStyle name="Currency" xfId="3" builtinId="4"/>
    <cellStyle name="Hyperlink" xfId="2" builtinId="8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'Retornos da Carteira de Ações'!$B$5</c:f>
              <c:strCache>
                <c:ptCount val="1"/>
                <c:pt idx="0">
                  <c:v>Arezzo&amp;Co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Ações'!$B$6:$B$497</c:f>
              <c:numCache>
                <c:formatCode>#,##0.00</c:formatCode>
                <c:ptCount val="492"/>
                <c:pt idx="0">
                  <c:v>92.389999000000003</c:v>
                </c:pt>
                <c:pt idx="1">
                  <c:v>91.32</c:v>
                </c:pt>
                <c:pt idx="2">
                  <c:v>92.629997000000003</c:v>
                </c:pt>
                <c:pt idx="3">
                  <c:v>91.739998</c:v>
                </c:pt>
                <c:pt idx="4">
                  <c:v>90.25</c:v>
                </c:pt>
                <c:pt idx="5">
                  <c:v>90.400002000000001</c:v>
                </c:pt>
                <c:pt idx="6">
                  <c:v>89.199996999999996</c:v>
                </c:pt>
                <c:pt idx="7">
                  <c:v>87.800003000000004</c:v>
                </c:pt>
                <c:pt idx="8">
                  <c:v>87.580001999999993</c:v>
                </c:pt>
                <c:pt idx="9">
                  <c:v>89.699996999999996</c:v>
                </c:pt>
                <c:pt idx="10">
                  <c:v>91.440002000000007</c:v>
                </c:pt>
                <c:pt idx="11">
                  <c:v>92.779999000000004</c:v>
                </c:pt>
                <c:pt idx="12">
                  <c:v>91.980002999999996</c:v>
                </c:pt>
                <c:pt idx="13">
                  <c:v>92.099997999999999</c:v>
                </c:pt>
                <c:pt idx="14">
                  <c:v>92.900002000000001</c:v>
                </c:pt>
                <c:pt idx="15">
                  <c:v>93.599997999999999</c:v>
                </c:pt>
                <c:pt idx="16">
                  <c:v>92</c:v>
                </c:pt>
                <c:pt idx="17">
                  <c:v>91.790001000000004</c:v>
                </c:pt>
                <c:pt idx="18">
                  <c:v>92.029999000000004</c:v>
                </c:pt>
                <c:pt idx="19">
                  <c:v>92.080001999999993</c:v>
                </c:pt>
                <c:pt idx="20">
                  <c:v>90.519997000000004</c:v>
                </c:pt>
                <c:pt idx="21">
                  <c:v>92.550003000000004</c:v>
                </c:pt>
                <c:pt idx="22">
                  <c:v>93.339995999999999</c:v>
                </c:pt>
                <c:pt idx="23">
                  <c:v>93.860000999999997</c:v>
                </c:pt>
                <c:pt idx="24">
                  <c:v>96.269997000000004</c:v>
                </c:pt>
                <c:pt idx="25">
                  <c:v>97.730002999999996</c:v>
                </c:pt>
                <c:pt idx="26">
                  <c:v>98.120002999999997</c:v>
                </c:pt>
                <c:pt idx="27">
                  <c:v>96.809997999999993</c:v>
                </c:pt>
                <c:pt idx="28">
                  <c:v>97.230002999999996</c:v>
                </c:pt>
                <c:pt idx="29">
                  <c:v>98.160004000000001</c:v>
                </c:pt>
                <c:pt idx="30">
                  <c:v>99.57</c:v>
                </c:pt>
                <c:pt idx="31">
                  <c:v>100.80999799999999</c:v>
                </c:pt>
                <c:pt idx="32">
                  <c:v>99.459998999999996</c:v>
                </c:pt>
                <c:pt idx="33">
                  <c:v>97.129997000000003</c:v>
                </c:pt>
                <c:pt idx="34">
                  <c:v>96.620002999999997</c:v>
                </c:pt>
                <c:pt idx="35">
                  <c:v>96.040001000000004</c:v>
                </c:pt>
                <c:pt idx="36">
                  <c:v>96.470000999999996</c:v>
                </c:pt>
                <c:pt idx="37">
                  <c:v>95.809997999999993</c:v>
                </c:pt>
                <c:pt idx="38">
                  <c:v>96.050003000000004</c:v>
                </c:pt>
                <c:pt idx="39">
                  <c:v>95.419998000000007</c:v>
                </c:pt>
                <c:pt idx="40">
                  <c:v>93.510002</c:v>
                </c:pt>
                <c:pt idx="41">
                  <c:v>94.5</c:v>
                </c:pt>
                <c:pt idx="42">
                  <c:v>95.080001999999993</c:v>
                </c:pt>
                <c:pt idx="43">
                  <c:v>94.949996999999996</c:v>
                </c:pt>
                <c:pt idx="44">
                  <c:v>92.790001000000004</c:v>
                </c:pt>
                <c:pt idx="45">
                  <c:v>94.300003000000004</c:v>
                </c:pt>
                <c:pt idx="46">
                  <c:v>93.709998999999996</c:v>
                </c:pt>
                <c:pt idx="47">
                  <c:v>95</c:v>
                </c:pt>
                <c:pt idx="48">
                  <c:v>95.93</c:v>
                </c:pt>
                <c:pt idx="49">
                  <c:v>94.269997000000004</c:v>
                </c:pt>
                <c:pt idx="50">
                  <c:v>92.629997000000003</c:v>
                </c:pt>
                <c:pt idx="51">
                  <c:v>91.379997000000003</c:v>
                </c:pt>
                <c:pt idx="52">
                  <c:v>91.349997999999999</c:v>
                </c:pt>
                <c:pt idx="53">
                  <c:v>92.190002000000007</c:v>
                </c:pt>
                <c:pt idx="54">
                  <c:v>88.199996999999996</c:v>
                </c:pt>
                <c:pt idx="55">
                  <c:v>88.110000999999997</c:v>
                </c:pt>
                <c:pt idx="56">
                  <c:v>88.360000999999997</c:v>
                </c:pt>
                <c:pt idx="57">
                  <c:v>87.599997999999999</c:v>
                </c:pt>
                <c:pt idx="58">
                  <c:v>85.510002</c:v>
                </c:pt>
                <c:pt idx="59">
                  <c:v>85.800003000000004</c:v>
                </c:pt>
                <c:pt idx="60">
                  <c:v>87.349997999999999</c:v>
                </c:pt>
                <c:pt idx="61">
                  <c:v>88.300003000000004</c:v>
                </c:pt>
                <c:pt idx="62">
                  <c:v>88.629997000000003</c:v>
                </c:pt>
                <c:pt idx="63">
                  <c:v>89.029999000000004</c:v>
                </c:pt>
                <c:pt idx="64">
                  <c:v>87.510002</c:v>
                </c:pt>
                <c:pt idx="65">
                  <c:v>86.099997999999999</c:v>
                </c:pt>
                <c:pt idx="66">
                  <c:v>85.82</c:v>
                </c:pt>
                <c:pt idx="67">
                  <c:v>85.760002</c:v>
                </c:pt>
                <c:pt idx="68">
                  <c:v>84.839995999999999</c:v>
                </c:pt>
                <c:pt idx="69">
                  <c:v>84.709998999999996</c:v>
                </c:pt>
                <c:pt idx="70">
                  <c:v>84.800003000000004</c:v>
                </c:pt>
                <c:pt idx="71">
                  <c:v>85</c:v>
                </c:pt>
                <c:pt idx="72">
                  <c:v>85.459998999999996</c:v>
                </c:pt>
                <c:pt idx="73">
                  <c:v>83.839995999999999</c:v>
                </c:pt>
                <c:pt idx="74">
                  <c:v>81.180000000000007</c:v>
                </c:pt>
                <c:pt idx="75">
                  <c:v>80.400002000000001</c:v>
                </c:pt>
                <c:pt idx="76">
                  <c:v>82</c:v>
                </c:pt>
                <c:pt idx="77">
                  <c:v>81.680000000000007</c:v>
                </c:pt>
                <c:pt idx="78">
                  <c:v>81.089995999999999</c:v>
                </c:pt>
                <c:pt idx="79">
                  <c:v>80</c:v>
                </c:pt>
                <c:pt idx="80">
                  <c:v>79.449996999999996</c:v>
                </c:pt>
                <c:pt idx="81">
                  <c:v>76</c:v>
                </c:pt>
                <c:pt idx="82">
                  <c:v>75.620002999999997</c:v>
                </c:pt>
                <c:pt idx="83">
                  <c:v>75.650002000000001</c:v>
                </c:pt>
                <c:pt idx="84">
                  <c:v>76.169998000000007</c:v>
                </c:pt>
                <c:pt idx="85">
                  <c:v>76.819999999999993</c:v>
                </c:pt>
                <c:pt idx="86">
                  <c:v>76.470000999999996</c:v>
                </c:pt>
                <c:pt idx="87">
                  <c:v>76.910004000000001</c:v>
                </c:pt>
                <c:pt idx="88">
                  <c:v>79.5</c:v>
                </c:pt>
                <c:pt idx="89">
                  <c:v>78.919998000000007</c:v>
                </c:pt>
                <c:pt idx="90">
                  <c:v>78.830001999999993</c:v>
                </c:pt>
                <c:pt idx="91">
                  <c:v>78.559997999999993</c:v>
                </c:pt>
                <c:pt idx="92">
                  <c:v>79.580001999999993</c:v>
                </c:pt>
                <c:pt idx="93">
                  <c:v>80.949996999999996</c:v>
                </c:pt>
                <c:pt idx="94">
                  <c:v>74.709998999999996</c:v>
                </c:pt>
                <c:pt idx="95">
                  <c:v>74.389999000000003</c:v>
                </c:pt>
                <c:pt idx="96">
                  <c:v>74.379997000000003</c:v>
                </c:pt>
                <c:pt idx="97">
                  <c:v>74.489998</c:v>
                </c:pt>
                <c:pt idx="98">
                  <c:v>73.129997000000003</c:v>
                </c:pt>
                <c:pt idx="99">
                  <c:v>71.699996999999996</c:v>
                </c:pt>
                <c:pt idx="100">
                  <c:v>72.989998</c:v>
                </c:pt>
                <c:pt idx="101">
                  <c:v>71.029999000000004</c:v>
                </c:pt>
                <c:pt idx="102">
                  <c:v>69.910004000000001</c:v>
                </c:pt>
                <c:pt idx="103">
                  <c:v>70.349997999999999</c:v>
                </c:pt>
                <c:pt idx="104">
                  <c:v>70.800003000000004</c:v>
                </c:pt>
                <c:pt idx="105">
                  <c:v>69.110000999999997</c:v>
                </c:pt>
                <c:pt idx="106">
                  <c:v>70.5</c:v>
                </c:pt>
                <c:pt idx="107">
                  <c:v>69.830001999999993</c:v>
                </c:pt>
                <c:pt idx="108">
                  <c:v>69.080001999999993</c:v>
                </c:pt>
                <c:pt idx="109">
                  <c:v>73.430000000000007</c:v>
                </c:pt>
                <c:pt idx="110">
                  <c:v>72.330001999999993</c:v>
                </c:pt>
                <c:pt idx="111">
                  <c:v>72.830001999999993</c:v>
                </c:pt>
                <c:pt idx="112">
                  <c:v>72.970000999999996</c:v>
                </c:pt>
                <c:pt idx="113">
                  <c:v>74.459998999999996</c:v>
                </c:pt>
                <c:pt idx="114">
                  <c:v>73.339995999999999</c:v>
                </c:pt>
                <c:pt idx="115">
                  <c:v>73.569999999999993</c:v>
                </c:pt>
                <c:pt idx="116">
                  <c:v>72.989998</c:v>
                </c:pt>
                <c:pt idx="117">
                  <c:v>73.970000999999996</c:v>
                </c:pt>
                <c:pt idx="118">
                  <c:v>72.360000999999997</c:v>
                </c:pt>
                <c:pt idx="119">
                  <c:v>70.669998000000007</c:v>
                </c:pt>
                <c:pt idx="120">
                  <c:v>72.360000999999997</c:v>
                </c:pt>
                <c:pt idx="121">
                  <c:v>78.489998</c:v>
                </c:pt>
                <c:pt idx="122">
                  <c:v>73</c:v>
                </c:pt>
                <c:pt idx="123">
                  <c:v>70.900002000000001</c:v>
                </c:pt>
                <c:pt idx="124">
                  <c:v>71.830001999999993</c:v>
                </c:pt>
                <c:pt idx="125">
                  <c:v>71.199996999999996</c:v>
                </c:pt>
                <c:pt idx="126">
                  <c:v>71.319999999999993</c:v>
                </c:pt>
                <c:pt idx="127">
                  <c:v>72.309997999999993</c:v>
                </c:pt>
                <c:pt idx="128">
                  <c:v>74.559997999999993</c:v>
                </c:pt>
                <c:pt idx="129">
                  <c:v>75.330001999999993</c:v>
                </c:pt>
                <c:pt idx="130">
                  <c:v>77.279999000000004</c:v>
                </c:pt>
                <c:pt idx="131">
                  <c:v>77</c:v>
                </c:pt>
                <c:pt idx="132">
                  <c:v>75.5</c:v>
                </c:pt>
                <c:pt idx="133">
                  <c:v>76</c:v>
                </c:pt>
                <c:pt idx="134">
                  <c:v>74.529999000000004</c:v>
                </c:pt>
                <c:pt idx="135">
                  <c:v>74</c:v>
                </c:pt>
                <c:pt idx="136">
                  <c:v>75.050003000000004</c:v>
                </c:pt>
                <c:pt idx="137">
                  <c:v>74.559997999999993</c:v>
                </c:pt>
                <c:pt idx="138">
                  <c:v>74</c:v>
                </c:pt>
                <c:pt idx="139">
                  <c:v>74.510002</c:v>
                </c:pt>
                <c:pt idx="140">
                  <c:v>72.5</c:v>
                </c:pt>
                <c:pt idx="141">
                  <c:v>72.5</c:v>
                </c:pt>
                <c:pt idx="142">
                  <c:v>71.900002000000001</c:v>
                </c:pt>
                <c:pt idx="143">
                  <c:v>70.569999999999993</c:v>
                </c:pt>
                <c:pt idx="144">
                  <c:v>72.589995999999999</c:v>
                </c:pt>
                <c:pt idx="145">
                  <c:v>71.029999000000004</c:v>
                </c:pt>
                <c:pt idx="146">
                  <c:v>69.010002</c:v>
                </c:pt>
                <c:pt idx="147">
                  <c:v>69.480002999999996</c:v>
                </c:pt>
                <c:pt idx="148">
                  <c:v>70</c:v>
                </c:pt>
                <c:pt idx="149">
                  <c:v>70</c:v>
                </c:pt>
                <c:pt idx="150">
                  <c:v>70.25</c:v>
                </c:pt>
                <c:pt idx="151">
                  <c:v>68.709998999999996</c:v>
                </c:pt>
                <c:pt idx="152">
                  <c:v>67.410004000000001</c:v>
                </c:pt>
                <c:pt idx="153">
                  <c:v>66.209998999999996</c:v>
                </c:pt>
                <c:pt idx="154">
                  <c:v>63.799999</c:v>
                </c:pt>
                <c:pt idx="155">
                  <c:v>63.810001</c:v>
                </c:pt>
                <c:pt idx="156">
                  <c:v>63.099997999999999</c:v>
                </c:pt>
                <c:pt idx="157">
                  <c:v>64.099997999999999</c:v>
                </c:pt>
                <c:pt idx="158">
                  <c:v>62.919998</c:v>
                </c:pt>
                <c:pt idx="159">
                  <c:v>63</c:v>
                </c:pt>
                <c:pt idx="160">
                  <c:v>66.959998999999996</c:v>
                </c:pt>
                <c:pt idx="161">
                  <c:v>68</c:v>
                </c:pt>
                <c:pt idx="162">
                  <c:v>68.180000000000007</c:v>
                </c:pt>
                <c:pt idx="163">
                  <c:v>68.139999000000003</c:v>
                </c:pt>
                <c:pt idx="164">
                  <c:v>68.599997999999999</c:v>
                </c:pt>
                <c:pt idx="165">
                  <c:v>67.459998999999996</c:v>
                </c:pt>
                <c:pt idx="166">
                  <c:v>67.900002000000001</c:v>
                </c:pt>
                <c:pt idx="167">
                  <c:v>67.959998999999996</c:v>
                </c:pt>
                <c:pt idx="168">
                  <c:v>68.440002000000007</c:v>
                </c:pt>
                <c:pt idx="169">
                  <c:v>70.220000999999996</c:v>
                </c:pt>
                <c:pt idx="170">
                  <c:v>70.839995999999999</c:v>
                </c:pt>
                <c:pt idx="171">
                  <c:v>70.419998000000007</c:v>
                </c:pt>
                <c:pt idx="172">
                  <c:v>70.180000000000007</c:v>
                </c:pt>
                <c:pt idx="173">
                  <c:v>69.610000999999997</c:v>
                </c:pt>
                <c:pt idx="174">
                  <c:v>69.599997999999999</c:v>
                </c:pt>
                <c:pt idx="175">
                  <c:v>69.949996999999996</c:v>
                </c:pt>
                <c:pt idx="176">
                  <c:v>70.139999000000003</c:v>
                </c:pt>
                <c:pt idx="177">
                  <c:v>70.190002000000007</c:v>
                </c:pt>
                <c:pt idx="178">
                  <c:v>70.900002000000001</c:v>
                </c:pt>
                <c:pt idx="179">
                  <c:v>69.410004000000001</c:v>
                </c:pt>
                <c:pt idx="180">
                  <c:v>70.849997999999999</c:v>
                </c:pt>
                <c:pt idx="181">
                  <c:v>69.160004000000001</c:v>
                </c:pt>
                <c:pt idx="182">
                  <c:v>69.449996999999996</c:v>
                </c:pt>
                <c:pt idx="183">
                  <c:v>71</c:v>
                </c:pt>
                <c:pt idx="184">
                  <c:v>71.199996999999996</c:v>
                </c:pt>
                <c:pt idx="185">
                  <c:v>71.519997000000004</c:v>
                </c:pt>
                <c:pt idx="186">
                  <c:v>71.930000000000007</c:v>
                </c:pt>
                <c:pt idx="187">
                  <c:v>71.879997000000003</c:v>
                </c:pt>
                <c:pt idx="188">
                  <c:v>69.209998999999996</c:v>
                </c:pt>
                <c:pt idx="189">
                  <c:v>68.699996999999996</c:v>
                </c:pt>
                <c:pt idx="190">
                  <c:v>69.220000999999996</c:v>
                </c:pt>
                <c:pt idx="191">
                  <c:v>70.419998000000007</c:v>
                </c:pt>
                <c:pt idx="192">
                  <c:v>67.989998</c:v>
                </c:pt>
                <c:pt idx="193">
                  <c:v>64.150002000000001</c:v>
                </c:pt>
                <c:pt idx="194">
                  <c:v>65.489998</c:v>
                </c:pt>
                <c:pt idx="195">
                  <c:v>65.699996999999996</c:v>
                </c:pt>
                <c:pt idx="196">
                  <c:v>64.949996999999996</c:v>
                </c:pt>
                <c:pt idx="197">
                  <c:v>63.209999000000003</c:v>
                </c:pt>
                <c:pt idx="198">
                  <c:v>64.139999000000003</c:v>
                </c:pt>
                <c:pt idx="199">
                  <c:v>64.089995999999999</c:v>
                </c:pt>
                <c:pt idx="200">
                  <c:v>59.799999</c:v>
                </c:pt>
                <c:pt idx="201">
                  <c:v>60.299999</c:v>
                </c:pt>
                <c:pt idx="202">
                  <c:v>62.130001</c:v>
                </c:pt>
                <c:pt idx="203">
                  <c:v>60.200001</c:v>
                </c:pt>
                <c:pt idx="204">
                  <c:v>61.25</c:v>
                </c:pt>
                <c:pt idx="205">
                  <c:v>62.16</c:v>
                </c:pt>
                <c:pt idx="206">
                  <c:v>61</c:v>
                </c:pt>
                <c:pt idx="207">
                  <c:v>52.57</c:v>
                </c:pt>
                <c:pt idx="208">
                  <c:v>54.18</c:v>
                </c:pt>
                <c:pt idx="209">
                  <c:v>55.099997999999999</c:v>
                </c:pt>
                <c:pt idx="210">
                  <c:v>54.630001</c:v>
                </c:pt>
                <c:pt idx="211">
                  <c:v>53.73</c:v>
                </c:pt>
                <c:pt idx="212">
                  <c:v>53.790000999999997</c:v>
                </c:pt>
                <c:pt idx="213">
                  <c:v>54.709999000000003</c:v>
                </c:pt>
                <c:pt idx="214">
                  <c:v>54.75</c:v>
                </c:pt>
                <c:pt idx="215">
                  <c:v>54.860000999999997</c:v>
                </c:pt>
                <c:pt idx="216">
                  <c:v>56.799999</c:v>
                </c:pt>
                <c:pt idx="217">
                  <c:v>55.580002</c:v>
                </c:pt>
                <c:pt idx="218">
                  <c:v>55.369999</c:v>
                </c:pt>
                <c:pt idx="219">
                  <c:v>56.290000999999997</c:v>
                </c:pt>
                <c:pt idx="220">
                  <c:v>54.93</c:v>
                </c:pt>
                <c:pt idx="221">
                  <c:v>55.43</c:v>
                </c:pt>
                <c:pt idx="222">
                  <c:v>54.34</c:v>
                </c:pt>
                <c:pt idx="223">
                  <c:v>53.349997999999999</c:v>
                </c:pt>
                <c:pt idx="224">
                  <c:v>52.900002000000001</c:v>
                </c:pt>
                <c:pt idx="225">
                  <c:v>54.540000999999997</c:v>
                </c:pt>
                <c:pt idx="226">
                  <c:v>53.900002000000001</c:v>
                </c:pt>
                <c:pt idx="227">
                  <c:v>53.650002000000001</c:v>
                </c:pt>
                <c:pt idx="228">
                  <c:v>55.150002000000001</c:v>
                </c:pt>
                <c:pt idx="229">
                  <c:v>54.099997999999999</c:v>
                </c:pt>
                <c:pt idx="230">
                  <c:v>54.5</c:v>
                </c:pt>
                <c:pt idx="231">
                  <c:v>56.200001</c:v>
                </c:pt>
                <c:pt idx="232">
                  <c:v>56.709999000000003</c:v>
                </c:pt>
                <c:pt idx="233">
                  <c:v>57.549999</c:v>
                </c:pt>
                <c:pt idx="234">
                  <c:v>57.169998</c:v>
                </c:pt>
                <c:pt idx="235">
                  <c:v>55.75</c:v>
                </c:pt>
                <c:pt idx="236">
                  <c:v>56.959999000000003</c:v>
                </c:pt>
                <c:pt idx="237">
                  <c:v>60.220001000000003</c:v>
                </c:pt>
                <c:pt idx="238">
                  <c:v>58.619999</c:v>
                </c:pt>
                <c:pt idx="239">
                  <c:v>58.830002</c:v>
                </c:pt>
                <c:pt idx="240">
                  <c:v>58.169998</c:v>
                </c:pt>
                <c:pt idx="241">
                  <c:v>59.389999000000003</c:v>
                </c:pt>
                <c:pt idx="242">
                  <c:v>58.869999</c:v>
                </c:pt>
                <c:pt idx="243">
                  <c:v>56.119999</c:v>
                </c:pt>
                <c:pt idx="244">
                  <c:v>57.060001</c:v>
                </c:pt>
                <c:pt idx="245">
                  <c:v>54.799999</c:v>
                </c:pt>
                <c:pt idx="246">
                  <c:v>54.169998</c:v>
                </c:pt>
                <c:pt idx="247">
                  <c:v>54</c:v>
                </c:pt>
                <c:pt idx="248">
                  <c:v>53</c:v>
                </c:pt>
                <c:pt idx="249">
                  <c:v>53.200001</c:v>
                </c:pt>
                <c:pt idx="250">
                  <c:v>53.130001</c:v>
                </c:pt>
                <c:pt idx="251">
                  <c:v>54</c:v>
                </c:pt>
                <c:pt idx="252">
                  <c:v>56.139999000000003</c:v>
                </c:pt>
                <c:pt idx="253">
                  <c:v>52.869999</c:v>
                </c:pt>
                <c:pt idx="254">
                  <c:v>55.5</c:v>
                </c:pt>
                <c:pt idx="255">
                  <c:v>55.5</c:v>
                </c:pt>
                <c:pt idx="256">
                  <c:v>54.91</c:v>
                </c:pt>
                <c:pt idx="257">
                  <c:v>55.720001000000003</c:v>
                </c:pt>
                <c:pt idx="258">
                  <c:v>53.970001000000003</c:v>
                </c:pt>
                <c:pt idx="259">
                  <c:v>54.799999</c:v>
                </c:pt>
                <c:pt idx="260">
                  <c:v>54.799999</c:v>
                </c:pt>
                <c:pt idx="261">
                  <c:v>53.060001</c:v>
                </c:pt>
                <c:pt idx="262">
                  <c:v>51.599997999999999</c:v>
                </c:pt>
                <c:pt idx="263">
                  <c:v>53.400002000000001</c:v>
                </c:pt>
                <c:pt idx="264">
                  <c:v>52.759998000000003</c:v>
                </c:pt>
                <c:pt idx="265">
                  <c:v>51.990001999999997</c:v>
                </c:pt>
                <c:pt idx="266">
                  <c:v>52.139999000000003</c:v>
                </c:pt>
                <c:pt idx="267">
                  <c:v>50.5</c:v>
                </c:pt>
                <c:pt idx="268">
                  <c:v>50.799999</c:v>
                </c:pt>
                <c:pt idx="269">
                  <c:v>51.299999</c:v>
                </c:pt>
                <c:pt idx="270">
                  <c:v>51.849997999999999</c:v>
                </c:pt>
                <c:pt idx="271">
                  <c:v>53.889999000000003</c:v>
                </c:pt>
                <c:pt idx="272">
                  <c:v>54.759998000000003</c:v>
                </c:pt>
                <c:pt idx="273">
                  <c:v>55.299999</c:v>
                </c:pt>
                <c:pt idx="274">
                  <c:v>52.549999</c:v>
                </c:pt>
                <c:pt idx="275">
                  <c:v>53.5</c:v>
                </c:pt>
                <c:pt idx="276">
                  <c:v>52.959999000000003</c:v>
                </c:pt>
                <c:pt idx="277">
                  <c:v>52.5</c:v>
                </c:pt>
                <c:pt idx="278">
                  <c:v>52.970001000000003</c:v>
                </c:pt>
                <c:pt idx="279">
                  <c:v>52.299999</c:v>
                </c:pt>
                <c:pt idx="280">
                  <c:v>52.099997999999999</c:v>
                </c:pt>
                <c:pt idx="281">
                  <c:v>51.93</c:v>
                </c:pt>
                <c:pt idx="282">
                  <c:v>50.869999</c:v>
                </c:pt>
                <c:pt idx="283">
                  <c:v>50</c:v>
                </c:pt>
                <c:pt idx="284">
                  <c:v>48.75</c:v>
                </c:pt>
                <c:pt idx="285">
                  <c:v>48.330002</c:v>
                </c:pt>
                <c:pt idx="286">
                  <c:v>47.990001999999997</c:v>
                </c:pt>
                <c:pt idx="287">
                  <c:v>47.900002000000001</c:v>
                </c:pt>
                <c:pt idx="288">
                  <c:v>47.450001</c:v>
                </c:pt>
                <c:pt idx="289">
                  <c:v>46.290000999999997</c:v>
                </c:pt>
                <c:pt idx="290">
                  <c:v>47.900002000000001</c:v>
                </c:pt>
                <c:pt idx="291">
                  <c:v>45.439999</c:v>
                </c:pt>
                <c:pt idx="292">
                  <c:v>47.669998</c:v>
                </c:pt>
                <c:pt idx="293">
                  <c:v>46.290000999999997</c:v>
                </c:pt>
                <c:pt idx="294">
                  <c:v>44.580002</c:v>
                </c:pt>
                <c:pt idx="295">
                  <c:v>43.950001</c:v>
                </c:pt>
                <c:pt idx="296">
                  <c:v>44.139999000000003</c:v>
                </c:pt>
                <c:pt idx="297">
                  <c:v>43</c:v>
                </c:pt>
                <c:pt idx="298">
                  <c:v>44.279998999999997</c:v>
                </c:pt>
                <c:pt idx="299">
                  <c:v>43.709999000000003</c:v>
                </c:pt>
                <c:pt idx="300">
                  <c:v>44.880001</c:v>
                </c:pt>
                <c:pt idx="301">
                  <c:v>46.700001</c:v>
                </c:pt>
                <c:pt idx="302">
                  <c:v>47.299999</c:v>
                </c:pt>
                <c:pt idx="303">
                  <c:v>46.099997999999999</c:v>
                </c:pt>
                <c:pt idx="304">
                  <c:v>45.360000999999997</c:v>
                </c:pt>
                <c:pt idx="305">
                  <c:v>46.740001999999997</c:v>
                </c:pt>
                <c:pt idx="306">
                  <c:v>47</c:v>
                </c:pt>
                <c:pt idx="307">
                  <c:v>42.799999</c:v>
                </c:pt>
                <c:pt idx="308">
                  <c:v>42.099997999999999</c:v>
                </c:pt>
                <c:pt idx="309">
                  <c:v>43.59</c:v>
                </c:pt>
                <c:pt idx="310">
                  <c:v>43.900002000000001</c:v>
                </c:pt>
                <c:pt idx="311">
                  <c:v>41.540000999999997</c:v>
                </c:pt>
                <c:pt idx="312">
                  <c:v>42.799999</c:v>
                </c:pt>
                <c:pt idx="313">
                  <c:v>41.709999000000003</c:v>
                </c:pt>
                <c:pt idx="314">
                  <c:v>43.619999</c:v>
                </c:pt>
                <c:pt idx="315">
                  <c:v>40.5</c:v>
                </c:pt>
                <c:pt idx="316">
                  <c:v>41.689999</c:v>
                </c:pt>
                <c:pt idx="317">
                  <c:v>39.650002000000001</c:v>
                </c:pt>
                <c:pt idx="318">
                  <c:v>38.75</c:v>
                </c:pt>
                <c:pt idx="319">
                  <c:v>38.330002</c:v>
                </c:pt>
                <c:pt idx="320">
                  <c:v>39.389999000000003</c:v>
                </c:pt>
                <c:pt idx="321">
                  <c:v>40.450001</c:v>
                </c:pt>
                <c:pt idx="322">
                  <c:v>42.299999</c:v>
                </c:pt>
                <c:pt idx="323">
                  <c:v>41.700001</c:v>
                </c:pt>
                <c:pt idx="324">
                  <c:v>41.66</c:v>
                </c:pt>
                <c:pt idx="325">
                  <c:v>42.830002</c:v>
                </c:pt>
                <c:pt idx="326">
                  <c:v>41.599997999999999</c:v>
                </c:pt>
                <c:pt idx="327">
                  <c:v>40.900002000000001</c:v>
                </c:pt>
                <c:pt idx="328">
                  <c:v>42.5</c:v>
                </c:pt>
                <c:pt idx="329">
                  <c:v>46.080002</c:v>
                </c:pt>
                <c:pt idx="330">
                  <c:v>45.59</c:v>
                </c:pt>
                <c:pt idx="331">
                  <c:v>42.599997999999999</c:v>
                </c:pt>
                <c:pt idx="332">
                  <c:v>42.990001999999997</c:v>
                </c:pt>
                <c:pt idx="333">
                  <c:v>44.470001000000003</c:v>
                </c:pt>
                <c:pt idx="334">
                  <c:v>47.790000999999997</c:v>
                </c:pt>
                <c:pt idx="335">
                  <c:v>44.93</c:v>
                </c:pt>
                <c:pt idx="336">
                  <c:v>42.299999</c:v>
                </c:pt>
                <c:pt idx="337">
                  <c:v>40.099997999999999</c:v>
                </c:pt>
                <c:pt idx="338">
                  <c:v>38.380001</c:v>
                </c:pt>
                <c:pt idx="339">
                  <c:v>37.400002000000001</c:v>
                </c:pt>
                <c:pt idx="340">
                  <c:v>36.549999</c:v>
                </c:pt>
                <c:pt idx="341">
                  <c:v>37.599997999999999</c:v>
                </c:pt>
                <c:pt idx="342">
                  <c:v>39.57</c:v>
                </c:pt>
                <c:pt idx="343">
                  <c:v>38.889999000000003</c:v>
                </c:pt>
                <c:pt idx="344">
                  <c:v>37.5</c:v>
                </c:pt>
                <c:pt idx="345">
                  <c:v>33.029998999999997</c:v>
                </c:pt>
                <c:pt idx="346">
                  <c:v>36.090000000000003</c:v>
                </c:pt>
                <c:pt idx="347">
                  <c:v>36.099997999999999</c:v>
                </c:pt>
                <c:pt idx="348">
                  <c:v>36.869999</c:v>
                </c:pt>
                <c:pt idx="349">
                  <c:v>37.450001</c:v>
                </c:pt>
                <c:pt idx="350">
                  <c:v>39.630001</c:v>
                </c:pt>
                <c:pt idx="351">
                  <c:v>42.150002000000001</c:v>
                </c:pt>
                <c:pt idx="352">
                  <c:v>41.049999</c:v>
                </c:pt>
                <c:pt idx="353">
                  <c:v>35.200001</c:v>
                </c:pt>
                <c:pt idx="354">
                  <c:v>33.540000999999997</c:v>
                </c:pt>
                <c:pt idx="355">
                  <c:v>35.240001999999997</c:v>
                </c:pt>
                <c:pt idx="356">
                  <c:v>37.5</c:v>
                </c:pt>
                <c:pt idx="357">
                  <c:v>35</c:v>
                </c:pt>
                <c:pt idx="358">
                  <c:v>42</c:v>
                </c:pt>
                <c:pt idx="359">
                  <c:v>42</c:v>
                </c:pt>
                <c:pt idx="360">
                  <c:v>48.869999</c:v>
                </c:pt>
                <c:pt idx="361">
                  <c:v>45.139999000000003</c:v>
                </c:pt>
                <c:pt idx="362">
                  <c:v>52.790000999999997</c:v>
                </c:pt>
                <c:pt idx="363">
                  <c:v>55.709999000000003</c:v>
                </c:pt>
                <c:pt idx="364">
                  <c:v>51.57</c:v>
                </c:pt>
                <c:pt idx="365">
                  <c:v>56.5</c:v>
                </c:pt>
                <c:pt idx="366">
                  <c:v>56.799999</c:v>
                </c:pt>
                <c:pt idx="367">
                  <c:v>58</c:v>
                </c:pt>
                <c:pt idx="368">
                  <c:v>58.560001</c:v>
                </c:pt>
                <c:pt idx="369">
                  <c:v>59.849997999999999</c:v>
                </c:pt>
                <c:pt idx="370">
                  <c:v>60.099997999999999</c:v>
                </c:pt>
                <c:pt idx="371">
                  <c:v>59.880001</c:v>
                </c:pt>
                <c:pt idx="372">
                  <c:v>64.209998999999996</c:v>
                </c:pt>
                <c:pt idx="373">
                  <c:v>65.559997999999993</c:v>
                </c:pt>
                <c:pt idx="374">
                  <c:v>65.680000000000007</c:v>
                </c:pt>
                <c:pt idx="375">
                  <c:v>64.879997000000003</c:v>
                </c:pt>
                <c:pt idx="376">
                  <c:v>63.82</c:v>
                </c:pt>
                <c:pt idx="377">
                  <c:v>62.5</c:v>
                </c:pt>
                <c:pt idx="378">
                  <c:v>63.630001</c:v>
                </c:pt>
                <c:pt idx="379">
                  <c:v>61.799999</c:v>
                </c:pt>
                <c:pt idx="380">
                  <c:v>59.689999</c:v>
                </c:pt>
                <c:pt idx="381">
                  <c:v>58.48</c:v>
                </c:pt>
                <c:pt idx="382">
                  <c:v>60.68</c:v>
                </c:pt>
                <c:pt idx="383">
                  <c:v>61</c:v>
                </c:pt>
                <c:pt idx="384">
                  <c:v>62.740001999999997</c:v>
                </c:pt>
                <c:pt idx="385">
                  <c:v>62</c:v>
                </c:pt>
                <c:pt idx="386">
                  <c:v>61.389999000000003</c:v>
                </c:pt>
                <c:pt idx="387">
                  <c:v>60.299999</c:v>
                </c:pt>
                <c:pt idx="388">
                  <c:v>62.84</c:v>
                </c:pt>
                <c:pt idx="389">
                  <c:v>64.239998</c:v>
                </c:pt>
                <c:pt idx="390">
                  <c:v>63.639999000000003</c:v>
                </c:pt>
                <c:pt idx="391">
                  <c:v>62.689999</c:v>
                </c:pt>
                <c:pt idx="392">
                  <c:v>63.790000999999997</c:v>
                </c:pt>
                <c:pt idx="393">
                  <c:v>63.700001</c:v>
                </c:pt>
                <c:pt idx="394">
                  <c:v>64.709998999999996</c:v>
                </c:pt>
                <c:pt idx="395">
                  <c:v>66.029999000000004</c:v>
                </c:pt>
                <c:pt idx="396">
                  <c:v>63.189999</c:v>
                </c:pt>
                <c:pt idx="397">
                  <c:v>62.82</c:v>
                </c:pt>
                <c:pt idx="398">
                  <c:v>62.5</c:v>
                </c:pt>
                <c:pt idx="399">
                  <c:v>62.68</c:v>
                </c:pt>
                <c:pt idx="400">
                  <c:v>63</c:v>
                </c:pt>
                <c:pt idx="401">
                  <c:v>62.799999</c:v>
                </c:pt>
                <c:pt idx="402">
                  <c:v>60.860000999999997</c:v>
                </c:pt>
                <c:pt idx="403">
                  <c:v>61.299999</c:v>
                </c:pt>
                <c:pt idx="404">
                  <c:v>62</c:v>
                </c:pt>
                <c:pt idx="405">
                  <c:v>62.900002000000001</c:v>
                </c:pt>
                <c:pt idx="406">
                  <c:v>62.610000999999997</c:v>
                </c:pt>
                <c:pt idx="407">
                  <c:v>63</c:v>
                </c:pt>
                <c:pt idx="408">
                  <c:v>63.91</c:v>
                </c:pt>
                <c:pt idx="409">
                  <c:v>64</c:v>
                </c:pt>
                <c:pt idx="410">
                  <c:v>63.98</c:v>
                </c:pt>
                <c:pt idx="411">
                  <c:v>64.769997000000004</c:v>
                </c:pt>
                <c:pt idx="412">
                  <c:v>65.800003000000004</c:v>
                </c:pt>
                <c:pt idx="413">
                  <c:v>64.739998</c:v>
                </c:pt>
                <c:pt idx="414">
                  <c:v>64.739998</c:v>
                </c:pt>
                <c:pt idx="415">
                  <c:v>64</c:v>
                </c:pt>
                <c:pt idx="416">
                  <c:v>64.5</c:v>
                </c:pt>
                <c:pt idx="417">
                  <c:v>64.699996999999996</c:v>
                </c:pt>
                <c:pt idx="418">
                  <c:v>65.599997999999999</c:v>
                </c:pt>
                <c:pt idx="419">
                  <c:v>65.629997000000003</c:v>
                </c:pt>
                <c:pt idx="420">
                  <c:v>66</c:v>
                </c:pt>
                <c:pt idx="421">
                  <c:v>66.599997999999999</c:v>
                </c:pt>
                <c:pt idx="422">
                  <c:v>68.5</c:v>
                </c:pt>
                <c:pt idx="423">
                  <c:v>68.099997999999999</c:v>
                </c:pt>
                <c:pt idx="424">
                  <c:v>65.400002000000001</c:v>
                </c:pt>
                <c:pt idx="425">
                  <c:v>64.599997999999999</c:v>
                </c:pt>
                <c:pt idx="426">
                  <c:v>64.430000000000007</c:v>
                </c:pt>
                <c:pt idx="427">
                  <c:v>62.599997999999999</c:v>
                </c:pt>
                <c:pt idx="428">
                  <c:v>62.5</c:v>
                </c:pt>
                <c:pt idx="429">
                  <c:v>62.279998999999997</c:v>
                </c:pt>
                <c:pt idx="430">
                  <c:v>62.200001</c:v>
                </c:pt>
                <c:pt idx="431">
                  <c:v>62.700001</c:v>
                </c:pt>
                <c:pt idx="432">
                  <c:v>63</c:v>
                </c:pt>
                <c:pt idx="433">
                  <c:v>64.699996999999996</c:v>
                </c:pt>
                <c:pt idx="434">
                  <c:v>63.139999000000003</c:v>
                </c:pt>
                <c:pt idx="435">
                  <c:v>60.009998000000003</c:v>
                </c:pt>
                <c:pt idx="436">
                  <c:v>60.279998999999997</c:v>
                </c:pt>
                <c:pt idx="437">
                  <c:v>60.669998</c:v>
                </c:pt>
                <c:pt idx="438">
                  <c:v>59.400002000000001</c:v>
                </c:pt>
                <c:pt idx="439">
                  <c:v>58.950001</c:v>
                </c:pt>
                <c:pt idx="440">
                  <c:v>59.900002000000001</c:v>
                </c:pt>
                <c:pt idx="441">
                  <c:v>59.5</c:v>
                </c:pt>
                <c:pt idx="442">
                  <c:v>59.950001</c:v>
                </c:pt>
                <c:pt idx="443">
                  <c:v>60.68</c:v>
                </c:pt>
                <c:pt idx="444">
                  <c:v>60.299999</c:v>
                </c:pt>
                <c:pt idx="445">
                  <c:v>60.950001</c:v>
                </c:pt>
                <c:pt idx="446">
                  <c:v>62.119999</c:v>
                </c:pt>
                <c:pt idx="447">
                  <c:v>59.099997999999999</c:v>
                </c:pt>
                <c:pt idx="448">
                  <c:v>58.5</c:v>
                </c:pt>
                <c:pt idx="449">
                  <c:v>57.799999</c:v>
                </c:pt>
                <c:pt idx="450">
                  <c:v>57.400002000000001</c:v>
                </c:pt>
                <c:pt idx="451">
                  <c:v>57.52</c:v>
                </c:pt>
                <c:pt idx="452">
                  <c:v>56.799999</c:v>
                </c:pt>
                <c:pt idx="453">
                  <c:v>57.049999</c:v>
                </c:pt>
                <c:pt idx="454">
                  <c:v>57.799999</c:v>
                </c:pt>
                <c:pt idx="455">
                  <c:v>56.91</c:v>
                </c:pt>
                <c:pt idx="456">
                  <c:v>57.189999</c:v>
                </c:pt>
                <c:pt idx="457">
                  <c:v>56.650002000000001</c:v>
                </c:pt>
                <c:pt idx="458">
                  <c:v>55.130001</c:v>
                </c:pt>
                <c:pt idx="459">
                  <c:v>54.639999000000003</c:v>
                </c:pt>
                <c:pt idx="460">
                  <c:v>55.169998</c:v>
                </c:pt>
                <c:pt idx="461">
                  <c:v>55.580002</c:v>
                </c:pt>
                <c:pt idx="462">
                  <c:v>54.98</c:v>
                </c:pt>
                <c:pt idx="463">
                  <c:v>54.799999</c:v>
                </c:pt>
                <c:pt idx="464">
                  <c:v>55.200001</c:v>
                </c:pt>
                <c:pt idx="465">
                  <c:v>56</c:v>
                </c:pt>
                <c:pt idx="466">
                  <c:v>55.52</c:v>
                </c:pt>
                <c:pt idx="467">
                  <c:v>53</c:v>
                </c:pt>
                <c:pt idx="468">
                  <c:v>51.150002000000001</c:v>
                </c:pt>
                <c:pt idx="469">
                  <c:v>49.68</c:v>
                </c:pt>
                <c:pt idx="470">
                  <c:v>49.52</c:v>
                </c:pt>
                <c:pt idx="471">
                  <c:v>49.380001</c:v>
                </c:pt>
                <c:pt idx="472">
                  <c:v>49.490001999999997</c:v>
                </c:pt>
                <c:pt idx="473">
                  <c:v>48.919998</c:v>
                </c:pt>
                <c:pt idx="474">
                  <c:v>49</c:v>
                </c:pt>
                <c:pt idx="475">
                  <c:v>49.009998000000003</c:v>
                </c:pt>
                <c:pt idx="476">
                  <c:v>50.259998000000003</c:v>
                </c:pt>
                <c:pt idx="477">
                  <c:v>49.75</c:v>
                </c:pt>
                <c:pt idx="478">
                  <c:v>49.299999</c:v>
                </c:pt>
                <c:pt idx="479">
                  <c:v>49.080002</c:v>
                </c:pt>
                <c:pt idx="480">
                  <c:v>48.209999000000003</c:v>
                </c:pt>
                <c:pt idx="481">
                  <c:v>48.099997999999999</c:v>
                </c:pt>
                <c:pt idx="482">
                  <c:v>48.700001</c:v>
                </c:pt>
                <c:pt idx="483">
                  <c:v>49.459999000000003</c:v>
                </c:pt>
                <c:pt idx="484">
                  <c:v>47.810001</c:v>
                </c:pt>
                <c:pt idx="485">
                  <c:v>47.93</c:v>
                </c:pt>
                <c:pt idx="486">
                  <c:v>47.990001999999997</c:v>
                </c:pt>
                <c:pt idx="487">
                  <c:v>48.43</c:v>
                </c:pt>
                <c:pt idx="488">
                  <c:v>48.09</c:v>
                </c:pt>
                <c:pt idx="489">
                  <c:v>47.599997999999999</c:v>
                </c:pt>
                <c:pt idx="490">
                  <c:v>48.200001</c:v>
                </c:pt>
                <c:pt idx="491">
                  <c:v>49.48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5-AE49-B97D-1C9180F02193}"/>
            </c:ext>
          </c:extLst>
        </c:ser>
        <c:ser>
          <c:idx val="1"/>
          <c:order val="1"/>
          <c:tx>
            <c:strRef>
              <c:f>'Retornos da Carteira de Ações'!$C$5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Ações'!$C$6:$C$497</c:f>
              <c:numCache>
                <c:formatCode>#,##0.00</c:formatCode>
                <c:ptCount val="492"/>
                <c:pt idx="0">
                  <c:v>13.94</c:v>
                </c:pt>
                <c:pt idx="1">
                  <c:v>13.66</c:v>
                </c:pt>
                <c:pt idx="2">
                  <c:v>13.99</c:v>
                </c:pt>
                <c:pt idx="3">
                  <c:v>13.9</c:v>
                </c:pt>
                <c:pt idx="4">
                  <c:v>13.65</c:v>
                </c:pt>
                <c:pt idx="5">
                  <c:v>14.2</c:v>
                </c:pt>
                <c:pt idx="6">
                  <c:v>14.18</c:v>
                </c:pt>
                <c:pt idx="7">
                  <c:v>13.54</c:v>
                </c:pt>
                <c:pt idx="8">
                  <c:v>13.82</c:v>
                </c:pt>
                <c:pt idx="9">
                  <c:v>13.98</c:v>
                </c:pt>
                <c:pt idx="10">
                  <c:v>14.64</c:v>
                </c:pt>
                <c:pt idx="11">
                  <c:v>13.89</c:v>
                </c:pt>
                <c:pt idx="12">
                  <c:v>15.05</c:v>
                </c:pt>
                <c:pt idx="13">
                  <c:v>15.51</c:v>
                </c:pt>
                <c:pt idx="14">
                  <c:v>15.77</c:v>
                </c:pt>
                <c:pt idx="15">
                  <c:v>15.9</c:v>
                </c:pt>
                <c:pt idx="16">
                  <c:v>15.71</c:v>
                </c:pt>
                <c:pt idx="17">
                  <c:v>15.94</c:v>
                </c:pt>
                <c:pt idx="18">
                  <c:v>16.010000000000002</c:v>
                </c:pt>
                <c:pt idx="19">
                  <c:v>15.62</c:v>
                </c:pt>
                <c:pt idx="20">
                  <c:v>15.25</c:v>
                </c:pt>
                <c:pt idx="21">
                  <c:v>15.81</c:v>
                </c:pt>
                <c:pt idx="22">
                  <c:v>15.84</c:v>
                </c:pt>
                <c:pt idx="23">
                  <c:v>16.100000000000001</c:v>
                </c:pt>
                <c:pt idx="24">
                  <c:v>16.41</c:v>
                </c:pt>
                <c:pt idx="25">
                  <c:v>16.350000000000001</c:v>
                </c:pt>
                <c:pt idx="26">
                  <c:v>16.5</c:v>
                </c:pt>
                <c:pt idx="27">
                  <c:v>16.350000000000001</c:v>
                </c:pt>
                <c:pt idx="28">
                  <c:v>16.420000000000002</c:v>
                </c:pt>
                <c:pt idx="29">
                  <c:v>16.41</c:v>
                </c:pt>
                <c:pt idx="30">
                  <c:v>16.59</c:v>
                </c:pt>
                <c:pt idx="31">
                  <c:v>17</c:v>
                </c:pt>
                <c:pt idx="32">
                  <c:v>17.120000999999998</c:v>
                </c:pt>
                <c:pt idx="33">
                  <c:v>16.950001</c:v>
                </c:pt>
                <c:pt idx="34">
                  <c:v>16.709999</c:v>
                </c:pt>
                <c:pt idx="35">
                  <c:v>16.149999999999999</c:v>
                </c:pt>
                <c:pt idx="36">
                  <c:v>16.27</c:v>
                </c:pt>
                <c:pt idx="37">
                  <c:v>15.92</c:v>
                </c:pt>
                <c:pt idx="38">
                  <c:v>16.110001</c:v>
                </c:pt>
                <c:pt idx="39">
                  <c:v>16.420000000000002</c:v>
                </c:pt>
                <c:pt idx="40">
                  <c:v>16.32</c:v>
                </c:pt>
                <c:pt idx="41">
                  <c:v>16.82</c:v>
                </c:pt>
                <c:pt idx="42">
                  <c:v>17.040001</c:v>
                </c:pt>
                <c:pt idx="43">
                  <c:v>16.989999999999998</c:v>
                </c:pt>
                <c:pt idx="44">
                  <c:v>16.690000999999999</c:v>
                </c:pt>
                <c:pt idx="45">
                  <c:v>16.989999999999998</c:v>
                </c:pt>
                <c:pt idx="46">
                  <c:v>17.02</c:v>
                </c:pt>
                <c:pt idx="47">
                  <c:v>16.989999999999998</c:v>
                </c:pt>
                <c:pt idx="48">
                  <c:v>17.07</c:v>
                </c:pt>
                <c:pt idx="49">
                  <c:v>17.379999000000002</c:v>
                </c:pt>
                <c:pt idx="50">
                  <c:v>17.170000000000002</c:v>
                </c:pt>
                <c:pt idx="51">
                  <c:v>16.91</c:v>
                </c:pt>
                <c:pt idx="52">
                  <c:v>16.670000000000002</c:v>
                </c:pt>
                <c:pt idx="53">
                  <c:v>16.32</c:v>
                </c:pt>
                <c:pt idx="54">
                  <c:v>16.129999000000002</c:v>
                </c:pt>
                <c:pt idx="55">
                  <c:v>16</c:v>
                </c:pt>
                <c:pt idx="56">
                  <c:v>16.399999999999999</c:v>
                </c:pt>
                <c:pt idx="57">
                  <c:v>16.329999999999998</c:v>
                </c:pt>
                <c:pt idx="58">
                  <c:v>17.290001</c:v>
                </c:pt>
                <c:pt idx="59">
                  <c:v>17.239999999999998</c:v>
                </c:pt>
                <c:pt idx="60">
                  <c:v>17.010000000000002</c:v>
                </c:pt>
                <c:pt idx="61">
                  <c:v>17.700001</c:v>
                </c:pt>
                <c:pt idx="62">
                  <c:v>17.540001</c:v>
                </c:pt>
                <c:pt idx="63">
                  <c:v>17.48</c:v>
                </c:pt>
                <c:pt idx="64">
                  <c:v>16.98</c:v>
                </c:pt>
                <c:pt idx="65">
                  <c:v>17.100000000000001</c:v>
                </c:pt>
                <c:pt idx="66">
                  <c:v>17</c:v>
                </c:pt>
                <c:pt idx="67">
                  <c:v>17.450001</c:v>
                </c:pt>
                <c:pt idx="68">
                  <c:v>17.350000000000001</c:v>
                </c:pt>
                <c:pt idx="69">
                  <c:v>17.25</c:v>
                </c:pt>
                <c:pt idx="70">
                  <c:v>17.219999000000001</c:v>
                </c:pt>
                <c:pt idx="71">
                  <c:v>17.299999</c:v>
                </c:pt>
                <c:pt idx="72">
                  <c:v>17.579999999999998</c:v>
                </c:pt>
                <c:pt idx="73">
                  <c:v>17.850000000000001</c:v>
                </c:pt>
                <c:pt idx="74">
                  <c:v>17.25</c:v>
                </c:pt>
                <c:pt idx="75">
                  <c:v>17.166665999999999</c:v>
                </c:pt>
                <c:pt idx="76">
                  <c:v>17.616667</c:v>
                </c:pt>
                <c:pt idx="77">
                  <c:v>17.766666000000001</c:v>
                </c:pt>
                <c:pt idx="78">
                  <c:v>17.780000999999999</c:v>
                </c:pt>
                <c:pt idx="79">
                  <c:v>16.933332</c:v>
                </c:pt>
                <c:pt idx="80">
                  <c:v>17.166665999999999</c:v>
                </c:pt>
                <c:pt idx="81">
                  <c:v>16.889999</c:v>
                </c:pt>
                <c:pt idx="82">
                  <c:v>17.163333999999999</c:v>
                </c:pt>
                <c:pt idx="83">
                  <c:v>17.166665999999999</c:v>
                </c:pt>
                <c:pt idx="84">
                  <c:v>17.516666000000001</c:v>
                </c:pt>
                <c:pt idx="85">
                  <c:v>17.866667</c:v>
                </c:pt>
                <c:pt idx="86">
                  <c:v>17.649999999999999</c:v>
                </c:pt>
                <c:pt idx="87">
                  <c:v>17.670000000000002</c:v>
                </c:pt>
                <c:pt idx="88">
                  <c:v>17.906666000000001</c:v>
                </c:pt>
                <c:pt idx="89">
                  <c:v>17.783332999999999</c:v>
                </c:pt>
                <c:pt idx="90">
                  <c:v>17.906666000000001</c:v>
                </c:pt>
                <c:pt idx="91">
                  <c:v>18.120000999999998</c:v>
                </c:pt>
                <c:pt idx="92">
                  <c:v>18.466664999999999</c:v>
                </c:pt>
                <c:pt idx="93">
                  <c:v>18.186665999999999</c:v>
                </c:pt>
                <c:pt idx="94">
                  <c:v>18.343332</c:v>
                </c:pt>
                <c:pt idx="95">
                  <c:v>18.433332</c:v>
                </c:pt>
                <c:pt idx="96">
                  <c:v>18.59</c:v>
                </c:pt>
                <c:pt idx="97">
                  <c:v>18.406666000000001</c:v>
                </c:pt>
                <c:pt idx="98">
                  <c:v>18.616667</c:v>
                </c:pt>
                <c:pt idx="99">
                  <c:v>18.316666000000001</c:v>
                </c:pt>
                <c:pt idx="100">
                  <c:v>18.356667000000002</c:v>
                </c:pt>
                <c:pt idx="101">
                  <c:v>18.106667000000002</c:v>
                </c:pt>
                <c:pt idx="102">
                  <c:v>17.870000999999998</c:v>
                </c:pt>
                <c:pt idx="103">
                  <c:v>18.206666999999999</c:v>
                </c:pt>
                <c:pt idx="104">
                  <c:v>17.833331999999999</c:v>
                </c:pt>
                <c:pt idx="105">
                  <c:v>17.866667</c:v>
                </c:pt>
                <c:pt idx="106">
                  <c:v>18.003332</c:v>
                </c:pt>
                <c:pt idx="107">
                  <c:v>17.926666000000001</c:v>
                </c:pt>
                <c:pt idx="108">
                  <c:v>17.93</c:v>
                </c:pt>
                <c:pt idx="109">
                  <c:v>18.056664999999999</c:v>
                </c:pt>
                <c:pt idx="110">
                  <c:v>18.34</c:v>
                </c:pt>
                <c:pt idx="111">
                  <c:v>18.546665000000001</c:v>
                </c:pt>
                <c:pt idx="112">
                  <c:v>17.91</c:v>
                </c:pt>
                <c:pt idx="113">
                  <c:v>17.649999999999999</c:v>
                </c:pt>
                <c:pt idx="114">
                  <c:v>17.483333999999999</c:v>
                </c:pt>
                <c:pt idx="115">
                  <c:v>17.933332</c:v>
                </c:pt>
                <c:pt idx="116">
                  <c:v>18.446667000000001</c:v>
                </c:pt>
                <c:pt idx="117">
                  <c:v>18.899999999999999</c:v>
                </c:pt>
                <c:pt idx="118">
                  <c:v>18.436665999999999</c:v>
                </c:pt>
                <c:pt idx="119">
                  <c:v>17.833331999999999</c:v>
                </c:pt>
                <c:pt idx="120">
                  <c:v>17.563334000000001</c:v>
                </c:pt>
                <c:pt idx="121">
                  <c:v>18.829999999999998</c:v>
                </c:pt>
                <c:pt idx="122">
                  <c:v>18.496666000000001</c:v>
                </c:pt>
                <c:pt idx="123">
                  <c:v>18.863333000000001</c:v>
                </c:pt>
                <c:pt idx="124">
                  <c:v>18.670000000000002</c:v>
                </c:pt>
                <c:pt idx="125">
                  <c:v>18.116667</c:v>
                </c:pt>
                <c:pt idx="126">
                  <c:v>18.100000000000001</c:v>
                </c:pt>
                <c:pt idx="127">
                  <c:v>18.296665000000001</c:v>
                </c:pt>
                <c:pt idx="128">
                  <c:v>18.540001</c:v>
                </c:pt>
                <c:pt idx="129">
                  <c:v>18.446667000000001</c:v>
                </c:pt>
                <c:pt idx="130">
                  <c:v>18.579999999999998</c:v>
                </c:pt>
                <c:pt idx="131">
                  <c:v>19.350000000000001</c:v>
                </c:pt>
                <c:pt idx="132">
                  <c:v>19.34</c:v>
                </c:pt>
                <c:pt idx="133">
                  <c:v>19.953333000000001</c:v>
                </c:pt>
                <c:pt idx="134">
                  <c:v>20.106667000000002</c:v>
                </c:pt>
                <c:pt idx="135">
                  <c:v>20.016666000000001</c:v>
                </c:pt>
                <c:pt idx="136">
                  <c:v>20.74</c:v>
                </c:pt>
                <c:pt idx="137">
                  <c:v>20.836666000000001</c:v>
                </c:pt>
                <c:pt idx="138">
                  <c:v>21.15</c:v>
                </c:pt>
                <c:pt idx="139">
                  <c:v>20.813334000000001</c:v>
                </c:pt>
                <c:pt idx="140">
                  <c:v>20.986666</c:v>
                </c:pt>
                <c:pt idx="141">
                  <c:v>20.896666</c:v>
                </c:pt>
                <c:pt idx="142">
                  <c:v>20.416665999999999</c:v>
                </c:pt>
                <c:pt idx="143">
                  <c:v>19.933332</c:v>
                </c:pt>
                <c:pt idx="144">
                  <c:v>20.43</c:v>
                </c:pt>
                <c:pt idx="145">
                  <c:v>19.670000000000002</c:v>
                </c:pt>
                <c:pt idx="146">
                  <c:v>19.766666000000001</c:v>
                </c:pt>
                <c:pt idx="147">
                  <c:v>19.516666000000001</c:v>
                </c:pt>
                <c:pt idx="148">
                  <c:v>19.366667</c:v>
                </c:pt>
                <c:pt idx="149">
                  <c:v>20</c:v>
                </c:pt>
                <c:pt idx="150">
                  <c:v>20.196667000000001</c:v>
                </c:pt>
                <c:pt idx="151">
                  <c:v>20.266666000000001</c:v>
                </c:pt>
                <c:pt idx="152">
                  <c:v>19.940000999999999</c:v>
                </c:pt>
                <c:pt idx="153">
                  <c:v>20.553332999999999</c:v>
                </c:pt>
                <c:pt idx="154">
                  <c:v>20.700001</c:v>
                </c:pt>
                <c:pt idx="155">
                  <c:v>20.616667</c:v>
                </c:pt>
                <c:pt idx="156">
                  <c:v>20.036667000000001</c:v>
                </c:pt>
                <c:pt idx="157">
                  <c:v>20.896666</c:v>
                </c:pt>
                <c:pt idx="158">
                  <c:v>20.593332</c:v>
                </c:pt>
                <c:pt idx="159">
                  <c:v>20.033332999999999</c:v>
                </c:pt>
                <c:pt idx="160">
                  <c:v>20.366667</c:v>
                </c:pt>
                <c:pt idx="161">
                  <c:v>20.326665999999999</c:v>
                </c:pt>
                <c:pt idx="162">
                  <c:v>20.66</c:v>
                </c:pt>
                <c:pt idx="163">
                  <c:v>20.606667000000002</c:v>
                </c:pt>
                <c:pt idx="164">
                  <c:v>20.5</c:v>
                </c:pt>
                <c:pt idx="165">
                  <c:v>19.996666000000001</c:v>
                </c:pt>
                <c:pt idx="166">
                  <c:v>20.093332</c:v>
                </c:pt>
                <c:pt idx="167">
                  <c:v>19.666665999999999</c:v>
                </c:pt>
                <c:pt idx="168">
                  <c:v>19.933332</c:v>
                </c:pt>
                <c:pt idx="169">
                  <c:v>20.149999999999999</c:v>
                </c:pt>
                <c:pt idx="170">
                  <c:v>20.183332</c:v>
                </c:pt>
                <c:pt idx="171">
                  <c:v>19.626664999999999</c:v>
                </c:pt>
                <c:pt idx="172">
                  <c:v>19.426666000000001</c:v>
                </c:pt>
                <c:pt idx="173">
                  <c:v>19.613333000000001</c:v>
                </c:pt>
                <c:pt idx="174">
                  <c:v>19.403334000000001</c:v>
                </c:pt>
                <c:pt idx="175">
                  <c:v>18.883333</c:v>
                </c:pt>
                <c:pt idx="176">
                  <c:v>19.373332999999999</c:v>
                </c:pt>
                <c:pt idx="177">
                  <c:v>19.486666</c:v>
                </c:pt>
                <c:pt idx="178">
                  <c:v>19.59</c:v>
                </c:pt>
                <c:pt idx="179">
                  <c:v>19.629999000000002</c:v>
                </c:pt>
                <c:pt idx="180">
                  <c:v>19.866667</c:v>
                </c:pt>
                <c:pt idx="181">
                  <c:v>18.926666000000001</c:v>
                </c:pt>
                <c:pt idx="182">
                  <c:v>18.709999</c:v>
                </c:pt>
                <c:pt idx="183">
                  <c:v>18.966664999999999</c:v>
                </c:pt>
                <c:pt idx="184">
                  <c:v>19</c:v>
                </c:pt>
                <c:pt idx="185">
                  <c:v>18.870000999999998</c:v>
                </c:pt>
                <c:pt idx="186">
                  <c:v>18.566666000000001</c:v>
                </c:pt>
                <c:pt idx="187">
                  <c:v>18.030000999999999</c:v>
                </c:pt>
                <c:pt idx="188">
                  <c:v>18.440000999999999</c:v>
                </c:pt>
                <c:pt idx="189">
                  <c:v>18.016666000000001</c:v>
                </c:pt>
                <c:pt idx="190">
                  <c:v>17.850000000000001</c:v>
                </c:pt>
                <c:pt idx="191">
                  <c:v>17.799999</c:v>
                </c:pt>
                <c:pt idx="192">
                  <c:v>17.899999999999999</c:v>
                </c:pt>
                <c:pt idx="193">
                  <c:v>17.926666000000001</c:v>
                </c:pt>
                <c:pt idx="194">
                  <c:v>18.466664999999999</c:v>
                </c:pt>
                <c:pt idx="195">
                  <c:v>18.033332999999999</c:v>
                </c:pt>
                <c:pt idx="196">
                  <c:v>17.950001</c:v>
                </c:pt>
                <c:pt idx="197">
                  <c:v>18.873332999999999</c:v>
                </c:pt>
                <c:pt idx="198">
                  <c:v>18.870000999999998</c:v>
                </c:pt>
                <c:pt idx="199">
                  <c:v>18.033332999999999</c:v>
                </c:pt>
                <c:pt idx="200">
                  <c:v>16.989999999999998</c:v>
                </c:pt>
                <c:pt idx="201">
                  <c:v>17.016666000000001</c:v>
                </c:pt>
                <c:pt idx="202">
                  <c:v>17.66</c:v>
                </c:pt>
                <c:pt idx="203">
                  <c:v>17.110001</c:v>
                </c:pt>
                <c:pt idx="204">
                  <c:v>17.583331999999999</c:v>
                </c:pt>
                <c:pt idx="205">
                  <c:v>18.326665999999999</c:v>
                </c:pt>
                <c:pt idx="206">
                  <c:v>18.266666000000001</c:v>
                </c:pt>
                <c:pt idx="207">
                  <c:v>18.690000999999999</c:v>
                </c:pt>
                <c:pt idx="208">
                  <c:v>19.123332999999999</c:v>
                </c:pt>
                <c:pt idx="209">
                  <c:v>19.299999</c:v>
                </c:pt>
                <c:pt idx="210">
                  <c:v>18.713332999999999</c:v>
                </c:pt>
                <c:pt idx="211">
                  <c:v>18.113333000000001</c:v>
                </c:pt>
                <c:pt idx="212">
                  <c:v>18.536667000000001</c:v>
                </c:pt>
                <c:pt idx="213">
                  <c:v>18.793333000000001</c:v>
                </c:pt>
                <c:pt idx="214">
                  <c:v>18.266666000000001</c:v>
                </c:pt>
                <c:pt idx="215">
                  <c:v>18.236666</c:v>
                </c:pt>
                <c:pt idx="216">
                  <c:v>18.283332999999999</c:v>
                </c:pt>
                <c:pt idx="217">
                  <c:v>17.903334000000001</c:v>
                </c:pt>
                <c:pt idx="218">
                  <c:v>17.920000000000002</c:v>
                </c:pt>
                <c:pt idx="219">
                  <c:v>18.583331999999999</c:v>
                </c:pt>
                <c:pt idx="220">
                  <c:v>17.753332</c:v>
                </c:pt>
                <c:pt idx="221">
                  <c:v>18.176666000000001</c:v>
                </c:pt>
                <c:pt idx="222">
                  <c:v>18.336666000000001</c:v>
                </c:pt>
                <c:pt idx="223">
                  <c:v>17.883333</c:v>
                </c:pt>
                <c:pt idx="224">
                  <c:v>18.336666000000001</c:v>
                </c:pt>
                <c:pt idx="225">
                  <c:v>19.116667</c:v>
                </c:pt>
                <c:pt idx="226">
                  <c:v>19.656666000000001</c:v>
                </c:pt>
                <c:pt idx="227">
                  <c:v>18.629999000000002</c:v>
                </c:pt>
                <c:pt idx="228">
                  <c:v>19.120000999999998</c:v>
                </c:pt>
                <c:pt idx="229">
                  <c:v>18.700001</c:v>
                </c:pt>
                <c:pt idx="230">
                  <c:v>18.709999</c:v>
                </c:pt>
                <c:pt idx="231">
                  <c:v>18.893332999999998</c:v>
                </c:pt>
                <c:pt idx="232">
                  <c:v>19.006665999999999</c:v>
                </c:pt>
                <c:pt idx="233">
                  <c:v>19.093332</c:v>
                </c:pt>
                <c:pt idx="234">
                  <c:v>19.576665999999999</c:v>
                </c:pt>
                <c:pt idx="235">
                  <c:v>18.673331999999998</c:v>
                </c:pt>
                <c:pt idx="236">
                  <c:v>18.666665999999999</c:v>
                </c:pt>
                <c:pt idx="237">
                  <c:v>19.420000000000002</c:v>
                </c:pt>
                <c:pt idx="238">
                  <c:v>19.013331999999998</c:v>
                </c:pt>
                <c:pt idx="239">
                  <c:v>19.443332999999999</c:v>
                </c:pt>
                <c:pt idx="240">
                  <c:v>19.273333000000001</c:v>
                </c:pt>
                <c:pt idx="241">
                  <c:v>19.989999999999998</c:v>
                </c:pt>
                <c:pt idx="242">
                  <c:v>20.016666000000001</c:v>
                </c:pt>
                <c:pt idx="243">
                  <c:v>19.600000000000001</c:v>
                </c:pt>
                <c:pt idx="244">
                  <c:v>20.34</c:v>
                </c:pt>
                <c:pt idx="245">
                  <c:v>20.093332</c:v>
                </c:pt>
                <c:pt idx="246">
                  <c:v>20.166665999999999</c:v>
                </c:pt>
                <c:pt idx="247">
                  <c:v>20.616667</c:v>
                </c:pt>
                <c:pt idx="248">
                  <c:v>20.299999</c:v>
                </c:pt>
                <c:pt idx="249">
                  <c:v>20.323333999999999</c:v>
                </c:pt>
                <c:pt idx="250">
                  <c:v>20.780000999999999</c:v>
                </c:pt>
                <c:pt idx="251">
                  <c:v>19.856667000000002</c:v>
                </c:pt>
                <c:pt idx="252">
                  <c:v>20.6</c:v>
                </c:pt>
                <c:pt idx="253">
                  <c:v>19.366667</c:v>
                </c:pt>
                <c:pt idx="254">
                  <c:v>20.190000999999999</c:v>
                </c:pt>
                <c:pt idx="255">
                  <c:v>20.216664999999999</c:v>
                </c:pt>
                <c:pt idx="256">
                  <c:v>20.5</c:v>
                </c:pt>
                <c:pt idx="257">
                  <c:v>20.280000999999999</c:v>
                </c:pt>
                <c:pt idx="258">
                  <c:v>20.75</c:v>
                </c:pt>
                <c:pt idx="259">
                  <c:v>20.85</c:v>
                </c:pt>
                <c:pt idx="260">
                  <c:v>21.35</c:v>
                </c:pt>
                <c:pt idx="261">
                  <c:v>21.166665999999999</c:v>
                </c:pt>
                <c:pt idx="262">
                  <c:v>21.073333999999999</c:v>
                </c:pt>
                <c:pt idx="263">
                  <c:v>21.296665000000001</c:v>
                </c:pt>
                <c:pt idx="264">
                  <c:v>21.146666</c:v>
                </c:pt>
                <c:pt idx="265">
                  <c:v>21.536667000000001</c:v>
                </c:pt>
                <c:pt idx="266">
                  <c:v>21.543333000000001</c:v>
                </c:pt>
                <c:pt idx="267">
                  <c:v>21.743334000000001</c:v>
                </c:pt>
                <c:pt idx="268">
                  <c:v>22.076665999999999</c:v>
                </c:pt>
                <c:pt idx="269">
                  <c:v>21.783332999999999</c:v>
                </c:pt>
                <c:pt idx="270">
                  <c:v>21.84</c:v>
                </c:pt>
                <c:pt idx="271">
                  <c:v>22.233333999999999</c:v>
                </c:pt>
                <c:pt idx="272">
                  <c:v>22.043333000000001</c:v>
                </c:pt>
                <c:pt idx="273">
                  <c:v>22.466664999999999</c:v>
                </c:pt>
                <c:pt idx="274">
                  <c:v>21.296665000000001</c:v>
                </c:pt>
                <c:pt idx="275">
                  <c:v>20.5</c:v>
                </c:pt>
                <c:pt idx="276">
                  <c:v>20.629999000000002</c:v>
                </c:pt>
                <c:pt idx="277">
                  <c:v>20.379999000000002</c:v>
                </c:pt>
                <c:pt idx="278">
                  <c:v>19.963332999999999</c:v>
                </c:pt>
                <c:pt idx="279">
                  <c:v>19.983333999999999</c:v>
                </c:pt>
                <c:pt idx="280">
                  <c:v>19.629999000000002</c:v>
                </c:pt>
                <c:pt idx="281">
                  <c:v>20.216664999999999</c:v>
                </c:pt>
                <c:pt idx="282">
                  <c:v>19.056664999999999</c:v>
                </c:pt>
                <c:pt idx="283">
                  <c:v>18.84</c:v>
                </c:pt>
                <c:pt idx="284">
                  <c:v>18.833331999999999</c:v>
                </c:pt>
                <c:pt idx="285">
                  <c:v>18.733333999999999</c:v>
                </c:pt>
                <c:pt idx="286">
                  <c:v>18.676666000000001</c:v>
                </c:pt>
                <c:pt idx="287">
                  <c:v>18.363333000000001</c:v>
                </c:pt>
                <c:pt idx="288">
                  <c:v>18.32</c:v>
                </c:pt>
                <c:pt idx="289">
                  <c:v>17.816666000000001</c:v>
                </c:pt>
                <c:pt idx="290">
                  <c:v>18.333331999999999</c:v>
                </c:pt>
                <c:pt idx="291">
                  <c:v>17.549999</c:v>
                </c:pt>
                <c:pt idx="292">
                  <c:v>17.426666000000001</c:v>
                </c:pt>
                <c:pt idx="293">
                  <c:v>16.776667</c:v>
                </c:pt>
                <c:pt idx="294">
                  <c:v>17</c:v>
                </c:pt>
                <c:pt idx="295">
                  <c:v>16.786667000000001</c:v>
                </c:pt>
                <c:pt idx="296">
                  <c:v>17.066666000000001</c:v>
                </c:pt>
                <c:pt idx="297">
                  <c:v>16.5</c:v>
                </c:pt>
                <c:pt idx="298">
                  <c:v>16.503332</c:v>
                </c:pt>
                <c:pt idx="299">
                  <c:v>16.616667</c:v>
                </c:pt>
                <c:pt idx="300">
                  <c:v>16.913333999999999</c:v>
                </c:pt>
                <c:pt idx="301">
                  <c:v>17.023333000000001</c:v>
                </c:pt>
                <c:pt idx="302">
                  <c:v>17.239999999999998</c:v>
                </c:pt>
                <c:pt idx="303">
                  <c:v>16.356667000000002</c:v>
                </c:pt>
                <c:pt idx="304">
                  <c:v>16.526667</c:v>
                </c:pt>
                <c:pt idx="305">
                  <c:v>16.273333000000001</c:v>
                </c:pt>
                <c:pt idx="306">
                  <c:v>15.486666</c:v>
                </c:pt>
                <c:pt idx="307">
                  <c:v>15.176666000000001</c:v>
                </c:pt>
                <c:pt idx="308">
                  <c:v>15.183332999999999</c:v>
                </c:pt>
                <c:pt idx="309">
                  <c:v>15.316666</c:v>
                </c:pt>
                <c:pt idx="310">
                  <c:v>15.53</c:v>
                </c:pt>
                <c:pt idx="311">
                  <c:v>15.5</c:v>
                </c:pt>
                <c:pt idx="312">
                  <c:v>15.5</c:v>
                </c:pt>
                <c:pt idx="313">
                  <c:v>14.626666</c:v>
                </c:pt>
                <c:pt idx="314">
                  <c:v>14.54</c:v>
                </c:pt>
                <c:pt idx="315">
                  <c:v>13.546666</c:v>
                </c:pt>
                <c:pt idx="316">
                  <c:v>13.573333</c:v>
                </c:pt>
                <c:pt idx="317">
                  <c:v>13.996665999999999</c:v>
                </c:pt>
                <c:pt idx="318">
                  <c:v>13.18</c:v>
                </c:pt>
                <c:pt idx="319">
                  <c:v>12.606666000000001</c:v>
                </c:pt>
                <c:pt idx="320">
                  <c:v>12.053333</c:v>
                </c:pt>
                <c:pt idx="321">
                  <c:v>11.91</c:v>
                </c:pt>
                <c:pt idx="322">
                  <c:v>12.266666000000001</c:v>
                </c:pt>
                <c:pt idx="323">
                  <c:v>12.586665999999999</c:v>
                </c:pt>
                <c:pt idx="324">
                  <c:v>12.283333000000001</c:v>
                </c:pt>
                <c:pt idx="325">
                  <c:v>12.813333</c:v>
                </c:pt>
                <c:pt idx="326">
                  <c:v>12.913333</c:v>
                </c:pt>
                <c:pt idx="327">
                  <c:v>12.793333000000001</c:v>
                </c:pt>
                <c:pt idx="328">
                  <c:v>12.806666</c:v>
                </c:pt>
                <c:pt idx="329">
                  <c:v>13.3</c:v>
                </c:pt>
                <c:pt idx="330">
                  <c:v>13.266666000000001</c:v>
                </c:pt>
                <c:pt idx="331">
                  <c:v>13.076665999999999</c:v>
                </c:pt>
                <c:pt idx="332">
                  <c:v>12.333333</c:v>
                </c:pt>
                <c:pt idx="333">
                  <c:v>13.75</c:v>
                </c:pt>
                <c:pt idx="334">
                  <c:v>14.003333</c:v>
                </c:pt>
                <c:pt idx="335">
                  <c:v>13.53</c:v>
                </c:pt>
                <c:pt idx="336">
                  <c:v>13.176666000000001</c:v>
                </c:pt>
                <c:pt idx="337">
                  <c:v>13.103332999999999</c:v>
                </c:pt>
                <c:pt idx="338">
                  <c:v>13.306666</c:v>
                </c:pt>
                <c:pt idx="339">
                  <c:v>13.186666000000001</c:v>
                </c:pt>
                <c:pt idx="340">
                  <c:v>13.113333000000001</c:v>
                </c:pt>
                <c:pt idx="341">
                  <c:v>13.003333</c:v>
                </c:pt>
                <c:pt idx="342">
                  <c:v>13.103332999999999</c:v>
                </c:pt>
                <c:pt idx="343">
                  <c:v>12.833333</c:v>
                </c:pt>
                <c:pt idx="344">
                  <c:v>12.403333</c:v>
                </c:pt>
                <c:pt idx="345">
                  <c:v>11.95</c:v>
                </c:pt>
                <c:pt idx="346">
                  <c:v>12.266666000000001</c:v>
                </c:pt>
                <c:pt idx="347">
                  <c:v>11.55</c:v>
                </c:pt>
                <c:pt idx="348">
                  <c:v>11.966666</c:v>
                </c:pt>
                <c:pt idx="349">
                  <c:v>12.333333</c:v>
                </c:pt>
                <c:pt idx="350">
                  <c:v>12.303333</c:v>
                </c:pt>
                <c:pt idx="351">
                  <c:v>12.88</c:v>
                </c:pt>
                <c:pt idx="352">
                  <c:v>12.93</c:v>
                </c:pt>
                <c:pt idx="353">
                  <c:v>12.103332999999999</c:v>
                </c:pt>
                <c:pt idx="354">
                  <c:v>10.15</c:v>
                </c:pt>
                <c:pt idx="355">
                  <c:v>10.813333</c:v>
                </c:pt>
                <c:pt idx="356">
                  <c:v>10.836665999999999</c:v>
                </c:pt>
                <c:pt idx="357">
                  <c:v>10.933332999999999</c:v>
                </c:pt>
                <c:pt idx="358">
                  <c:v>11.846666000000001</c:v>
                </c:pt>
                <c:pt idx="359">
                  <c:v>11.43</c:v>
                </c:pt>
                <c:pt idx="360">
                  <c:v>13.626666</c:v>
                </c:pt>
                <c:pt idx="361">
                  <c:v>12.296666</c:v>
                </c:pt>
                <c:pt idx="362">
                  <c:v>14.183332999999999</c:v>
                </c:pt>
                <c:pt idx="363">
                  <c:v>15.333333</c:v>
                </c:pt>
                <c:pt idx="364">
                  <c:v>13.633333</c:v>
                </c:pt>
                <c:pt idx="365">
                  <c:v>15.493333</c:v>
                </c:pt>
                <c:pt idx="366">
                  <c:v>15.703333000000001</c:v>
                </c:pt>
                <c:pt idx="367">
                  <c:v>16.596665999999999</c:v>
                </c:pt>
                <c:pt idx="368">
                  <c:v>16.536667000000001</c:v>
                </c:pt>
                <c:pt idx="369">
                  <c:v>16.666665999999999</c:v>
                </c:pt>
                <c:pt idx="370">
                  <c:v>16</c:v>
                </c:pt>
                <c:pt idx="371">
                  <c:v>15.346666000000001</c:v>
                </c:pt>
                <c:pt idx="372">
                  <c:v>17.350000000000001</c:v>
                </c:pt>
                <c:pt idx="373">
                  <c:v>17.436665999999999</c:v>
                </c:pt>
                <c:pt idx="374">
                  <c:v>17.709999</c:v>
                </c:pt>
                <c:pt idx="375">
                  <c:v>17.043333000000001</c:v>
                </c:pt>
                <c:pt idx="376">
                  <c:v>17.23</c:v>
                </c:pt>
                <c:pt idx="377">
                  <c:v>16.733333999999999</c:v>
                </c:pt>
                <c:pt idx="378">
                  <c:v>16.526667</c:v>
                </c:pt>
                <c:pt idx="379">
                  <c:v>16.626664999999999</c:v>
                </c:pt>
                <c:pt idx="380">
                  <c:v>16.299999</c:v>
                </c:pt>
                <c:pt idx="381">
                  <c:v>16.209999</c:v>
                </c:pt>
                <c:pt idx="382">
                  <c:v>16.100000000000001</c:v>
                </c:pt>
                <c:pt idx="383">
                  <c:v>16.23</c:v>
                </c:pt>
                <c:pt idx="384">
                  <c:v>16.450001</c:v>
                </c:pt>
                <c:pt idx="385">
                  <c:v>16.653334000000001</c:v>
                </c:pt>
                <c:pt idx="386">
                  <c:v>16.696667000000001</c:v>
                </c:pt>
                <c:pt idx="387">
                  <c:v>16.066666000000001</c:v>
                </c:pt>
                <c:pt idx="388">
                  <c:v>16.266666000000001</c:v>
                </c:pt>
                <c:pt idx="389">
                  <c:v>16.200001</c:v>
                </c:pt>
                <c:pt idx="390">
                  <c:v>16.360001</c:v>
                </c:pt>
                <c:pt idx="391">
                  <c:v>15.883333</c:v>
                </c:pt>
                <c:pt idx="392">
                  <c:v>16.329999999999998</c:v>
                </c:pt>
                <c:pt idx="393">
                  <c:v>16.233333999999999</c:v>
                </c:pt>
                <c:pt idx="394">
                  <c:v>15.833333</c:v>
                </c:pt>
                <c:pt idx="395">
                  <c:v>14.9</c:v>
                </c:pt>
                <c:pt idx="396">
                  <c:v>15.166665999999999</c:v>
                </c:pt>
                <c:pt idx="397">
                  <c:v>15.113333000000001</c:v>
                </c:pt>
                <c:pt idx="398">
                  <c:v>14.65</c:v>
                </c:pt>
                <c:pt idx="399">
                  <c:v>14.483333</c:v>
                </c:pt>
                <c:pt idx="400">
                  <c:v>14.883333</c:v>
                </c:pt>
                <c:pt idx="401">
                  <c:v>14.783333000000001</c:v>
                </c:pt>
                <c:pt idx="402">
                  <c:v>14.766666000000001</c:v>
                </c:pt>
                <c:pt idx="403">
                  <c:v>14.883333</c:v>
                </c:pt>
                <c:pt idx="404">
                  <c:v>14.89</c:v>
                </c:pt>
                <c:pt idx="405">
                  <c:v>14.93</c:v>
                </c:pt>
                <c:pt idx="406">
                  <c:v>14.463333</c:v>
                </c:pt>
                <c:pt idx="407">
                  <c:v>14.603332999999999</c:v>
                </c:pt>
                <c:pt idx="408">
                  <c:v>15.036666</c:v>
                </c:pt>
                <c:pt idx="409">
                  <c:v>14.323333</c:v>
                </c:pt>
                <c:pt idx="410">
                  <c:v>14.736666</c:v>
                </c:pt>
                <c:pt idx="411">
                  <c:v>15.55</c:v>
                </c:pt>
                <c:pt idx="412">
                  <c:v>15.623333000000001</c:v>
                </c:pt>
                <c:pt idx="413">
                  <c:v>16.366667</c:v>
                </c:pt>
                <c:pt idx="414">
                  <c:v>16.186665999999999</c:v>
                </c:pt>
                <c:pt idx="415">
                  <c:v>16.186665999999999</c:v>
                </c:pt>
                <c:pt idx="416">
                  <c:v>15.93</c:v>
                </c:pt>
                <c:pt idx="417">
                  <c:v>15.406666</c:v>
                </c:pt>
                <c:pt idx="418">
                  <c:v>15.466666</c:v>
                </c:pt>
                <c:pt idx="419">
                  <c:v>15.563333</c:v>
                </c:pt>
                <c:pt idx="420">
                  <c:v>15.4</c:v>
                </c:pt>
                <c:pt idx="421">
                  <c:v>15.596666000000001</c:v>
                </c:pt>
                <c:pt idx="422">
                  <c:v>15.883333</c:v>
                </c:pt>
                <c:pt idx="423">
                  <c:v>16.366667</c:v>
                </c:pt>
                <c:pt idx="424">
                  <c:v>16.416665999999999</c:v>
                </c:pt>
                <c:pt idx="425">
                  <c:v>16.459999</c:v>
                </c:pt>
                <c:pt idx="426">
                  <c:v>16.036667000000001</c:v>
                </c:pt>
                <c:pt idx="427">
                  <c:v>15.866666</c:v>
                </c:pt>
                <c:pt idx="428">
                  <c:v>15.906666</c:v>
                </c:pt>
                <c:pt idx="429">
                  <c:v>16.049999</c:v>
                </c:pt>
                <c:pt idx="430">
                  <c:v>15.816666</c:v>
                </c:pt>
                <c:pt idx="431">
                  <c:v>15.5</c:v>
                </c:pt>
                <c:pt idx="432">
                  <c:v>15.923333</c:v>
                </c:pt>
                <c:pt idx="433">
                  <c:v>16.496666000000001</c:v>
                </c:pt>
                <c:pt idx="434">
                  <c:v>16.293333000000001</c:v>
                </c:pt>
                <c:pt idx="435">
                  <c:v>15.98</c:v>
                </c:pt>
                <c:pt idx="436">
                  <c:v>16.346665999999999</c:v>
                </c:pt>
                <c:pt idx="437">
                  <c:v>16.600000000000001</c:v>
                </c:pt>
                <c:pt idx="438">
                  <c:v>16.510000000000002</c:v>
                </c:pt>
                <c:pt idx="439">
                  <c:v>16.399999999999999</c:v>
                </c:pt>
                <c:pt idx="440">
                  <c:v>16.700001</c:v>
                </c:pt>
                <c:pt idx="441">
                  <c:v>16.233333999999999</c:v>
                </c:pt>
                <c:pt idx="442">
                  <c:v>16.466664999999999</c:v>
                </c:pt>
                <c:pt idx="443">
                  <c:v>16.299999</c:v>
                </c:pt>
                <c:pt idx="444">
                  <c:v>16.433332</c:v>
                </c:pt>
                <c:pt idx="445">
                  <c:v>16.423331999999998</c:v>
                </c:pt>
                <c:pt idx="446">
                  <c:v>16.399999999999999</c:v>
                </c:pt>
                <c:pt idx="447">
                  <c:v>16.126664999999999</c:v>
                </c:pt>
                <c:pt idx="448">
                  <c:v>16.166665999999999</c:v>
                </c:pt>
                <c:pt idx="449">
                  <c:v>15.966666</c:v>
                </c:pt>
                <c:pt idx="450">
                  <c:v>16.25</c:v>
                </c:pt>
                <c:pt idx="451">
                  <c:v>16.136665000000001</c:v>
                </c:pt>
                <c:pt idx="452">
                  <c:v>16.206666999999999</c:v>
                </c:pt>
                <c:pt idx="453">
                  <c:v>16.079999999999998</c:v>
                </c:pt>
                <c:pt idx="454">
                  <c:v>15.843332999999999</c:v>
                </c:pt>
                <c:pt idx="455">
                  <c:v>15.63</c:v>
                </c:pt>
                <c:pt idx="456">
                  <c:v>15.48</c:v>
                </c:pt>
                <c:pt idx="457">
                  <c:v>15.383333</c:v>
                </c:pt>
                <c:pt idx="458">
                  <c:v>15.066666</c:v>
                </c:pt>
                <c:pt idx="459">
                  <c:v>14.836665999999999</c:v>
                </c:pt>
                <c:pt idx="460">
                  <c:v>15.053333</c:v>
                </c:pt>
                <c:pt idx="461">
                  <c:v>15.016666000000001</c:v>
                </c:pt>
                <c:pt idx="462">
                  <c:v>14.686666000000001</c:v>
                </c:pt>
                <c:pt idx="463">
                  <c:v>14.633333</c:v>
                </c:pt>
                <c:pt idx="464">
                  <c:v>14.433332999999999</c:v>
                </c:pt>
                <c:pt idx="465">
                  <c:v>14.333333</c:v>
                </c:pt>
                <c:pt idx="466">
                  <c:v>14.85</c:v>
                </c:pt>
                <c:pt idx="467">
                  <c:v>14.533333000000001</c:v>
                </c:pt>
                <c:pt idx="468">
                  <c:v>14.366666</c:v>
                </c:pt>
                <c:pt idx="469">
                  <c:v>14.59</c:v>
                </c:pt>
                <c:pt idx="470">
                  <c:v>14.543333000000001</c:v>
                </c:pt>
                <c:pt idx="471">
                  <c:v>14.793333000000001</c:v>
                </c:pt>
                <c:pt idx="472">
                  <c:v>14.923333</c:v>
                </c:pt>
                <c:pt idx="473">
                  <c:v>14.67</c:v>
                </c:pt>
                <c:pt idx="474">
                  <c:v>14.766666000000001</c:v>
                </c:pt>
                <c:pt idx="475">
                  <c:v>14.953333000000001</c:v>
                </c:pt>
                <c:pt idx="476">
                  <c:v>15.106666000000001</c:v>
                </c:pt>
                <c:pt idx="477">
                  <c:v>14.86</c:v>
                </c:pt>
                <c:pt idx="478">
                  <c:v>14.973333</c:v>
                </c:pt>
                <c:pt idx="479">
                  <c:v>14.706666</c:v>
                </c:pt>
                <c:pt idx="480">
                  <c:v>14.356666000000001</c:v>
                </c:pt>
                <c:pt idx="481">
                  <c:v>14.333333</c:v>
                </c:pt>
                <c:pt idx="482">
                  <c:v>14.826665999999999</c:v>
                </c:pt>
                <c:pt idx="483">
                  <c:v>14.843332999999999</c:v>
                </c:pt>
                <c:pt idx="484">
                  <c:v>14.633333</c:v>
                </c:pt>
                <c:pt idx="485">
                  <c:v>14.606666000000001</c:v>
                </c:pt>
                <c:pt idx="486">
                  <c:v>15.3</c:v>
                </c:pt>
                <c:pt idx="487">
                  <c:v>15.1</c:v>
                </c:pt>
                <c:pt idx="488">
                  <c:v>14.876666</c:v>
                </c:pt>
                <c:pt idx="489">
                  <c:v>14.583333</c:v>
                </c:pt>
                <c:pt idx="490">
                  <c:v>14.646666</c:v>
                </c:pt>
                <c:pt idx="491">
                  <c:v>14.933332999999999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5-AE49-B97D-1C9180F02193}"/>
            </c:ext>
          </c:extLst>
        </c:ser>
        <c:ser>
          <c:idx val="2"/>
          <c:order val="2"/>
          <c:tx>
            <c:strRef>
              <c:f>'Retornos da Carteira de Ações'!$D$5</c:f>
              <c:strCache>
                <c:ptCount val="1"/>
                <c:pt idx="0">
                  <c:v>Klabin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Ações'!$D$6:$D$497</c:f>
              <c:numCache>
                <c:formatCode>#,##0.00</c:formatCode>
                <c:ptCount val="492"/>
                <c:pt idx="0">
                  <c:v>26.719999000000001</c:v>
                </c:pt>
                <c:pt idx="1">
                  <c:v>26.370000999999998</c:v>
                </c:pt>
                <c:pt idx="2">
                  <c:v>26.67</c:v>
                </c:pt>
                <c:pt idx="3">
                  <c:v>25.67</c:v>
                </c:pt>
                <c:pt idx="4">
                  <c:v>25.17</c:v>
                </c:pt>
                <c:pt idx="5">
                  <c:v>24.610001</c:v>
                </c:pt>
                <c:pt idx="6">
                  <c:v>23.9</c:v>
                </c:pt>
                <c:pt idx="7">
                  <c:v>24.219999000000001</c:v>
                </c:pt>
                <c:pt idx="8">
                  <c:v>25.190000999999999</c:v>
                </c:pt>
                <c:pt idx="9">
                  <c:v>25.33</c:v>
                </c:pt>
                <c:pt idx="10">
                  <c:v>25.209999</c:v>
                </c:pt>
                <c:pt idx="11">
                  <c:v>24.639999</c:v>
                </c:pt>
                <c:pt idx="12">
                  <c:v>24.93</c:v>
                </c:pt>
                <c:pt idx="13">
                  <c:v>25.08</c:v>
                </c:pt>
                <c:pt idx="14">
                  <c:v>25.110001</c:v>
                </c:pt>
                <c:pt idx="15">
                  <c:v>24.440000999999999</c:v>
                </c:pt>
                <c:pt idx="16">
                  <c:v>24.700001</c:v>
                </c:pt>
                <c:pt idx="17">
                  <c:v>25</c:v>
                </c:pt>
                <c:pt idx="18">
                  <c:v>24.49</c:v>
                </c:pt>
                <c:pt idx="19">
                  <c:v>24.4</c:v>
                </c:pt>
                <c:pt idx="20">
                  <c:v>24.610001</c:v>
                </c:pt>
                <c:pt idx="21">
                  <c:v>25.190000999999999</c:v>
                </c:pt>
                <c:pt idx="22">
                  <c:v>25.33</c:v>
                </c:pt>
                <c:pt idx="23">
                  <c:v>25.42</c:v>
                </c:pt>
                <c:pt idx="24">
                  <c:v>25.93</c:v>
                </c:pt>
                <c:pt idx="25">
                  <c:v>25.65</c:v>
                </c:pt>
                <c:pt idx="26">
                  <c:v>25.77</c:v>
                </c:pt>
                <c:pt idx="27">
                  <c:v>25.59</c:v>
                </c:pt>
                <c:pt idx="28">
                  <c:v>26</c:v>
                </c:pt>
                <c:pt idx="29">
                  <c:v>25.68</c:v>
                </c:pt>
                <c:pt idx="30">
                  <c:v>26</c:v>
                </c:pt>
                <c:pt idx="31">
                  <c:v>26.290001</c:v>
                </c:pt>
                <c:pt idx="32">
                  <c:v>26.700001</c:v>
                </c:pt>
                <c:pt idx="33">
                  <c:v>27.09</c:v>
                </c:pt>
                <c:pt idx="34">
                  <c:v>27.15</c:v>
                </c:pt>
                <c:pt idx="35">
                  <c:v>27</c:v>
                </c:pt>
                <c:pt idx="36">
                  <c:v>27.23</c:v>
                </c:pt>
                <c:pt idx="37">
                  <c:v>26.690000999999999</c:v>
                </c:pt>
                <c:pt idx="38">
                  <c:v>26.93</c:v>
                </c:pt>
                <c:pt idx="39">
                  <c:v>26.709999</c:v>
                </c:pt>
                <c:pt idx="40">
                  <c:v>26.49</c:v>
                </c:pt>
                <c:pt idx="41">
                  <c:v>26.34</c:v>
                </c:pt>
                <c:pt idx="42">
                  <c:v>26.389999</c:v>
                </c:pt>
                <c:pt idx="43">
                  <c:v>26.360001</c:v>
                </c:pt>
                <c:pt idx="44">
                  <c:v>25.860001</c:v>
                </c:pt>
                <c:pt idx="45">
                  <c:v>26.370000999999998</c:v>
                </c:pt>
                <c:pt idx="46">
                  <c:v>25.85</c:v>
                </c:pt>
                <c:pt idx="47">
                  <c:v>26.299999</c:v>
                </c:pt>
                <c:pt idx="48">
                  <c:v>26.15</c:v>
                </c:pt>
                <c:pt idx="49">
                  <c:v>25.67</c:v>
                </c:pt>
                <c:pt idx="50">
                  <c:v>25.25</c:v>
                </c:pt>
                <c:pt idx="51">
                  <c:v>25.389999</c:v>
                </c:pt>
                <c:pt idx="52">
                  <c:v>25.6</c:v>
                </c:pt>
                <c:pt idx="53">
                  <c:v>25.65</c:v>
                </c:pt>
                <c:pt idx="54">
                  <c:v>26</c:v>
                </c:pt>
                <c:pt idx="55">
                  <c:v>25.799999</c:v>
                </c:pt>
                <c:pt idx="56">
                  <c:v>25.68</c:v>
                </c:pt>
                <c:pt idx="57">
                  <c:v>25.26</c:v>
                </c:pt>
                <c:pt idx="58">
                  <c:v>25.99</c:v>
                </c:pt>
                <c:pt idx="59">
                  <c:v>25.32</c:v>
                </c:pt>
                <c:pt idx="60">
                  <c:v>25.33</c:v>
                </c:pt>
                <c:pt idx="61">
                  <c:v>25.790001</c:v>
                </c:pt>
                <c:pt idx="62">
                  <c:v>26.35</c:v>
                </c:pt>
                <c:pt idx="63">
                  <c:v>26.190000999999999</c:v>
                </c:pt>
                <c:pt idx="64">
                  <c:v>26.780000999999999</c:v>
                </c:pt>
                <c:pt idx="65">
                  <c:v>25.959999</c:v>
                </c:pt>
                <c:pt idx="66">
                  <c:v>25.98</c:v>
                </c:pt>
                <c:pt idx="67">
                  <c:v>26.07</c:v>
                </c:pt>
                <c:pt idx="68">
                  <c:v>26</c:v>
                </c:pt>
                <c:pt idx="69">
                  <c:v>26.16</c:v>
                </c:pt>
                <c:pt idx="70">
                  <c:v>26.799999</c:v>
                </c:pt>
                <c:pt idx="71">
                  <c:v>26.75</c:v>
                </c:pt>
                <c:pt idx="72">
                  <c:v>26.959999</c:v>
                </c:pt>
                <c:pt idx="73">
                  <c:v>26.9</c:v>
                </c:pt>
                <c:pt idx="74">
                  <c:v>27.299999</c:v>
                </c:pt>
                <c:pt idx="75">
                  <c:v>27.690000999999999</c:v>
                </c:pt>
                <c:pt idx="76">
                  <c:v>28.299999</c:v>
                </c:pt>
                <c:pt idx="77">
                  <c:v>28.02</c:v>
                </c:pt>
                <c:pt idx="78">
                  <c:v>27.9</c:v>
                </c:pt>
                <c:pt idx="79">
                  <c:v>27.85</c:v>
                </c:pt>
                <c:pt idx="80">
                  <c:v>27.889999</c:v>
                </c:pt>
                <c:pt idx="81">
                  <c:v>27.379999000000002</c:v>
                </c:pt>
                <c:pt idx="82">
                  <c:v>27.530000999999999</c:v>
                </c:pt>
                <c:pt idx="83">
                  <c:v>27.879999000000002</c:v>
                </c:pt>
                <c:pt idx="84">
                  <c:v>28.200001</c:v>
                </c:pt>
                <c:pt idx="85">
                  <c:v>28.200001</c:v>
                </c:pt>
                <c:pt idx="86">
                  <c:v>29.280000999999999</c:v>
                </c:pt>
                <c:pt idx="87">
                  <c:v>28.969999000000001</c:v>
                </c:pt>
                <c:pt idx="88">
                  <c:v>29.129999000000002</c:v>
                </c:pt>
                <c:pt idx="89">
                  <c:v>29.299999</c:v>
                </c:pt>
                <c:pt idx="90">
                  <c:v>30.09</c:v>
                </c:pt>
                <c:pt idx="91">
                  <c:v>29.84</c:v>
                </c:pt>
                <c:pt idx="92">
                  <c:v>29.530000999999999</c:v>
                </c:pt>
                <c:pt idx="93">
                  <c:v>30.049999</c:v>
                </c:pt>
                <c:pt idx="94">
                  <c:v>29.700001</c:v>
                </c:pt>
                <c:pt idx="95">
                  <c:v>29.959999</c:v>
                </c:pt>
                <c:pt idx="96">
                  <c:v>29.950001</c:v>
                </c:pt>
                <c:pt idx="97">
                  <c:v>29.440000999999999</c:v>
                </c:pt>
                <c:pt idx="98">
                  <c:v>29.18</c:v>
                </c:pt>
                <c:pt idx="99">
                  <c:v>28.83</c:v>
                </c:pt>
                <c:pt idx="100">
                  <c:v>28.6</c:v>
                </c:pt>
                <c:pt idx="101">
                  <c:v>28.08</c:v>
                </c:pt>
                <c:pt idx="102">
                  <c:v>28.049999</c:v>
                </c:pt>
                <c:pt idx="103">
                  <c:v>27.629999000000002</c:v>
                </c:pt>
                <c:pt idx="104">
                  <c:v>28.32</c:v>
                </c:pt>
                <c:pt idx="105">
                  <c:v>28.629999000000002</c:v>
                </c:pt>
                <c:pt idx="106">
                  <c:v>28.51</c:v>
                </c:pt>
                <c:pt idx="107">
                  <c:v>28.549999</c:v>
                </c:pt>
                <c:pt idx="108">
                  <c:v>28.700001</c:v>
                </c:pt>
                <c:pt idx="109">
                  <c:v>28.52</c:v>
                </c:pt>
                <c:pt idx="110">
                  <c:v>28.459999</c:v>
                </c:pt>
                <c:pt idx="111">
                  <c:v>28.280000999999999</c:v>
                </c:pt>
                <c:pt idx="112">
                  <c:v>28.59</c:v>
                </c:pt>
                <c:pt idx="113">
                  <c:v>29.559999000000001</c:v>
                </c:pt>
                <c:pt idx="114">
                  <c:v>29.610001</c:v>
                </c:pt>
                <c:pt idx="115">
                  <c:v>28.370000999999998</c:v>
                </c:pt>
                <c:pt idx="116">
                  <c:v>29.4</c:v>
                </c:pt>
                <c:pt idx="117">
                  <c:v>28.969999000000001</c:v>
                </c:pt>
                <c:pt idx="118">
                  <c:v>29.389999</c:v>
                </c:pt>
                <c:pt idx="119">
                  <c:v>30.459999</c:v>
                </c:pt>
                <c:pt idx="120">
                  <c:v>29.51</c:v>
                </c:pt>
                <c:pt idx="121">
                  <c:v>30.860001</c:v>
                </c:pt>
                <c:pt idx="122">
                  <c:v>29.889999</c:v>
                </c:pt>
                <c:pt idx="123">
                  <c:v>30.120000999999998</c:v>
                </c:pt>
                <c:pt idx="124">
                  <c:v>30.49</c:v>
                </c:pt>
                <c:pt idx="125">
                  <c:v>30.9</c:v>
                </c:pt>
                <c:pt idx="126">
                  <c:v>29.870000999999998</c:v>
                </c:pt>
                <c:pt idx="127">
                  <c:v>29.98</c:v>
                </c:pt>
                <c:pt idx="128">
                  <c:v>31.24</c:v>
                </c:pt>
                <c:pt idx="129">
                  <c:v>30.83</c:v>
                </c:pt>
                <c:pt idx="130">
                  <c:v>30.9</c:v>
                </c:pt>
                <c:pt idx="131">
                  <c:v>29.23</c:v>
                </c:pt>
                <c:pt idx="132">
                  <c:v>29.02</c:v>
                </c:pt>
                <c:pt idx="133">
                  <c:v>28.02</c:v>
                </c:pt>
                <c:pt idx="134">
                  <c:v>28.030000999999999</c:v>
                </c:pt>
                <c:pt idx="135">
                  <c:v>27.92</c:v>
                </c:pt>
                <c:pt idx="136">
                  <c:v>27.940000999999999</c:v>
                </c:pt>
                <c:pt idx="137">
                  <c:v>27.940000999999999</c:v>
                </c:pt>
                <c:pt idx="138">
                  <c:v>28.450001</c:v>
                </c:pt>
                <c:pt idx="139">
                  <c:v>28.139999</c:v>
                </c:pt>
                <c:pt idx="140">
                  <c:v>28.43</c:v>
                </c:pt>
                <c:pt idx="141">
                  <c:v>28.040001</c:v>
                </c:pt>
                <c:pt idx="142">
                  <c:v>28.280000999999999</c:v>
                </c:pt>
                <c:pt idx="143">
                  <c:v>27.9</c:v>
                </c:pt>
                <c:pt idx="144">
                  <c:v>28.290001</c:v>
                </c:pt>
                <c:pt idx="145">
                  <c:v>28.700001</c:v>
                </c:pt>
                <c:pt idx="146">
                  <c:v>29.290001</c:v>
                </c:pt>
                <c:pt idx="147">
                  <c:v>28.51</c:v>
                </c:pt>
                <c:pt idx="148">
                  <c:v>29.09</c:v>
                </c:pt>
                <c:pt idx="149">
                  <c:v>29.209999</c:v>
                </c:pt>
                <c:pt idx="150">
                  <c:v>29.190000999999999</c:v>
                </c:pt>
                <c:pt idx="151">
                  <c:v>29.290001</c:v>
                </c:pt>
                <c:pt idx="152">
                  <c:v>28.889999</c:v>
                </c:pt>
                <c:pt idx="153">
                  <c:v>28.42</c:v>
                </c:pt>
                <c:pt idx="154">
                  <c:v>28.879999000000002</c:v>
                </c:pt>
                <c:pt idx="155">
                  <c:v>29.690000999999999</c:v>
                </c:pt>
                <c:pt idx="156">
                  <c:v>29.5</c:v>
                </c:pt>
                <c:pt idx="157">
                  <c:v>28.889999</c:v>
                </c:pt>
                <c:pt idx="158">
                  <c:v>27.76</c:v>
                </c:pt>
                <c:pt idx="159">
                  <c:v>26.360001</c:v>
                </c:pt>
                <c:pt idx="160">
                  <c:v>25.870000999999998</c:v>
                </c:pt>
                <c:pt idx="161">
                  <c:v>26.049999</c:v>
                </c:pt>
                <c:pt idx="162">
                  <c:v>26.549999</c:v>
                </c:pt>
                <c:pt idx="163">
                  <c:v>25.57</c:v>
                </c:pt>
                <c:pt idx="164">
                  <c:v>25.440000999999999</c:v>
                </c:pt>
                <c:pt idx="165">
                  <c:v>25.139999</c:v>
                </c:pt>
                <c:pt idx="166">
                  <c:v>25.68</c:v>
                </c:pt>
                <c:pt idx="167">
                  <c:v>24.92</c:v>
                </c:pt>
                <c:pt idx="168">
                  <c:v>25.639999</c:v>
                </c:pt>
                <c:pt idx="169">
                  <c:v>25.01</c:v>
                </c:pt>
                <c:pt idx="170">
                  <c:v>24.75</c:v>
                </c:pt>
                <c:pt idx="171">
                  <c:v>24.4</c:v>
                </c:pt>
                <c:pt idx="172">
                  <c:v>23.950001</c:v>
                </c:pt>
                <c:pt idx="173">
                  <c:v>23.82</c:v>
                </c:pt>
                <c:pt idx="174">
                  <c:v>23.809999000000001</c:v>
                </c:pt>
                <c:pt idx="175">
                  <c:v>23.719999000000001</c:v>
                </c:pt>
                <c:pt idx="176">
                  <c:v>23.870000999999998</c:v>
                </c:pt>
                <c:pt idx="177">
                  <c:v>24.309999000000001</c:v>
                </c:pt>
                <c:pt idx="178">
                  <c:v>24.18</c:v>
                </c:pt>
                <c:pt idx="179">
                  <c:v>24.23</c:v>
                </c:pt>
                <c:pt idx="180">
                  <c:v>24.91</c:v>
                </c:pt>
                <c:pt idx="181">
                  <c:v>25.559999000000001</c:v>
                </c:pt>
                <c:pt idx="182">
                  <c:v>25.01</c:v>
                </c:pt>
                <c:pt idx="183">
                  <c:v>25.01</c:v>
                </c:pt>
                <c:pt idx="184">
                  <c:v>24.09</c:v>
                </c:pt>
                <c:pt idx="185">
                  <c:v>23.34</c:v>
                </c:pt>
                <c:pt idx="186">
                  <c:v>23.530000999999999</c:v>
                </c:pt>
                <c:pt idx="187">
                  <c:v>23.43</c:v>
                </c:pt>
                <c:pt idx="188">
                  <c:v>23.360001</c:v>
                </c:pt>
                <c:pt idx="189">
                  <c:v>23.799999</c:v>
                </c:pt>
                <c:pt idx="190">
                  <c:v>23.799999</c:v>
                </c:pt>
                <c:pt idx="191">
                  <c:v>24.23</c:v>
                </c:pt>
                <c:pt idx="192">
                  <c:v>24.48</c:v>
                </c:pt>
                <c:pt idx="193">
                  <c:v>23.48</c:v>
                </c:pt>
                <c:pt idx="194">
                  <c:v>23.09</c:v>
                </c:pt>
                <c:pt idx="195">
                  <c:v>23.190000999999999</c:v>
                </c:pt>
                <c:pt idx="196">
                  <c:v>23.889999</c:v>
                </c:pt>
                <c:pt idx="197">
                  <c:v>23.780000999999999</c:v>
                </c:pt>
                <c:pt idx="198">
                  <c:v>24.059999000000001</c:v>
                </c:pt>
                <c:pt idx="199">
                  <c:v>23.889999</c:v>
                </c:pt>
                <c:pt idx="200">
                  <c:v>24.219999000000001</c:v>
                </c:pt>
                <c:pt idx="201">
                  <c:v>23.790001</c:v>
                </c:pt>
                <c:pt idx="202">
                  <c:v>23.84</c:v>
                </c:pt>
                <c:pt idx="203">
                  <c:v>23.950001</c:v>
                </c:pt>
                <c:pt idx="204">
                  <c:v>24.780000999999999</c:v>
                </c:pt>
                <c:pt idx="205">
                  <c:v>25.200001</c:v>
                </c:pt>
                <c:pt idx="206">
                  <c:v>25.5</c:v>
                </c:pt>
                <c:pt idx="207">
                  <c:v>25.35</c:v>
                </c:pt>
                <c:pt idx="208">
                  <c:v>25.200001</c:v>
                </c:pt>
                <c:pt idx="209">
                  <c:v>25.5</c:v>
                </c:pt>
                <c:pt idx="210">
                  <c:v>25.18</c:v>
                </c:pt>
                <c:pt idx="211">
                  <c:v>25.809999000000001</c:v>
                </c:pt>
                <c:pt idx="212">
                  <c:v>24.82</c:v>
                </c:pt>
                <c:pt idx="213">
                  <c:v>24.450001</c:v>
                </c:pt>
                <c:pt idx="214">
                  <c:v>24.66</c:v>
                </c:pt>
                <c:pt idx="215">
                  <c:v>24.18</c:v>
                </c:pt>
                <c:pt idx="216">
                  <c:v>24.889999</c:v>
                </c:pt>
                <c:pt idx="217">
                  <c:v>24.440000999999999</c:v>
                </c:pt>
                <c:pt idx="218">
                  <c:v>24.059999000000001</c:v>
                </c:pt>
                <c:pt idx="219">
                  <c:v>24.27</c:v>
                </c:pt>
                <c:pt idx="220">
                  <c:v>23.879999000000002</c:v>
                </c:pt>
                <c:pt idx="221">
                  <c:v>24.32</c:v>
                </c:pt>
                <c:pt idx="222">
                  <c:v>23.799999</c:v>
                </c:pt>
                <c:pt idx="223">
                  <c:v>24</c:v>
                </c:pt>
                <c:pt idx="224">
                  <c:v>23.809999000000001</c:v>
                </c:pt>
                <c:pt idx="225">
                  <c:v>24.549999</c:v>
                </c:pt>
                <c:pt idx="226">
                  <c:v>24.43</c:v>
                </c:pt>
                <c:pt idx="227">
                  <c:v>24.26</c:v>
                </c:pt>
                <c:pt idx="228">
                  <c:v>24.33</c:v>
                </c:pt>
                <c:pt idx="229">
                  <c:v>24.780000999999999</c:v>
                </c:pt>
                <c:pt idx="230">
                  <c:v>25.309999000000001</c:v>
                </c:pt>
                <c:pt idx="231">
                  <c:v>25.41</c:v>
                </c:pt>
                <c:pt idx="232">
                  <c:v>25.07</c:v>
                </c:pt>
                <c:pt idx="233">
                  <c:v>25.5</c:v>
                </c:pt>
                <c:pt idx="234">
                  <c:v>24.719999000000001</c:v>
                </c:pt>
                <c:pt idx="235">
                  <c:v>24.200001</c:v>
                </c:pt>
                <c:pt idx="236">
                  <c:v>24.530000999999999</c:v>
                </c:pt>
                <c:pt idx="237">
                  <c:v>24.84</c:v>
                </c:pt>
                <c:pt idx="238">
                  <c:v>24.43</c:v>
                </c:pt>
                <c:pt idx="239">
                  <c:v>25.01</c:v>
                </c:pt>
                <c:pt idx="240">
                  <c:v>25.1</c:v>
                </c:pt>
                <c:pt idx="241">
                  <c:v>25.389999</c:v>
                </c:pt>
                <c:pt idx="242">
                  <c:v>26.09</c:v>
                </c:pt>
                <c:pt idx="243">
                  <c:v>25.75</c:v>
                </c:pt>
                <c:pt idx="244">
                  <c:v>26.17</c:v>
                </c:pt>
                <c:pt idx="245">
                  <c:v>26.08</c:v>
                </c:pt>
                <c:pt idx="246">
                  <c:v>26.18</c:v>
                </c:pt>
                <c:pt idx="247">
                  <c:v>26.129999000000002</c:v>
                </c:pt>
                <c:pt idx="248">
                  <c:v>26.58</c:v>
                </c:pt>
                <c:pt idx="249">
                  <c:v>26.110001</c:v>
                </c:pt>
                <c:pt idx="250">
                  <c:v>26.18</c:v>
                </c:pt>
                <c:pt idx="251">
                  <c:v>25.77</c:v>
                </c:pt>
                <c:pt idx="252">
                  <c:v>25.870000999999998</c:v>
                </c:pt>
                <c:pt idx="253">
                  <c:v>25.77</c:v>
                </c:pt>
                <c:pt idx="254">
                  <c:v>25.15</c:v>
                </c:pt>
                <c:pt idx="255">
                  <c:v>25.25</c:v>
                </c:pt>
                <c:pt idx="256">
                  <c:v>24.52</c:v>
                </c:pt>
                <c:pt idx="257">
                  <c:v>23.959999</c:v>
                </c:pt>
                <c:pt idx="258">
                  <c:v>23.299999</c:v>
                </c:pt>
                <c:pt idx="259">
                  <c:v>23.07</c:v>
                </c:pt>
                <c:pt idx="260">
                  <c:v>23.32</c:v>
                </c:pt>
                <c:pt idx="261">
                  <c:v>22.75</c:v>
                </c:pt>
                <c:pt idx="262">
                  <c:v>20.85</c:v>
                </c:pt>
                <c:pt idx="263">
                  <c:v>20.870000999999998</c:v>
                </c:pt>
                <c:pt idx="264">
                  <c:v>20.77</c:v>
                </c:pt>
                <c:pt idx="265">
                  <c:v>21.290001</c:v>
                </c:pt>
                <c:pt idx="266">
                  <c:v>21.049999</c:v>
                </c:pt>
                <c:pt idx="267">
                  <c:v>21.190000999999999</c:v>
                </c:pt>
                <c:pt idx="268">
                  <c:v>21.440000999999999</c:v>
                </c:pt>
                <c:pt idx="269">
                  <c:v>21.549999</c:v>
                </c:pt>
                <c:pt idx="270">
                  <c:v>21.360001</c:v>
                </c:pt>
                <c:pt idx="271">
                  <c:v>21.129999000000002</c:v>
                </c:pt>
                <c:pt idx="272">
                  <c:v>20.99</c:v>
                </c:pt>
                <c:pt idx="273">
                  <c:v>21.27</c:v>
                </c:pt>
                <c:pt idx="274">
                  <c:v>20.940000999999999</c:v>
                </c:pt>
                <c:pt idx="275">
                  <c:v>20.68</c:v>
                </c:pt>
                <c:pt idx="276">
                  <c:v>20.959999</c:v>
                </c:pt>
                <c:pt idx="277">
                  <c:v>20.399999999999999</c:v>
                </c:pt>
                <c:pt idx="278">
                  <c:v>20.02</c:v>
                </c:pt>
                <c:pt idx="279">
                  <c:v>20.450001</c:v>
                </c:pt>
                <c:pt idx="280">
                  <c:v>20.639999</c:v>
                </c:pt>
                <c:pt idx="281">
                  <c:v>21</c:v>
                </c:pt>
                <c:pt idx="282">
                  <c:v>20.59</c:v>
                </c:pt>
                <c:pt idx="283">
                  <c:v>20.639999</c:v>
                </c:pt>
                <c:pt idx="284">
                  <c:v>20.870000999999998</c:v>
                </c:pt>
                <c:pt idx="285">
                  <c:v>20.719999000000001</c:v>
                </c:pt>
                <c:pt idx="286">
                  <c:v>20.799999</c:v>
                </c:pt>
                <c:pt idx="287">
                  <c:v>20.68</c:v>
                </c:pt>
                <c:pt idx="288">
                  <c:v>20.239999999999998</c:v>
                </c:pt>
                <c:pt idx="289">
                  <c:v>20.51</c:v>
                </c:pt>
                <c:pt idx="290">
                  <c:v>20.459999</c:v>
                </c:pt>
                <c:pt idx="291">
                  <c:v>20.5</c:v>
                </c:pt>
                <c:pt idx="292">
                  <c:v>19.969999000000001</c:v>
                </c:pt>
                <c:pt idx="293">
                  <c:v>20.360001</c:v>
                </c:pt>
                <c:pt idx="294">
                  <c:v>20.51</c:v>
                </c:pt>
                <c:pt idx="295">
                  <c:v>20.079999999999998</c:v>
                </c:pt>
                <c:pt idx="296">
                  <c:v>19.549999</c:v>
                </c:pt>
                <c:pt idx="297">
                  <c:v>19.110001</c:v>
                </c:pt>
                <c:pt idx="298">
                  <c:v>19.350000000000001</c:v>
                </c:pt>
                <c:pt idx="299">
                  <c:v>19.239999999999998</c:v>
                </c:pt>
                <c:pt idx="300">
                  <c:v>19.549999</c:v>
                </c:pt>
                <c:pt idx="301">
                  <c:v>19.68</c:v>
                </c:pt>
                <c:pt idx="302">
                  <c:v>19.600000000000001</c:v>
                </c:pt>
                <c:pt idx="303">
                  <c:v>19.059999000000001</c:v>
                </c:pt>
                <c:pt idx="304">
                  <c:v>19.709999</c:v>
                </c:pt>
                <c:pt idx="305">
                  <c:v>19.48</c:v>
                </c:pt>
                <c:pt idx="306">
                  <c:v>19.709999</c:v>
                </c:pt>
                <c:pt idx="307">
                  <c:v>19.48</c:v>
                </c:pt>
                <c:pt idx="308">
                  <c:v>19.559999000000001</c:v>
                </c:pt>
                <c:pt idx="309">
                  <c:v>19.489999999999998</c:v>
                </c:pt>
                <c:pt idx="310">
                  <c:v>19.790001</c:v>
                </c:pt>
                <c:pt idx="311">
                  <c:v>18.799999</c:v>
                </c:pt>
                <c:pt idx="312">
                  <c:v>18.98</c:v>
                </c:pt>
                <c:pt idx="313">
                  <c:v>19.200001</c:v>
                </c:pt>
                <c:pt idx="314">
                  <c:v>19.07</c:v>
                </c:pt>
                <c:pt idx="315">
                  <c:v>19.850000000000001</c:v>
                </c:pt>
                <c:pt idx="316">
                  <c:v>20.040001</c:v>
                </c:pt>
                <c:pt idx="317">
                  <c:v>20</c:v>
                </c:pt>
                <c:pt idx="318">
                  <c:v>21.73</c:v>
                </c:pt>
                <c:pt idx="319">
                  <c:v>22.34</c:v>
                </c:pt>
                <c:pt idx="320">
                  <c:v>23.309999000000001</c:v>
                </c:pt>
                <c:pt idx="321">
                  <c:v>21.6</c:v>
                </c:pt>
                <c:pt idx="322">
                  <c:v>21.66</c:v>
                </c:pt>
                <c:pt idx="323">
                  <c:v>21.49</c:v>
                </c:pt>
                <c:pt idx="324">
                  <c:v>20.459999</c:v>
                </c:pt>
                <c:pt idx="325">
                  <c:v>18.579999999999998</c:v>
                </c:pt>
                <c:pt idx="326">
                  <c:v>18.700001</c:v>
                </c:pt>
                <c:pt idx="327">
                  <c:v>17.780000999999999</c:v>
                </c:pt>
                <c:pt idx="328">
                  <c:v>17.809999000000001</c:v>
                </c:pt>
                <c:pt idx="329">
                  <c:v>17.48</c:v>
                </c:pt>
                <c:pt idx="330">
                  <c:v>17.940000999999999</c:v>
                </c:pt>
                <c:pt idx="331">
                  <c:v>18.010000000000002</c:v>
                </c:pt>
                <c:pt idx="332">
                  <c:v>17</c:v>
                </c:pt>
                <c:pt idx="333">
                  <c:v>16.959999</c:v>
                </c:pt>
                <c:pt idx="334">
                  <c:v>16.530000999999999</c:v>
                </c:pt>
                <c:pt idx="335">
                  <c:v>15.95</c:v>
                </c:pt>
                <c:pt idx="336">
                  <c:v>15.85</c:v>
                </c:pt>
                <c:pt idx="337">
                  <c:v>15.94</c:v>
                </c:pt>
                <c:pt idx="338">
                  <c:v>16.120000999999998</c:v>
                </c:pt>
                <c:pt idx="339">
                  <c:v>16.489999999999998</c:v>
                </c:pt>
                <c:pt idx="340">
                  <c:v>16.200001</c:v>
                </c:pt>
                <c:pt idx="341">
                  <c:v>16</c:v>
                </c:pt>
                <c:pt idx="342">
                  <c:v>16.239999999999998</c:v>
                </c:pt>
                <c:pt idx="343">
                  <c:v>16.100000000000001</c:v>
                </c:pt>
                <c:pt idx="344">
                  <c:v>16.489999999999998</c:v>
                </c:pt>
                <c:pt idx="345">
                  <c:v>16.610001</c:v>
                </c:pt>
                <c:pt idx="346">
                  <c:v>16.850000000000001</c:v>
                </c:pt>
                <c:pt idx="347">
                  <c:v>15.75</c:v>
                </c:pt>
                <c:pt idx="348">
                  <c:v>16.219999000000001</c:v>
                </c:pt>
                <c:pt idx="349">
                  <c:v>15.73</c:v>
                </c:pt>
                <c:pt idx="350">
                  <c:v>14.98</c:v>
                </c:pt>
                <c:pt idx="351">
                  <c:v>14.13</c:v>
                </c:pt>
                <c:pt idx="352">
                  <c:v>13.88</c:v>
                </c:pt>
                <c:pt idx="353">
                  <c:v>13.47</c:v>
                </c:pt>
                <c:pt idx="354">
                  <c:v>13.51</c:v>
                </c:pt>
                <c:pt idx="355">
                  <c:v>13.05</c:v>
                </c:pt>
                <c:pt idx="356">
                  <c:v>14.08</c:v>
                </c:pt>
                <c:pt idx="357">
                  <c:v>12.81</c:v>
                </c:pt>
                <c:pt idx="358">
                  <c:v>14.28</c:v>
                </c:pt>
                <c:pt idx="359">
                  <c:v>13.7</c:v>
                </c:pt>
                <c:pt idx="360">
                  <c:v>16.16</c:v>
                </c:pt>
                <c:pt idx="361">
                  <c:v>15.8</c:v>
                </c:pt>
                <c:pt idx="362">
                  <c:v>18.200001</c:v>
                </c:pt>
                <c:pt idx="363">
                  <c:v>19.709999</c:v>
                </c:pt>
                <c:pt idx="364">
                  <c:v>19.59</c:v>
                </c:pt>
                <c:pt idx="365">
                  <c:v>21.280000999999999</c:v>
                </c:pt>
                <c:pt idx="366">
                  <c:v>21.719999000000001</c:v>
                </c:pt>
                <c:pt idx="367">
                  <c:v>22.09</c:v>
                </c:pt>
                <c:pt idx="368">
                  <c:v>20.75</c:v>
                </c:pt>
                <c:pt idx="369">
                  <c:v>20.43</c:v>
                </c:pt>
                <c:pt idx="370">
                  <c:v>19.329999999999998</c:v>
                </c:pt>
                <c:pt idx="371">
                  <c:v>19.899999999999999</c:v>
                </c:pt>
                <c:pt idx="372">
                  <c:v>22.02</c:v>
                </c:pt>
                <c:pt idx="373">
                  <c:v>21.08</c:v>
                </c:pt>
                <c:pt idx="374">
                  <c:v>21.219999000000001</c:v>
                </c:pt>
                <c:pt idx="375">
                  <c:v>20.99</c:v>
                </c:pt>
                <c:pt idx="376">
                  <c:v>21.08</c:v>
                </c:pt>
                <c:pt idx="377">
                  <c:v>21.26</c:v>
                </c:pt>
                <c:pt idx="378">
                  <c:v>21.75</c:v>
                </c:pt>
                <c:pt idx="379">
                  <c:v>21.940000999999999</c:v>
                </c:pt>
                <c:pt idx="380">
                  <c:v>20.82</c:v>
                </c:pt>
                <c:pt idx="381">
                  <c:v>20.530000999999999</c:v>
                </c:pt>
                <c:pt idx="382">
                  <c:v>20.6</c:v>
                </c:pt>
                <c:pt idx="383">
                  <c:v>21.26</c:v>
                </c:pt>
                <c:pt idx="384">
                  <c:v>21.059999000000001</c:v>
                </c:pt>
                <c:pt idx="385">
                  <c:v>20.959999</c:v>
                </c:pt>
                <c:pt idx="386">
                  <c:v>20.549999</c:v>
                </c:pt>
                <c:pt idx="387">
                  <c:v>20.92</c:v>
                </c:pt>
                <c:pt idx="388">
                  <c:v>20.65</c:v>
                </c:pt>
                <c:pt idx="389">
                  <c:v>21.059999000000001</c:v>
                </c:pt>
                <c:pt idx="390">
                  <c:v>20.860001</c:v>
                </c:pt>
                <c:pt idx="391">
                  <c:v>20.98</c:v>
                </c:pt>
                <c:pt idx="392">
                  <c:v>21.67</c:v>
                </c:pt>
                <c:pt idx="393">
                  <c:v>21.83</c:v>
                </c:pt>
                <c:pt idx="394">
                  <c:v>21.43</c:v>
                </c:pt>
                <c:pt idx="395">
                  <c:v>20.860001</c:v>
                </c:pt>
                <c:pt idx="396">
                  <c:v>20.870000999999998</c:v>
                </c:pt>
                <c:pt idx="397">
                  <c:v>20.74</c:v>
                </c:pt>
                <c:pt idx="398">
                  <c:v>20.639999</c:v>
                </c:pt>
                <c:pt idx="399">
                  <c:v>20.67</c:v>
                </c:pt>
                <c:pt idx="400">
                  <c:v>20.92</c:v>
                </c:pt>
                <c:pt idx="401">
                  <c:v>20.239999999999998</c:v>
                </c:pt>
                <c:pt idx="402">
                  <c:v>19.760000000000002</c:v>
                </c:pt>
                <c:pt idx="403">
                  <c:v>19.260000000000002</c:v>
                </c:pt>
                <c:pt idx="404">
                  <c:v>19.379999000000002</c:v>
                </c:pt>
                <c:pt idx="405">
                  <c:v>19.170000000000002</c:v>
                </c:pt>
                <c:pt idx="406">
                  <c:v>19.110001</c:v>
                </c:pt>
                <c:pt idx="407">
                  <c:v>18.940000999999999</c:v>
                </c:pt>
                <c:pt idx="408">
                  <c:v>18.489999999999998</c:v>
                </c:pt>
                <c:pt idx="409">
                  <c:v>18.489999999999998</c:v>
                </c:pt>
                <c:pt idx="410">
                  <c:v>18.280000999999999</c:v>
                </c:pt>
                <c:pt idx="411">
                  <c:v>18.52</c:v>
                </c:pt>
                <c:pt idx="412">
                  <c:v>18.399999999999999</c:v>
                </c:pt>
                <c:pt idx="413">
                  <c:v>18.739999999999998</c:v>
                </c:pt>
                <c:pt idx="414">
                  <c:v>19.010000000000002</c:v>
                </c:pt>
                <c:pt idx="415">
                  <c:v>18.790001</c:v>
                </c:pt>
                <c:pt idx="416">
                  <c:v>18.809999000000001</c:v>
                </c:pt>
                <c:pt idx="417">
                  <c:v>18.66</c:v>
                </c:pt>
                <c:pt idx="418">
                  <c:v>18.84</c:v>
                </c:pt>
                <c:pt idx="419">
                  <c:v>18.75</c:v>
                </c:pt>
                <c:pt idx="420">
                  <c:v>18.559999000000001</c:v>
                </c:pt>
                <c:pt idx="421">
                  <c:v>18.280000999999999</c:v>
                </c:pt>
                <c:pt idx="422">
                  <c:v>18.079999999999998</c:v>
                </c:pt>
                <c:pt idx="423">
                  <c:v>18.389999</c:v>
                </c:pt>
                <c:pt idx="424">
                  <c:v>18.200001</c:v>
                </c:pt>
                <c:pt idx="425">
                  <c:v>17.969999000000001</c:v>
                </c:pt>
                <c:pt idx="426">
                  <c:v>18.07</c:v>
                </c:pt>
                <c:pt idx="427">
                  <c:v>17.989999999999998</c:v>
                </c:pt>
                <c:pt idx="428">
                  <c:v>17.540001</c:v>
                </c:pt>
                <c:pt idx="429">
                  <c:v>17.649999999999999</c:v>
                </c:pt>
                <c:pt idx="430">
                  <c:v>17.879999000000002</c:v>
                </c:pt>
                <c:pt idx="431">
                  <c:v>17.43</c:v>
                </c:pt>
                <c:pt idx="432">
                  <c:v>17.610001</c:v>
                </c:pt>
                <c:pt idx="433">
                  <c:v>17.57</c:v>
                </c:pt>
                <c:pt idx="434">
                  <c:v>17.600000000000001</c:v>
                </c:pt>
                <c:pt idx="435">
                  <c:v>17.530000999999999</c:v>
                </c:pt>
                <c:pt idx="436">
                  <c:v>17.719999000000001</c:v>
                </c:pt>
                <c:pt idx="437">
                  <c:v>17.559999000000001</c:v>
                </c:pt>
                <c:pt idx="438">
                  <c:v>17.5</c:v>
                </c:pt>
                <c:pt idx="439">
                  <c:v>17.850000000000001</c:v>
                </c:pt>
                <c:pt idx="440">
                  <c:v>18.010000000000002</c:v>
                </c:pt>
                <c:pt idx="441">
                  <c:v>17.579999999999998</c:v>
                </c:pt>
                <c:pt idx="442">
                  <c:v>17.82</c:v>
                </c:pt>
                <c:pt idx="443">
                  <c:v>17.100000000000001</c:v>
                </c:pt>
                <c:pt idx="444">
                  <c:v>17.219999000000001</c:v>
                </c:pt>
                <c:pt idx="445">
                  <c:v>16.68</c:v>
                </c:pt>
                <c:pt idx="446">
                  <c:v>16.149999999999999</c:v>
                </c:pt>
                <c:pt idx="447">
                  <c:v>15.93</c:v>
                </c:pt>
                <c:pt idx="448">
                  <c:v>15.63</c:v>
                </c:pt>
                <c:pt idx="449">
                  <c:v>15.46</c:v>
                </c:pt>
                <c:pt idx="450">
                  <c:v>15.57</c:v>
                </c:pt>
                <c:pt idx="451">
                  <c:v>15.84</c:v>
                </c:pt>
                <c:pt idx="452">
                  <c:v>16.049999</c:v>
                </c:pt>
                <c:pt idx="453">
                  <c:v>16.059999000000001</c:v>
                </c:pt>
                <c:pt idx="454">
                  <c:v>15.94</c:v>
                </c:pt>
                <c:pt idx="455">
                  <c:v>15.73</c:v>
                </c:pt>
                <c:pt idx="456">
                  <c:v>15.77</c:v>
                </c:pt>
                <c:pt idx="457">
                  <c:v>15.85</c:v>
                </c:pt>
                <c:pt idx="458">
                  <c:v>15.94</c:v>
                </c:pt>
                <c:pt idx="459">
                  <c:v>15.67</c:v>
                </c:pt>
                <c:pt idx="460">
                  <c:v>15.43</c:v>
                </c:pt>
                <c:pt idx="461">
                  <c:v>15.29</c:v>
                </c:pt>
                <c:pt idx="462">
                  <c:v>14.65</c:v>
                </c:pt>
                <c:pt idx="463">
                  <c:v>14.55</c:v>
                </c:pt>
                <c:pt idx="464">
                  <c:v>14.43</c:v>
                </c:pt>
                <c:pt idx="465">
                  <c:v>14.72</c:v>
                </c:pt>
                <c:pt idx="466">
                  <c:v>14.9</c:v>
                </c:pt>
                <c:pt idx="467">
                  <c:v>14.81</c:v>
                </c:pt>
                <c:pt idx="468">
                  <c:v>14.94</c:v>
                </c:pt>
                <c:pt idx="469">
                  <c:v>15.17</c:v>
                </c:pt>
                <c:pt idx="470">
                  <c:v>15.39</c:v>
                </c:pt>
                <c:pt idx="471">
                  <c:v>15.14</c:v>
                </c:pt>
                <c:pt idx="472">
                  <c:v>15.22</c:v>
                </c:pt>
                <c:pt idx="473">
                  <c:v>15.29</c:v>
                </c:pt>
                <c:pt idx="474">
                  <c:v>15.2</c:v>
                </c:pt>
                <c:pt idx="475">
                  <c:v>15.37</c:v>
                </c:pt>
                <c:pt idx="476">
                  <c:v>15.25</c:v>
                </c:pt>
                <c:pt idx="477">
                  <c:v>15.55</c:v>
                </c:pt>
                <c:pt idx="478">
                  <c:v>15.53</c:v>
                </c:pt>
                <c:pt idx="479">
                  <c:v>15.39</c:v>
                </c:pt>
                <c:pt idx="480">
                  <c:v>15.32</c:v>
                </c:pt>
                <c:pt idx="481">
                  <c:v>15.31</c:v>
                </c:pt>
                <c:pt idx="482">
                  <c:v>15.28</c:v>
                </c:pt>
                <c:pt idx="483">
                  <c:v>15.22</c:v>
                </c:pt>
                <c:pt idx="484">
                  <c:v>15.09</c:v>
                </c:pt>
                <c:pt idx="485">
                  <c:v>15.2</c:v>
                </c:pt>
                <c:pt idx="486">
                  <c:v>15</c:v>
                </c:pt>
                <c:pt idx="487">
                  <c:v>14.99</c:v>
                </c:pt>
                <c:pt idx="488">
                  <c:v>15.1</c:v>
                </c:pt>
                <c:pt idx="489">
                  <c:v>14.8</c:v>
                </c:pt>
                <c:pt idx="490">
                  <c:v>14.97</c:v>
                </c:pt>
                <c:pt idx="491">
                  <c:v>15.06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B5-AE49-B97D-1C9180F02193}"/>
            </c:ext>
          </c:extLst>
        </c:ser>
        <c:ser>
          <c:idx val="3"/>
          <c:order val="3"/>
          <c:tx>
            <c:strRef>
              <c:f>'Retornos da Carteira de Ações'!$E$5</c:f>
              <c:strCache>
                <c:ptCount val="1"/>
                <c:pt idx="0">
                  <c:v>Localiza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Ações'!$E$6:$E$497</c:f>
              <c:numCache>
                <c:formatCode>#,##0.00</c:formatCode>
                <c:ptCount val="492"/>
                <c:pt idx="0">
                  <c:v>58.299999</c:v>
                </c:pt>
                <c:pt idx="1">
                  <c:v>55.959999000000003</c:v>
                </c:pt>
                <c:pt idx="2">
                  <c:v>57.529998999999997</c:v>
                </c:pt>
                <c:pt idx="3">
                  <c:v>57.049999</c:v>
                </c:pt>
                <c:pt idx="4">
                  <c:v>56.43</c:v>
                </c:pt>
                <c:pt idx="5">
                  <c:v>58.73</c:v>
                </c:pt>
                <c:pt idx="6">
                  <c:v>58.139999000000003</c:v>
                </c:pt>
                <c:pt idx="7">
                  <c:v>55.209999000000003</c:v>
                </c:pt>
                <c:pt idx="8">
                  <c:v>54.599997999999999</c:v>
                </c:pt>
                <c:pt idx="9">
                  <c:v>56.099997999999999</c:v>
                </c:pt>
                <c:pt idx="10">
                  <c:v>57.450001</c:v>
                </c:pt>
                <c:pt idx="11">
                  <c:v>58.07</c:v>
                </c:pt>
                <c:pt idx="12">
                  <c:v>57.389999000000003</c:v>
                </c:pt>
                <c:pt idx="13">
                  <c:v>57.43</c:v>
                </c:pt>
                <c:pt idx="14">
                  <c:v>58.599997999999999</c:v>
                </c:pt>
                <c:pt idx="15">
                  <c:v>58.25</c:v>
                </c:pt>
                <c:pt idx="16">
                  <c:v>58.5</c:v>
                </c:pt>
                <c:pt idx="17">
                  <c:v>59.16</c:v>
                </c:pt>
                <c:pt idx="18">
                  <c:v>61.110000999999997</c:v>
                </c:pt>
                <c:pt idx="19">
                  <c:v>61.169998</c:v>
                </c:pt>
                <c:pt idx="20">
                  <c:v>62.150002000000001</c:v>
                </c:pt>
                <c:pt idx="21">
                  <c:v>67.089995999999999</c:v>
                </c:pt>
                <c:pt idx="22">
                  <c:v>66.139999000000003</c:v>
                </c:pt>
                <c:pt idx="23">
                  <c:v>66.809997999999993</c:v>
                </c:pt>
                <c:pt idx="24">
                  <c:v>68.019997000000004</c:v>
                </c:pt>
                <c:pt idx="25">
                  <c:v>68.319999999999993</c:v>
                </c:pt>
                <c:pt idx="26">
                  <c:v>68.300003000000004</c:v>
                </c:pt>
                <c:pt idx="27">
                  <c:v>66.809997999999993</c:v>
                </c:pt>
                <c:pt idx="28">
                  <c:v>67.5</c:v>
                </c:pt>
                <c:pt idx="29">
                  <c:v>67.25</c:v>
                </c:pt>
                <c:pt idx="30">
                  <c:v>67.699996999999996</c:v>
                </c:pt>
                <c:pt idx="31">
                  <c:v>68.709998999999996</c:v>
                </c:pt>
                <c:pt idx="32">
                  <c:v>68.580001999999993</c:v>
                </c:pt>
                <c:pt idx="33">
                  <c:v>66.169998000000007</c:v>
                </c:pt>
                <c:pt idx="34">
                  <c:v>66.110000999999997</c:v>
                </c:pt>
                <c:pt idx="35">
                  <c:v>65.510002</c:v>
                </c:pt>
                <c:pt idx="36">
                  <c:v>66.349997999999999</c:v>
                </c:pt>
                <c:pt idx="37">
                  <c:v>62.939999</c:v>
                </c:pt>
                <c:pt idx="38">
                  <c:v>64.110000999999997</c:v>
                </c:pt>
                <c:pt idx="39">
                  <c:v>64.459998999999996</c:v>
                </c:pt>
                <c:pt idx="40">
                  <c:v>62.5</c:v>
                </c:pt>
                <c:pt idx="41">
                  <c:v>64</c:v>
                </c:pt>
                <c:pt idx="42">
                  <c:v>64.529999000000004</c:v>
                </c:pt>
                <c:pt idx="43">
                  <c:v>64.25</c:v>
                </c:pt>
                <c:pt idx="44">
                  <c:v>63.599997999999999</c:v>
                </c:pt>
                <c:pt idx="45">
                  <c:v>64.5</c:v>
                </c:pt>
                <c:pt idx="46">
                  <c:v>64</c:v>
                </c:pt>
                <c:pt idx="47">
                  <c:v>63</c:v>
                </c:pt>
                <c:pt idx="48">
                  <c:v>63.220001000000003</c:v>
                </c:pt>
                <c:pt idx="49">
                  <c:v>62.810001</c:v>
                </c:pt>
                <c:pt idx="50">
                  <c:v>62.580002</c:v>
                </c:pt>
                <c:pt idx="51">
                  <c:v>64.120002999999997</c:v>
                </c:pt>
                <c:pt idx="52">
                  <c:v>64.400002000000001</c:v>
                </c:pt>
                <c:pt idx="53">
                  <c:v>64.559997999999993</c:v>
                </c:pt>
                <c:pt idx="54">
                  <c:v>64.040001000000004</c:v>
                </c:pt>
                <c:pt idx="55">
                  <c:v>65.400002000000001</c:v>
                </c:pt>
                <c:pt idx="56">
                  <c:v>65.540001000000004</c:v>
                </c:pt>
                <c:pt idx="57">
                  <c:v>66.720000999999996</c:v>
                </c:pt>
                <c:pt idx="58">
                  <c:v>67</c:v>
                </c:pt>
                <c:pt idx="59">
                  <c:v>66.650002000000001</c:v>
                </c:pt>
                <c:pt idx="60">
                  <c:v>64.730002999999996</c:v>
                </c:pt>
                <c:pt idx="61">
                  <c:v>64.160004000000001</c:v>
                </c:pt>
                <c:pt idx="62">
                  <c:v>62.650002000000001</c:v>
                </c:pt>
                <c:pt idx="63">
                  <c:v>61.939999</c:v>
                </c:pt>
                <c:pt idx="64">
                  <c:v>61.740001999999997</c:v>
                </c:pt>
                <c:pt idx="65">
                  <c:v>63.400002000000001</c:v>
                </c:pt>
                <c:pt idx="66">
                  <c:v>63.200001</c:v>
                </c:pt>
                <c:pt idx="67">
                  <c:v>64.25</c:v>
                </c:pt>
                <c:pt idx="68">
                  <c:v>62.880001</c:v>
                </c:pt>
                <c:pt idx="69">
                  <c:v>62.470001000000003</c:v>
                </c:pt>
                <c:pt idx="70">
                  <c:v>59.759998000000003</c:v>
                </c:pt>
                <c:pt idx="71">
                  <c:v>61</c:v>
                </c:pt>
                <c:pt idx="72">
                  <c:v>59.919998</c:v>
                </c:pt>
                <c:pt idx="73">
                  <c:v>58.790000999999997</c:v>
                </c:pt>
                <c:pt idx="74">
                  <c:v>58.790000999999997</c:v>
                </c:pt>
                <c:pt idx="75">
                  <c:v>58.299999</c:v>
                </c:pt>
                <c:pt idx="76">
                  <c:v>62.84</c:v>
                </c:pt>
                <c:pt idx="77">
                  <c:v>62.950001</c:v>
                </c:pt>
                <c:pt idx="78">
                  <c:v>63.209999000000003</c:v>
                </c:pt>
                <c:pt idx="79">
                  <c:v>61.77</c:v>
                </c:pt>
                <c:pt idx="80">
                  <c:v>61.599997999999999</c:v>
                </c:pt>
                <c:pt idx="81">
                  <c:v>62.740001999999997</c:v>
                </c:pt>
                <c:pt idx="82">
                  <c:v>64.110000999999997</c:v>
                </c:pt>
                <c:pt idx="83">
                  <c:v>64.300003000000004</c:v>
                </c:pt>
                <c:pt idx="84">
                  <c:v>63.369999</c:v>
                </c:pt>
                <c:pt idx="85">
                  <c:v>63.119999</c:v>
                </c:pt>
                <c:pt idx="86">
                  <c:v>61.040000999999997</c:v>
                </c:pt>
                <c:pt idx="87">
                  <c:v>61.919998</c:v>
                </c:pt>
                <c:pt idx="88">
                  <c:v>61.700001</c:v>
                </c:pt>
                <c:pt idx="89">
                  <c:v>60.869999</c:v>
                </c:pt>
                <c:pt idx="90">
                  <c:v>61.779998999999997</c:v>
                </c:pt>
                <c:pt idx="91">
                  <c:v>62.439999</c:v>
                </c:pt>
                <c:pt idx="92">
                  <c:v>64.180000000000007</c:v>
                </c:pt>
                <c:pt idx="93">
                  <c:v>63.599997999999999</c:v>
                </c:pt>
                <c:pt idx="94">
                  <c:v>63.650002000000001</c:v>
                </c:pt>
                <c:pt idx="95">
                  <c:v>63.200001</c:v>
                </c:pt>
                <c:pt idx="96">
                  <c:v>62.98</c:v>
                </c:pt>
                <c:pt idx="97">
                  <c:v>62.990001999999997</c:v>
                </c:pt>
                <c:pt idx="98">
                  <c:v>63.599997999999999</c:v>
                </c:pt>
                <c:pt idx="99">
                  <c:v>62.400002000000001</c:v>
                </c:pt>
                <c:pt idx="100">
                  <c:v>62.360000999999997</c:v>
                </c:pt>
                <c:pt idx="101">
                  <c:v>61.529998999999997</c:v>
                </c:pt>
                <c:pt idx="102">
                  <c:v>60.040000999999997</c:v>
                </c:pt>
                <c:pt idx="103">
                  <c:v>59.73</c:v>
                </c:pt>
                <c:pt idx="104">
                  <c:v>59.799999</c:v>
                </c:pt>
                <c:pt idx="105">
                  <c:v>57.549999</c:v>
                </c:pt>
                <c:pt idx="106">
                  <c:v>57.43</c:v>
                </c:pt>
                <c:pt idx="107">
                  <c:v>56.799999</c:v>
                </c:pt>
                <c:pt idx="108">
                  <c:v>55.130001</c:v>
                </c:pt>
                <c:pt idx="109">
                  <c:v>56.549999</c:v>
                </c:pt>
                <c:pt idx="110">
                  <c:v>57.84</c:v>
                </c:pt>
                <c:pt idx="111">
                  <c:v>59.299999</c:v>
                </c:pt>
                <c:pt idx="112">
                  <c:v>57.75</c:v>
                </c:pt>
                <c:pt idx="113">
                  <c:v>59.779998999999997</c:v>
                </c:pt>
                <c:pt idx="114">
                  <c:v>58</c:v>
                </c:pt>
                <c:pt idx="115">
                  <c:v>59.34</c:v>
                </c:pt>
                <c:pt idx="116">
                  <c:v>59.5</c:v>
                </c:pt>
                <c:pt idx="117">
                  <c:v>59.549999</c:v>
                </c:pt>
                <c:pt idx="118">
                  <c:v>56.540000999999997</c:v>
                </c:pt>
                <c:pt idx="119">
                  <c:v>55.580002</c:v>
                </c:pt>
                <c:pt idx="120">
                  <c:v>55.119999</c:v>
                </c:pt>
                <c:pt idx="121">
                  <c:v>60.830002</c:v>
                </c:pt>
                <c:pt idx="122">
                  <c:v>60.919998</c:v>
                </c:pt>
                <c:pt idx="123">
                  <c:v>58.82</c:v>
                </c:pt>
                <c:pt idx="124">
                  <c:v>58.599997999999999</c:v>
                </c:pt>
                <c:pt idx="125">
                  <c:v>59.16</c:v>
                </c:pt>
                <c:pt idx="126">
                  <c:v>58</c:v>
                </c:pt>
                <c:pt idx="127">
                  <c:v>59.860000999999997</c:v>
                </c:pt>
                <c:pt idx="128">
                  <c:v>60.540000999999997</c:v>
                </c:pt>
                <c:pt idx="129">
                  <c:v>61.299999</c:v>
                </c:pt>
                <c:pt idx="130">
                  <c:v>61.09</c:v>
                </c:pt>
                <c:pt idx="131">
                  <c:v>65.099997999999999</c:v>
                </c:pt>
                <c:pt idx="132">
                  <c:v>64.610000999999997</c:v>
                </c:pt>
                <c:pt idx="133">
                  <c:v>66.900002000000001</c:v>
                </c:pt>
                <c:pt idx="134">
                  <c:v>66.959998999999996</c:v>
                </c:pt>
                <c:pt idx="135">
                  <c:v>67.349997999999999</c:v>
                </c:pt>
                <c:pt idx="136">
                  <c:v>68.519997000000004</c:v>
                </c:pt>
                <c:pt idx="137">
                  <c:v>69.260002</c:v>
                </c:pt>
                <c:pt idx="138">
                  <c:v>68.870002999999997</c:v>
                </c:pt>
                <c:pt idx="139">
                  <c:v>69.599997999999999</c:v>
                </c:pt>
                <c:pt idx="140">
                  <c:v>68.800003000000004</c:v>
                </c:pt>
                <c:pt idx="141">
                  <c:v>67.510002</c:v>
                </c:pt>
                <c:pt idx="142">
                  <c:v>63.950001</c:v>
                </c:pt>
                <c:pt idx="143">
                  <c:v>63.880001</c:v>
                </c:pt>
                <c:pt idx="144">
                  <c:v>67.239998</c:v>
                </c:pt>
                <c:pt idx="145">
                  <c:v>64.980002999999996</c:v>
                </c:pt>
                <c:pt idx="146">
                  <c:v>65.959998999999996</c:v>
                </c:pt>
                <c:pt idx="147">
                  <c:v>67.510002</c:v>
                </c:pt>
                <c:pt idx="148">
                  <c:v>67.910004000000001</c:v>
                </c:pt>
                <c:pt idx="149">
                  <c:v>69.569999999999993</c:v>
                </c:pt>
                <c:pt idx="150">
                  <c:v>68.800003000000004</c:v>
                </c:pt>
                <c:pt idx="151">
                  <c:v>70.690002000000007</c:v>
                </c:pt>
                <c:pt idx="152">
                  <c:v>70.709998999999996</c:v>
                </c:pt>
                <c:pt idx="153">
                  <c:v>73.930000000000007</c:v>
                </c:pt>
                <c:pt idx="154">
                  <c:v>71.050003000000004</c:v>
                </c:pt>
                <c:pt idx="155">
                  <c:v>71.080001999999993</c:v>
                </c:pt>
                <c:pt idx="156">
                  <c:v>69.620002999999997</c:v>
                </c:pt>
                <c:pt idx="157">
                  <c:v>71</c:v>
                </c:pt>
                <c:pt idx="158">
                  <c:v>66.510002</c:v>
                </c:pt>
                <c:pt idx="159">
                  <c:v>63.5</c:v>
                </c:pt>
                <c:pt idx="160">
                  <c:v>67.379997000000003</c:v>
                </c:pt>
                <c:pt idx="161">
                  <c:v>67.779999000000004</c:v>
                </c:pt>
                <c:pt idx="162">
                  <c:v>68.949996999999996</c:v>
                </c:pt>
                <c:pt idx="163">
                  <c:v>67.059997999999993</c:v>
                </c:pt>
                <c:pt idx="164">
                  <c:v>66.699996999999996</c:v>
                </c:pt>
                <c:pt idx="165">
                  <c:v>66.599997999999999</c:v>
                </c:pt>
                <c:pt idx="166">
                  <c:v>64.879997000000003</c:v>
                </c:pt>
                <c:pt idx="167">
                  <c:v>65.739998</c:v>
                </c:pt>
                <c:pt idx="168">
                  <c:v>66.709998999999996</c:v>
                </c:pt>
                <c:pt idx="169">
                  <c:v>67.129997000000003</c:v>
                </c:pt>
                <c:pt idx="170">
                  <c:v>65.959998999999996</c:v>
                </c:pt>
                <c:pt idx="171">
                  <c:v>64.699996999999996</c:v>
                </c:pt>
                <c:pt idx="172">
                  <c:v>63.290000999999997</c:v>
                </c:pt>
                <c:pt idx="173">
                  <c:v>63.700001</c:v>
                </c:pt>
                <c:pt idx="174">
                  <c:v>63.529998999999997</c:v>
                </c:pt>
                <c:pt idx="175">
                  <c:v>63.869999</c:v>
                </c:pt>
                <c:pt idx="176">
                  <c:v>65.959998999999996</c:v>
                </c:pt>
                <c:pt idx="177">
                  <c:v>64.959998999999996</c:v>
                </c:pt>
                <c:pt idx="178">
                  <c:v>67.019997000000004</c:v>
                </c:pt>
                <c:pt idx="179">
                  <c:v>68.089995999999999</c:v>
                </c:pt>
                <c:pt idx="180">
                  <c:v>65.569999999999993</c:v>
                </c:pt>
                <c:pt idx="181">
                  <c:v>65.449996999999996</c:v>
                </c:pt>
                <c:pt idx="182">
                  <c:v>67.220000999999996</c:v>
                </c:pt>
                <c:pt idx="183">
                  <c:v>66.440002000000007</c:v>
                </c:pt>
                <c:pt idx="184">
                  <c:v>65.440002000000007</c:v>
                </c:pt>
                <c:pt idx="185">
                  <c:v>65.75</c:v>
                </c:pt>
                <c:pt idx="186">
                  <c:v>65.599997999999999</c:v>
                </c:pt>
                <c:pt idx="187">
                  <c:v>65.360000999999997</c:v>
                </c:pt>
                <c:pt idx="188">
                  <c:v>65.480002999999996</c:v>
                </c:pt>
                <c:pt idx="189">
                  <c:v>64.489998</c:v>
                </c:pt>
                <c:pt idx="190">
                  <c:v>66</c:v>
                </c:pt>
                <c:pt idx="191">
                  <c:v>66.819999999999993</c:v>
                </c:pt>
                <c:pt idx="192">
                  <c:v>67</c:v>
                </c:pt>
                <c:pt idx="193">
                  <c:v>65.449996999999996</c:v>
                </c:pt>
                <c:pt idx="194">
                  <c:v>66.220000999999996</c:v>
                </c:pt>
                <c:pt idx="195">
                  <c:v>66.319999999999993</c:v>
                </c:pt>
                <c:pt idx="196">
                  <c:v>66.099997999999999</c:v>
                </c:pt>
                <c:pt idx="197">
                  <c:v>68</c:v>
                </c:pt>
                <c:pt idx="198">
                  <c:v>67.879997000000003</c:v>
                </c:pt>
                <c:pt idx="199">
                  <c:v>66.300003000000004</c:v>
                </c:pt>
                <c:pt idx="200">
                  <c:v>63.77</c:v>
                </c:pt>
                <c:pt idx="201">
                  <c:v>60.68</c:v>
                </c:pt>
                <c:pt idx="202">
                  <c:v>62.560001</c:v>
                </c:pt>
                <c:pt idx="203">
                  <c:v>62.549999</c:v>
                </c:pt>
                <c:pt idx="204">
                  <c:v>64.569999999999993</c:v>
                </c:pt>
                <c:pt idx="205">
                  <c:v>62.889999000000003</c:v>
                </c:pt>
                <c:pt idx="206">
                  <c:v>62.560001</c:v>
                </c:pt>
                <c:pt idx="207">
                  <c:v>64</c:v>
                </c:pt>
                <c:pt idx="208">
                  <c:v>62.889999000000003</c:v>
                </c:pt>
                <c:pt idx="209">
                  <c:v>64.470000999999996</c:v>
                </c:pt>
                <c:pt idx="210">
                  <c:v>61.68</c:v>
                </c:pt>
                <c:pt idx="211">
                  <c:v>62.27</c:v>
                </c:pt>
                <c:pt idx="212">
                  <c:v>62.380001</c:v>
                </c:pt>
                <c:pt idx="213">
                  <c:v>61.689999</c:v>
                </c:pt>
                <c:pt idx="214">
                  <c:v>59.369999</c:v>
                </c:pt>
                <c:pt idx="215">
                  <c:v>60.150002000000001</c:v>
                </c:pt>
                <c:pt idx="216">
                  <c:v>59.959999000000003</c:v>
                </c:pt>
                <c:pt idx="217">
                  <c:v>56.889999000000003</c:v>
                </c:pt>
                <c:pt idx="218">
                  <c:v>57.310001</c:v>
                </c:pt>
                <c:pt idx="219">
                  <c:v>57.25</c:v>
                </c:pt>
                <c:pt idx="220">
                  <c:v>56.700001</c:v>
                </c:pt>
                <c:pt idx="221">
                  <c:v>57.119999</c:v>
                </c:pt>
                <c:pt idx="222">
                  <c:v>56.669998</c:v>
                </c:pt>
                <c:pt idx="223">
                  <c:v>56.790000999999997</c:v>
                </c:pt>
                <c:pt idx="224">
                  <c:v>56.650002000000001</c:v>
                </c:pt>
                <c:pt idx="225">
                  <c:v>59</c:v>
                </c:pt>
                <c:pt idx="226">
                  <c:v>57.990001999999997</c:v>
                </c:pt>
                <c:pt idx="227">
                  <c:v>58.970001000000003</c:v>
                </c:pt>
                <c:pt idx="228">
                  <c:v>51.740001999999997</c:v>
                </c:pt>
                <c:pt idx="229">
                  <c:v>50.810001</c:v>
                </c:pt>
                <c:pt idx="230">
                  <c:v>52.700001</c:v>
                </c:pt>
                <c:pt idx="231">
                  <c:v>52.950001</c:v>
                </c:pt>
                <c:pt idx="232">
                  <c:v>52.68</c:v>
                </c:pt>
                <c:pt idx="233">
                  <c:v>52.82</c:v>
                </c:pt>
                <c:pt idx="234">
                  <c:v>52.830002</c:v>
                </c:pt>
                <c:pt idx="235">
                  <c:v>50.540000999999997</c:v>
                </c:pt>
                <c:pt idx="236">
                  <c:v>51.919998</c:v>
                </c:pt>
                <c:pt idx="237">
                  <c:v>54.869999</c:v>
                </c:pt>
                <c:pt idx="238">
                  <c:v>53.73</c:v>
                </c:pt>
                <c:pt idx="239">
                  <c:v>50.75</c:v>
                </c:pt>
                <c:pt idx="240">
                  <c:v>50.689999</c:v>
                </c:pt>
                <c:pt idx="241">
                  <c:v>51.049999</c:v>
                </c:pt>
                <c:pt idx="242">
                  <c:v>50.400002000000001</c:v>
                </c:pt>
                <c:pt idx="243">
                  <c:v>48.23</c:v>
                </c:pt>
                <c:pt idx="244">
                  <c:v>50</c:v>
                </c:pt>
                <c:pt idx="245">
                  <c:v>49.110000999999997</c:v>
                </c:pt>
                <c:pt idx="246">
                  <c:v>48.419998</c:v>
                </c:pt>
                <c:pt idx="247">
                  <c:v>49.169998</c:v>
                </c:pt>
                <c:pt idx="248">
                  <c:v>49.040000999999997</c:v>
                </c:pt>
                <c:pt idx="249">
                  <c:v>48.970001000000003</c:v>
                </c:pt>
                <c:pt idx="250">
                  <c:v>49.939999</c:v>
                </c:pt>
                <c:pt idx="251">
                  <c:v>49.009998000000003</c:v>
                </c:pt>
                <c:pt idx="252">
                  <c:v>49.599997999999999</c:v>
                </c:pt>
                <c:pt idx="253">
                  <c:v>47.720001000000003</c:v>
                </c:pt>
                <c:pt idx="254">
                  <c:v>49.580002</c:v>
                </c:pt>
                <c:pt idx="255">
                  <c:v>49.02</c:v>
                </c:pt>
                <c:pt idx="256">
                  <c:v>50.450001</c:v>
                </c:pt>
                <c:pt idx="257">
                  <c:v>50.790000999999997</c:v>
                </c:pt>
                <c:pt idx="258">
                  <c:v>50.91</c:v>
                </c:pt>
                <c:pt idx="259">
                  <c:v>50.810001</c:v>
                </c:pt>
                <c:pt idx="260">
                  <c:v>51.630001</c:v>
                </c:pt>
                <c:pt idx="261">
                  <c:v>51.009998000000003</c:v>
                </c:pt>
                <c:pt idx="262">
                  <c:v>49.900002000000001</c:v>
                </c:pt>
                <c:pt idx="263">
                  <c:v>50.290000999999997</c:v>
                </c:pt>
                <c:pt idx="264">
                  <c:v>50.919998</c:v>
                </c:pt>
                <c:pt idx="265">
                  <c:v>49.959999000000003</c:v>
                </c:pt>
                <c:pt idx="266">
                  <c:v>45.07</c:v>
                </c:pt>
                <c:pt idx="267">
                  <c:v>44.889999000000003</c:v>
                </c:pt>
                <c:pt idx="268">
                  <c:v>45.41</c:v>
                </c:pt>
                <c:pt idx="269">
                  <c:v>44.700001</c:v>
                </c:pt>
                <c:pt idx="270">
                  <c:v>45.880001</c:v>
                </c:pt>
                <c:pt idx="271">
                  <c:v>46.389999000000003</c:v>
                </c:pt>
                <c:pt idx="272">
                  <c:v>46.889999000000003</c:v>
                </c:pt>
                <c:pt idx="273">
                  <c:v>46.209999000000003</c:v>
                </c:pt>
                <c:pt idx="274">
                  <c:v>45.950001</c:v>
                </c:pt>
                <c:pt idx="275">
                  <c:v>44.59</c:v>
                </c:pt>
                <c:pt idx="276">
                  <c:v>44.740001999999997</c:v>
                </c:pt>
                <c:pt idx="277">
                  <c:v>43.900002000000001</c:v>
                </c:pt>
                <c:pt idx="278">
                  <c:v>42.099997999999999</c:v>
                </c:pt>
                <c:pt idx="279">
                  <c:v>43.540000999999997</c:v>
                </c:pt>
                <c:pt idx="280">
                  <c:v>43.330002</c:v>
                </c:pt>
                <c:pt idx="281">
                  <c:v>44.419998</c:v>
                </c:pt>
                <c:pt idx="282">
                  <c:v>44.009998000000003</c:v>
                </c:pt>
                <c:pt idx="283">
                  <c:v>43.25</c:v>
                </c:pt>
                <c:pt idx="284">
                  <c:v>42.700001</c:v>
                </c:pt>
                <c:pt idx="285">
                  <c:v>42.389999000000003</c:v>
                </c:pt>
                <c:pt idx="286">
                  <c:v>42.349997999999999</c:v>
                </c:pt>
                <c:pt idx="287">
                  <c:v>40.909999999999997</c:v>
                </c:pt>
                <c:pt idx="288">
                  <c:v>41.209999000000003</c:v>
                </c:pt>
                <c:pt idx="289">
                  <c:v>40.25</c:v>
                </c:pt>
                <c:pt idx="290">
                  <c:v>41.450001</c:v>
                </c:pt>
                <c:pt idx="291">
                  <c:v>40.98</c:v>
                </c:pt>
                <c:pt idx="292">
                  <c:v>41.759998000000003</c:v>
                </c:pt>
                <c:pt idx="293">
                  <c:v>41.240001999999997</c:v>
                </c:pt>
                <c:pt idx="294">
                  <c:v>41.900002000000001</c:v>
                </c:pt>
                <c:pt idx="295">
                  <c:v>41.209999000000003</c:v>
                </c:pt>
                <c:pt idx="296">
                  <c:v>40.830002</c:v>
                </c:pt>
                <c:pt idx="297">
                  <c:v>40.169998</c:v>
                </c:pt>
                <c:pt idx="298">
                  <c:v>40.700001</c:v>
                </c:pt>
                <c:pt idx="299">
                  <c:v>40.290000999999997</c:v>
                </c:pt>
                <c:pt idx="300">
                  <c:v>41.099997999999999</c:v>
                </c:pt>
                <c:pt idx="301">
                  <c:v>42.900002000000001</c:v>
                </c:pt>
                <c:pt idx="302">
                  <c:v>43.200001</c:v>
                </c:pt>
                <c:pt idx="303">
                  <c:v>40.840000000000003</c:v>
                </c:pt>
                <c:pt idx="304">
                  <c:v>40</c:v>
                </c:pt>
                <c:pt idx="305">
                  <c:v>41.02</c:v>
                </c:pt>
                <c:pt idx="306">
                  <c:v>38.25</c:v>
                </c:pt>
                <c:pt idx="307">
                  <c:v>37.610000999999997</c:v>
                </c:pt>
                <c:pt idx="308">
                  <c:v>38.479999999999997</c:v>
                </c:pt>
                <c:pt idx="309">
                  <c:v>37.32</c:v>
                </c:pt>
                <c:pt idx="310">
                  <c:v>39.099997999999999</c:v>
                </c:pt>
                <c:pt idx="311">
                  <c:v>36.880001</c:v>
                </c:pt>
                <c:pt idx="312">
                  <c:v>36.700001</c:v>
                </c:pt>
                <c:pt idx="313">
                  <c:v>36.189999</c:v>
                </c:pt>
                <c:pt idx="314">
                  <c:v>36.290000999999997</c:v>
                </c:pt>
                <c:pt idx="315">
                  <c:v>35.299999</c:v>
                </c:pt>
                <c:pt idx="316">
                  <c:v>35.07</c:v>
                </c:pt>
                <c:pt idx="317">
                  <c:v>33.509998000000003</c:v>
                </c:pt>
                <c:pt idx="318">
                  <c:v>30.200001</c:v>
                </c:pt>
                <c:pt idx="319">
                  <c:v>29.290001</c:v>
                </c:pt>
                <c:pt idx="320">
                  <c:v>27.309999000000001</c:v>
                </c:pt>
                <c:pt idx="321">
                  <c:v>27.51</c:v>
                </c:pt>
                <c:pt idx="322">
                  <c:v>28.1</c:v>
                </c:pt>
                <c:pt idx="323">
                  <c:v>29.65</c:v>
                </c:pt>
                <c:pt idx="324">
                  <c:v>29.77</c:v>
                </c:pt>
                <c:pt idx="325">
                  <c:v>32.5</c:v>
                </c:pt>
                <c:pt idx="326">
                  <c:v>33.630001</c:v>
                </c:pt>
                <c:pt idx="327">
                  <c:v>33.409999999999997</c:v>
                </c:pt>
                <c:pt idx="328">
                  <c:v>34.189999</c:v>
                </c:pt>
                <c:pt idx="329">
                  <c:v>36.150002000000001</c:v>
                </c:pt>
                <c:pt idx="330">
                  <c:v>35.200001</c:v>
                </c:pt>
                <c:pt idx="331">
                  <c:v>33.5</c:v>
                </c:pt>
                <c:pt idx="332">
                  <c:v>32.979999999999997</c:v>
                </c:pt>
                <c:pt idx="333">
                  <c:v>34.979999999999997</c:v>
                </c:pt>
                <c:pt idx="334">
                  <c:v>36.5</c:v>
                </c:pt>
                <c:pt idx="335">
                  <c:v>34</c:v>
                </c:pt>
                <c:pt idx="336">
                  <c:v>32.029998999999997</c:v>
                </c:pt>
                <c:pt idx="337">
                  <c:v>29.559999000000001</c:v>
                </c:pt>
                <c:pt idx="338">
                  <c:v>30.120000999999998</c:v>
                </c:pt>
                <c:pt idx="339">
                  <c:v>30.49</c:v>
                </c:pt>
                <c:pt idx="340">
                  <c:v>29.75</c:v>
                </c:pt>
                <c:pt idx="341">
                  <c:v>30.15</c:v>
                </c:pt>
                <c:pt idx="342">
                  <c:v>31.9</c:v>
                </c:pt>
                <c:pt idx="343">
                  <c:v>29.219999000000001</c:v>
                </c:pt>
                <c:pt idx="344">
                  <c:v>28</c:v>
                </c:pt>
                <c:pt idx="345">
                  <c:v>23.309999000000001</c:v>
                </c:pt>
                <c:pt idx="346">
                  <c:v>26.139999</c:v>
                </c:pt>
                <c:pt idx="347">
                  <c:v>23.700001</c:v>
                </c:pt>
                <c:pt idx="348">
                  <c:v>26.299999</c:v>
                </c:pt>
                <c:pt idx="349">
                  <c:v>28.700001</c:v>
                </c:pt>
                <c:pt idx="350">
                  <c:v>31.32</c:v>
                </c:pt>
                <c:pt idx="351">
                  <c:v>34.689999</c:v>
                </c:pt>
                <c:pt idx="352">
                  <c:v>34.470001000000003</c:v>
                </c:pt>
                <c:pt idx="353">
                  <c:v>27.18</c:v>
                </c:pt>
                <c:pt idx="354">
                  <c:v>24.1</c:v>
                </c:pt>
                <c:pt idx="355">
                  <c:v>27.549999</c:v>
                </c:pt>
                <c:pt idx="356">
                  <c:v>26.08</c:v>
                </c:pt>
                <c:pt idx="357">
                  <c:v>23.870000999999998</c:v>
                </c:pt>
                <c:pt idx="358">
                  <c:v>27.700001</c:v>
                </c:pt>
                <c:pt idx="359">
                  <c:v>27.5</c:v>
                </c:pt>
                <c:pt idx="360">
                  <c:v>36</c:v>
                </c:pt>
                <c:pt idx="361">
                  <c:v>33</c:v>
                </c:pt>
                <c:pt idx="362">
                  <c:v>38.959999000000003</c:v>
                </c:pt>
                <c:pt idx="363">
                  <c:v>41.950001</c:v>
                </c:pt>
                <c:pt idx="364">
                  <c:v>39.799999</c:v>
                </c:pt>
                <c:pt idx="365">
                  <c:v>45.049999</c:v>
                </c:pt>
                <c:pt idx="366">
                  <c:v>48.25</c:v>
                </c:pt>
                <c:pt idx="367">
                  <c:v>50.799999</c:v>
                </c:pt>
                <c:pt idx="368">
                  <c:v>49.66</c:v>
                </c:pt>
                <c:pt idx="369">
                  <c:v>49.849997999999999</c:v>
                </c:pt>
                <c:pt idx="370">
                  <c:v>49.540000999999997</c:v>
                </c:pt>
                <c:pt idx="371">
                  <c:v>49.349997999999999</c:v>
                </c:pt>
                <c:pt idx="372">
                  <c:v>54.400002000000001</c:v>
                </c:pt>
                <c:pt idx="373">
                  <c:v>54.720001000000003</c:v>
                </c:pt>
                <c:pt idx="374">
                  <c:v>55.049999</c:v>
                </c:pt>
                <c:pt idx="375">
                  <c:v>55.299999</c:v>
                </c:pt>
                <c:pt idx="376">
                  <c:v>55.23</c:v>
                </c:pt>
                <c:pt idx="377">
                  <c:v>55</c:v>
                </c:pt>
                <c:pt idx="378">
                  <c:v>55.02</c:v>
                </c:pt>
                <c:pt idx="379">
                  <c:v>55.48</c:v>
                </c:pt>
                <c:pt idx="380">
                  <c:v>54.099997999999999</c:v>
                </c:pt>
                <c:pt idx="381">
                  <c:v>52.32</c:v>
                </c:pt>
                <c:pt idx="382">
                  <c:v>52.93</c:v>
                </c:pt>
                <c:pt idx="383">
                  <c:v>53.84</c:v>
                </c:pt>
                <c:pt idx="384">
                  <c:v>55.52</c:v>
                </c:pt>
                <c:pt idx="385">
                  <c:v>55</c:v>
                </c:pt>
                <c:pt idx="386">
                  <c:v>54.459999000000003</c:v>
                </c:pt>
                <c:pt idx="387">
                  <c:v>53.630001</c:v>
                </c:pt>
                <c:pt idx="388">
                  <c:v>53.830002</c:v>
                </c:pt>
                <c:pt idx="389">
                  <c:v>54.25</c:v>
                </c:pt>
                <c:pt idx="390">
                  <c:v>52.900002000000001</c:v>
                </c:pt>
                <c:pt idx="391">
                  <c:v>51.439999</c:v>
                </c:pt>
                <c:pt idx="392">
                  <c:v>51.41</c:v>
                </c:pt>
                <c:pt idx="393">
                  <c:v>51.740001999999997</c:v>
                </c:pt>
                <c:pt idx="394">
                  <c:v>49.830002</c:v>
                </c:pt>
                <c:pt idx="395">
                  <c:v>49.200001</c:v>
                </c:pt>
                <c:pt idx="396">
                  <c:v>49.599997999999999</c:v>
                </c:pt>
                <c:pt idx="397">
                  <c:v>49.490001999999997</c:v>
                </c:pt>
                <c:pt idx="398">
                  <c:v>49.150002000000001</c:v>
                </c:pt>
                <c:pt idx="399">
                  <c:v>48.209999000000003</c:v>
                </c:pt>
                <c:pt idx="400">
                  <c:v>48.200001</c:v>
                </c:pt>
                <c:pt idx="401">
                  <c:v>48</c:v>
                </c:pt>
                <c:pt idx="402">
                  <c:v>47.849997999999999</c:v>
                </c:pt>
                <c:pt idx="403">
                  <c:v>48.82</c:v>
                </c:pt>
                <c:pt idx="404">
                  <c:v>48.560001</c:v>
                </c:pt>
                <c:pt idx="405">
                  <c:v>48.799999</c:v>
                </c:pt>
                <c:pt idx="406">
                  <c:v>48.330002</c:v>
                </c:pt>
                <c:pt idx="407">
                  <c:v>48.900002000000001</c:v>
                </c:pt>
                <c:pt idx="408">
                  <c:v>49.619999</c:v>
                </c:pt>
                <c:pt idx="409">
                  <c:v>47.41</c:v>
                </c:pt>
                <c:pt idx="410">
                  <c:v>47.959999000000003</c:v>
                </c:pt>
                <c:pt idx="411">
                  <c:v>48.259998000000003</c:v>
                </c:pt>
                <c:pt idx="412">
                  <c:v>46.799999</c:v>
                </c:pt>
                <c:pt idx="413">
                  <c:v>45.542858000000003</c:v>
                </c:pt>
                <c:pt idx="414">
                  <c:v>46.571426000000002</c:v>
                </c:pt>
                <c:pt idx="415">
                  <c:v>46.028571999999997</c:v>
                </c:pt>
                <c:pt idx="416">
                  <c:v>45.047618999999997</c:v>
                </c:pt>
                <c:pt idx="417">
                  <c:v>45.238093999999997</c:v>
                </c:pt>
                <c:pt idx="418">
                  <c:v>44.599997999999999</c:v>
                </c:pt>
                <c:pt idx="419">
                  <c:v>44.552379999999999</c:v>
                </c:pt>
                <c:pt idx="420">
                  <c:v>43.438094999999997</c:v>
                </c:pt>
                <c:pt idx="421">
                  <c:v>42.333331999999999</c:v>
                </c:pt>
                <c:pt idx="422">
                  <c:v>42.990475000000004</c:v>
                </c:pt>
                <c:pt idx="423">
                  <c:v>43.523808000000002</c:v>
                </c:pt>
                <c:pt idx="424">
                  <c:v>42.895237000000002</c:v>
                </c:pt>
                <c:pt idx="425">
                  <c:v>42.285713000000001</c:v>
                </c:pt>
                <c:pt idx="426">
                  <c:v>42.704762000000002</c:v>
                </c:pt>
                <c:pt idx="427">
                  <c:v>42.438094999999997</c:v>
                </c:pt>
                <c:pt idx="428">
                  <c:v>42.895237000000002</c:v>
                </c:pt>
                <c:pt idx="429">
                  <c:v>42.619045</c:v>
                </c:pt>
                <c:pt idx="430">
                  <c:v>41.209522</c:v>
                </c:pt>
                <c:pt idx="431">
                  <c:v>41.447620000000001</c:v>
                </c:pt>
                <c:pt idx="432">
                  <c:v>41.961903</c:v>
                </c:pt>
                <c:pt idx="433">
                  <c:v>42.161903000000002</c:v>
                </c:pt>
                <c:pt idx="434">
                  <c:v>41.257140999999997</c:v>
                </c:pt>
                <c:pt idx="435">
                  <c:v>39.066665999999998</c:v>
                </c:pt>
                <c:pt idx="436">
                  <c:v>39.190474999999999</c:v>
                </c:pt>
                <c:pt idx="437">
                  <c:v>39.761906000000003</c:v>
                </c:pt>
                <c:pt idx="438">
                  <c:v>39.200001</c:v>
                </c:pt>
                <c:pt idx="439">
                  <c:v>39.323810999999999</c:v>
                </c:pt>
                <c:pt idx="440">
                  <c:v>40.123809999999999</c:v>
                </c:pt>
                <c:pt idx="441">
                  <c:v>39.571426000000002</c:v>
                </c:pt>
                <c:pt idx="442">
                  <c:v>40.333331999999999</c:v>
                </c:pt>
                <c:pt idx="443">
                  <c:v>40.180950000000003</c:v>
                </c:pt>
                <c:pt idx="444">
                  <c:v>40.171429000000003</c:v>
                </c:pt>
                <c:pt idx="445">
                  <c:v>40.238093999999997</c:v>
                </c:pt>
                <c:pt idx="446">
                  <c:v>41.238093999999997</c:v>
                </c:pt>
                <c:pt idx="447">
                  <c:v>41.123809999999999</c:v>
                </c:pt>
                <c:pt idx="448">
                  <c:v>40.885714999999998</c:v>
                </c:pt>
                <c:pt idx="449">
                  <c:v>39.457141999999997</c:v>
                </c:pt>
                <c:pt idx="450">
                  <c:v>39.457141999999997</c:v>
                </c:pt>
                <c:pt idx="451">
                  <c:v>39.780951999999999</c:v>
                </c:pt>
                <c:pt idx="452">
                  <c:v>39.657142999999998</c:v>
                </c:pt>
                <c:pt idx="453">
                  <c:v>42.266666000000001</c:v>
                </c:pt>
                <c:pt idx="454">
                  <c:v>42.561905000000003</c:v>
                </c:pt>
                <c:pt idx="455">
                  <c:v>42.476188999999998</c:v>
                </c:pt>
                <c:pt idx="456">
                  <c:v>42.790478</c:v>
                </c:pt>
                <c:pt idx="457">
                  <c:v>42.133330999999998</c:v>
                </c:pt>
                <c:pt idx="458">
                  <c:v>42.180950000000003</c:v>
                </c:pt>
                <c:pt idx="459">
                  <c:v>42.771427000000003</c:v>
                </c:pt>
                <c:pt idx="460">
                  <c:v>41.961903</c:v>
                </c:pt>
                <c:pt idx="461">
                  <c:v>41.238093999999997</c:v>
                </c:pt>
                <c:pt idx="462">
                  <c:v>40.066665999999998</c:v>
                </c:pt>
                <c:pt idx="463">
                  <c:v>41.028571999999997</c:v>
                </c:pt>
                <c:pt idx="464">
                  <c:v>40.904761999999998</c:v>
                </c:pt>
                <c:pt idx="465">
                  <c:v>41.142856999999999</c:v>
                </c:pt>
                <c:pt idx="466">
                  <c:v>41.761906000000003</c:v>
                </c:pt>
                <c:pt idx="467">
                  <c:v>41.085712000000001</c:v>
                </c:pt>
                <c:pt idx="468">
                  <c:v>40.666663999999997</c:v>
                </c:pt>
                <c:pt idx="469">
                  <c:v>42.295237999999998</c:v>
                </c:pt>
                <c:pt idx="470">
                  <c:v>43.295237999999998</c:v>
                </c:pt>
                <c:pt idx="471">
                  <c:v>42.057139999999997</c:v>
                </c:pt>
                <c:pt idx="472">
                  <c:v>42.257140999999997</c:v>
                </c:pt>
                <c:pt idx="473">
                  <c:v>42.514285999999998</c:v>
                </c:pt>
                <c:pt idx="474">
                  <c:v>41.523808000000002</c:v>
                </c:pt>
                <c:pt idx="475">
                  <c:v>42.323810999999999</c:v>
                </c:pt>
                <c:pt idx="476">
                  <c:v>43.780951999999999</c:v>
                </c:pt>
                <c:pt idx="477">
                  <c:v>43.685715000000002</c:v>
                </c:pt>
                <c:pt idx="478">
                  <c:v>42.980953</c:v>
                </c:pt>
                <c:pt idx="479">
                  <c:v>42.380951000000003</c:v>
                </c:pt>
                <c:pt idx="480">
                  <c:v>42.133330999999998</c:v>
                </c:pt>
                <c:pt idx="481">
                  <c:v>41.904761999999998</c:v>
                </c:pt>
                <c:pt idx="482">
                  <c:v>43.285713000000001</c:v>
                </c:pt>
                <c:pt idx="483">
                  <c:v>43.476188999999998</c:v>
                </c:pt>
                <c:pt idx="484">
                  <c:v>42.752380000000002</c:v>
                </c:pt>
                <c:pt idx="485">
                  <c:v>43.352378999999999</c:v>
                </c:pt>
                <c:pt idx="486">
                  <c:v>44.599997999999999</c:v>
                </c:pt>
                <c:pt idx="487">
                  <c:v>45</c:v>
                </c:pt>
                <c:pt idx="488">
                  <c:v>44.933334000000002</c:v>
                </c:pt>
                <c:pt idx="489">
                  <c:v>44.342857000000002</c:v>
                </c:pt>
                <c:pt idx="490">
                  <c:v>44.666663999999997</c:v>
                </c:pt>
                <c:pt idx="491">
                  <c:v>44.799999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B5-AE49-B97D-1C9180F02193}"/>
            </c:ext>
          </c:extLst>
        </c:ser>
        <c:ser>
          <c:idx val="4"/>
          <c:order val="4"/>
          <c:tx>
            <c:strRef>
              <c:f>'Retornos da Carteira de Ações'!$F$5</c:f>
              <c:strCache>
                <c:ptCount val="1"/>
                <c:pt idx="0">
                  <c:v>Lojas Americanas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Ações'!$F$6:$F$497</c:f>
              <c:numCache>
                <c:formatCode>#,##0.00</c:formatCode>
                <c:ptCount val="492"/>
                <c:pt idx="0">
                  <c:v>5.95</c:v>
                </c:pt>
                <c:pt idx="1">
                  <c:v>5.95</c:v>
                </c:pt>
                <c:pt idx="2">
                  <c:v>5.81</c:v>
                </c:pt>
                <c:pt idx="3">
                  <c:v>5.87</c:v>
                </c:pt>
                <c:pt idx="4">
                  <c:v>5.25</c:v>
                </c:pt>
                <c:pt idx="5">
                  <c:v>5.59</c:v>
                </c:pt>
                <c:pt idx="6">
                  <c:v>5.61</c:v>
                </c:pt>
                <c:pt idx="7">
                  <c:v>5.41</c:v>
                </c:pt>
                <c:pt idx="8">
                  <c:v>5.41</c:v>
                </c:pt>
                <c:pt idx="9">
                  <c:v>5.63</c:v>
                </c:pt>
                <c:pt idx="10">
                  <c:v>5.97</c:v>
                </c:pt>
                <c:pt idx="11">
                  <c:v>6.57</c:v>
                </c:pt>
                <c:pt idx="12">
                  <c:v>6.45</c:v>
                </c:pt>
                <c:pt idx="13">
                  <c:v>6.42</c:v>
                </c:pt>
                <c:pt idx="14">
                  <c:v>6.6</c:v>
                </c:pt>
                <c:pt idx="15">
                  <c:v>6.72</c:v>
                </c:pt>
                <c:pt idx="16">
                  <c:v>6.72</c:v>
                </c:pt>
                <c:pt idx="17">
                  <c:v>6.84</c:v>
                </c:pt>
                <c:pt idx="18">
                  <c:v>7.03</c:v>
                </c:pt>
                <c:pt idx="19">
                  <c:v>7.27</c:v>
                </c:pt>
                <c:pt idx="20">
                  <c:v>7.09</c:v>
                </c:pt>
                <c:pt idx="21">
                  <c:v>7.4</c:v>
                </c:pt>
                <c:pt idx="22">
                  <c:v>7.47</c:v>
                </c:pt>
                <c:pt idx="23">
                  <c:v>7.46</c:v>
                </c:pt>
                <c:pt idx="24">
                  <c:v>7.62</c:v>
                </c:pt>
                <c:pt idx="25">
                  <c:v>7.82</c:v>
                </c:pt>
                <c:pt idx="26">
                  <c:v>7.84</c:v>
                </c:pt>
                <c:pt idx="27">
                  <c:v>7.9</c:v>
                </c:pt>
                <c:pt idx="28">
                  <c:v>8.33</c:v>
                </c:pt>
                <c:pt idx="29">
                  <c:v>7.9</c:v>
                </c:pt>
                <c:pt idx="30">
                  <c:v>8.6599989999999991</c:v>
                </c:pt>
                <c:pt idx="31">
                  <c:v>8.531549</c:v>
                </c:pt>
                <c:pt idx="32">
                  <c:v>8.7470140000000001</c:v>
                </c:pt>
                <c:pt idx="33">
                  <c:v>8.8464589999999994</c:v>
                </c:pt>
                <c:pt idx="34">
                  <c:v>8.6682860000000002</c:v>
                </c:pt>
                <c:pt idx="35">
                  <c:v>8.5232620000000008</c:v>
                </c:pt>
                <c:pt idx="36">
                  <c:v>8.5812720000000002</c:v>
                </c:pt>
                <c:pt idx="37">
                  <c:v>8.4942580000000003</c:v>
                </c:pt>
                <c:pt idx="38">
                  <c:v>21.110001</c:v>
                </c:pt>
                <c:pt idx="39">
                  <c:v>21.370000999999998</c:v>
                </c:pt>
                <c:pt idx="40">
                  <c:v>21.09</c:v>
                </c:pt>
                <c:pt idx="41">
                  <c:v>21.58</c:v>
                </c:pt>
                <c:pt idx="42">
                  <c:v>22.219999000000001</c:v>
                </c:pt>
                <c:pt idx="43">
                  <c:v>22.35</c:v>
                </c:pt>
                <c:pt idx="44">
                  <c:v>21.940000999999999</c:v>
                </c:pt>
                <c:pt idx="45">
                  <c:v>22.379999000000002</c:v>
                </c:pt>
                <c:pt idx="46">
                  <c:v>21.42</c:v>
                </c:pt>
                <c:pt idx="47">
                  <c:v>21.76</c:v>
                </c:pt>
                <c:pt idx="48">
                  <c:v>22.1</c:v>
                </c:pt>
                <c:pt idx="49">
                  <c:v>21.75</c:v>
                </c:pt>
                <c:pt idx="50">
                  <c:v>22.139999</c:v>
                </c:pt>
                <c:pt idx="51">
                  <c:v>22.280000999999999</c:v>
                </c:pt>
                <c:pt idx="52">
                  <c:v>22.74</c:v>
                </c:pt>
                <c:pt idx="53">
                  <c:v>22.67</c:v>
                </c:pt>
                <c:pt idx="54">
                  <c:v>22.360001</c:v>
                </c:pt>
                <c:pt idx="55">
                  <c:v>22.530000999999999</c:v>
                </c:pt>
                <c:pt idx="56">
                  <c:v>22.299999</c:v>
                </c:pt>
                <c:pt idx="57">
                  <c:v>22.18</c:v>
                </c:pt>
                <c:pt idx="58">
                  <c:v>21.809999000000001</c:v>
                </c:pt>
                <c:pt idx="59">
                  <c:v>21.15</c:v>
                </c:pt>
                <c:pt idx="60">
                  <c:v>21.32</c:v>
                </c:pt>
                <c:pt idx="61">
                  <c:v>21.4</c:v>
                </c:pt>
                <c:pt idx="62">
                  <c:v>19.889999</c:v>
                </c:pt>
                <c:pt idx="63">
                  <c:v>20.049999</c:v>
                </c:pt>
                <c:pt idx="64">
                  <c:v>19.379999000000002</c:v>
                </c:pt>
                <c:pt idx="65">
                  <c:v>19.299999</c:v>
                </c:pt>
                <c:pt idx="66">
                  <c:v>19.700001</c:v>
                </c:pt>
                <c:pt idx="67">
                  <c:v>19.48</c:v>
                </c:pt>
                <c:pt idx="68">
                  <c:v>18.459999</c:v>
                </c:pt>
                <c:pt idx="69">
                  <c:v>18.82</c:v>
                </c:pt>
                <c:pt idx="70">
                  <c:v>19.059999000000001</c:v>
                </c:pt>
                <c:pt idx="71">
                  <c:v>19.52</c:v>
                </c:pt>
                <c:pt idx="72">
                  <c:v>19.540001</c:v>
                </c:pt>
                <c:pt idx="73">
                  <c:v>19.440000999999999</c:v>
                </c:pt>
                <c:pt idx="74">
                  <c:v>19.43</c:v>
                </c:pt>
                <c:pt idx="75">
                  <c:v>19.34</c:v>
                </c:pt>
                <c:pt idx="76">
                  <c:v>19.600000000000001</c:v>
                </c:pt>
                <c:pt idx="77">
                  <c:v>19.690000999999999</c:v>
                </c:pt>
                <c:pt idx="78">
                  <c:v>20.5</c:v>
                </c:pt>
                <c:pt idx="79">
                  <c:v>20.450001</c:v>
                </c:pt>
                <c:pt idx="80">
                  <c:v>20.91</c:v>
                </c:pt>
                <c:pt idx="81">
                  <c:v>21</c:v>
                </c:pt>
                <c:pt idx="82">
                  <c:v>20.950001</c:v>
                </c:pt>
                <c:pt idx="83">
                  <c:v>20.860001</c:v>
                </c:pt>
                <c:pt idx="84">
                  <c:v>21.459999</c:v>
                </c:pt>
                <c:pt idx="85">
                  <c:v>22.629999000000002</c:v>
                </c:pt>
                <c:pt idx="86">
                  <c:v>21.83</c:v>
                </c:pt>
                <c:pt idx="87">
                  <c:v>22.35</c:v>
                </c:pt>
                <c:pt idx="88">
                  <c:v>22.799999</c:v>
                </c:pt>
                <c:pt idx="89">
                  <c:v>22.120000999999998</c:v>
                </c:pt>
                <c:pt idx="90">
                  <c:v>22.85</c:v>
                </c:pt>
                <c:pt idx="91">
                  <c:v>23.35</c:v>
                </c:pt>
                <c:pt idx="92">
                  <c:v>23.6</c:v>
                </c:pt>
                <c:pt idx="93">
                  <c:v>23.26</c:v>
                </c:pt>
                <c:pt idx="94">
                  <c:v>23.309999000000001</c:v>
                </c:pt>
                <c:pt idx="95">
                  <c:v>24.07</c:v>
                </c:pt>
                <c:pt idx="96">
                  <c:v>22.02</c:v>
                </c:pt>
                <c:pt idx="97">
                  <c:v>21.91</c:v>
                </c:pt>
                <c:pt idx="98">
                  <c:v>22.389999</c:v>
                </c:pt>
                <c:pt idx="99">
                  <c:v>22.190000999999999</c:v>
                </c:pt>
                <c:pt idx="100">
                  <c:v>22.700001</c:v>
                </c:pt>
                <c:pt idx="101">
                  <c:v>22.84</c:v>
                </c:pt>
                <c:pt idx="102">
                  <c:v>22.4</c:v>
                </c:pt>
                <c:pt idx="103">
                  <c:v>22.360001</c:v>
                </c:pt>
                <c:pt idx="104">
                  <c:v>22.5</c:v>
                </c:pt>
                <c:pt idx="105">
                  <c:v>21.65</c:v>
                </c:pt>
                <c:pt idx="106">
                  <c:v>21.6</c:v>
                </c:pt>
                <c:pt idx="107">
                  <c:v>21.76</c:v>
                </c:pt>
                <c:pt idx="108">
                  <c:v>21.440000999999999</c:v>
                </c:pt>
                <c:pt idx="109">
                  <c:v>21.99</c:v>
                </c:pt>
                <c:pt idx="110">
                  <c:v>22.209999</c:v>
                </c:pt>
                <c:pt idx="111">
                  <c:v>22.139999</c:v>
                </c:pt>
                <c:pt idx="112">
                  <c:v>21.700001</c:v>
                </c:pt>
                <c:pt idx="113">
                  <c:v>22.65</c:v>
                </c:pt>
                <c:pt idx="114">
                  <c:v>22.360001</c:v>
                </c:pt>
                <c:pt idx="115">
                  <c:v>22.190000999999999</c:v>
                </c:pt>
                <c:pt idx="116">
                  <c:v>21.67</c:v>
                </c:pt>
                <c:pt idx="117">
                  <c:v>22.469999000000001</c:v>
                </c:pt>
                <c:pt idx="118">
                  <c:v>21.969999000000001</c:v>
                </c:pt>
                <c:pt idx="119">
                  <c:v>21</c:v>
                </c:pt>
                <c:pt idx="120">
                  <c:v>22.27</c:v>
                </c:pt>
                <c:pt idx="121">
                  <c:v>23.92</c:v>
                </c:pt>
                <c:pt idx="122">
                  <c:v>24.559999000000001</c:v>
                </c:pt>
                <c:pt idx="123">
                  <c:v>23.91</c:v>
                </c:pt>
                <c:pt idx="124">
                  <c:v>24.25</c:v>
                </c:pt>
                <c:pt idx="125">
                  <c:v>24.68</c:v>
                </c:pt>
                <c:pt idx="126">
                  <c:v>24.91</c:v>
                </c:pt>
                <c:pt idx="127">
                  <c:v>26.01</c:v>
                </c:pt>
                <c:pt idx="128">
                  <c:v>26.6</c:v>
                </c:pt>
                <c:pt idx="129">
                  <c:v>27.23</c:v>
                </c:pt>
                <c:pt idx="130">
                  <c:v>28.950001</c:v>
                </c:pt>
                <c:pt idx="131">
                  <c:v>24.15</c:v>
                </c:pt>
                <c:pt idx="132">
                  <c:v>23.82</c:v>
                </c:pt>
                <c:pt idx="133">
                  <c:v>24.610001</c:v>
                </c:pt>
                <c:pt idx="134">
                  <c:v>24.299999</c:v>
                </c:pt>
                <c:pt idx="135">
                  <c:v>23.82</c:v>
                </c:pt>
                <c:pt idx="136">
                  <c:v>24.27</c:v>
                </c:pt>
                <c:pt idx="137">
                  <c:v>24.52</c:v>
                </c:pt>
                <c:pt idx="138">
                  <c:v>24.799999</c:v>
                </c:pt>
                <c:pt idx="139">
                  <c:v>24.809999000000001</c:v>
                </c:pt>
                <c:pt idx="140">
                  <c:v>25.25</c:v>
                </c:pt>
                <c:pt idx="141">
                  <c:v>25.25</c:v>
                </c:pt>
                <c:pt idx="142">
                  <c:v>23.93</c:v>
                </c:pt>
                <c:pt idx="143">
                  <c:v>24.09</c:v>
                </c:pt>
                <c:pt idx="144">
                  <c:v>24.85</c:v>
                </c:pt>
                <c:pt idx="145">
                  <c:v>24.450001</c:v>
                </c:pt>
                <c:pt idx="146">
                  <c:v>24.35</c:v>
                </c:pt>
                <c:pt idx="147">
                  <c:v>24.77</c:v>
                </c:pt>
                <c:pt idx="148">
                  <c:v>25.290001</c:v>
                </c:pt>
                <c:pt idx="149">
                  <c:v>25.65</c:v>
                </c:pt>
                <c:pt idx="150">
                  <c:v>24.65</c:v>
                </c:pt>
                <c:pt idx="151">
                  <c:v>24.370000999999998</c:v>
                </c:pt>
                <c:pt idx="152">
                  <c:v>24.299999</c:v>
                </c:pt>
                <c:pt idx="153">
                  <c:v>23.98</c:v>
                </c:pt>
                <c:pt idx="154">
                  <c:v>23.6</c:v>
                </c:pt>
                <c:pt idx="155">
                  <c:v>23.66</c:v>
                </c:pt>
                <c:pt idx="156">
                  <c:v>23.379999000000002</c:v>
                </c:pt>
                <c:pt idx="157">
                  <c:v>23.84</c:v>
                </c:pt>
                <c:pt idx="158">
                  <c:v>23.18</c:v>
                </c:pt>
                <c:pt idx="159">
                  <c:v>23.469999000000001</c:v>
                </c:pt>
                <c:pt idx="160">
                  <c:v>24.93</c:v>
                </c:pt>
                <c:pt idx="161">
                  <c:v>25.442855999999999</c:v>
                </c:pt>
                <c:pt idx="162">
                  <c:v>26.231085</c:v>
                </c:pt>
                <c:pt idx="163">
                  <c:v>26.151264000000001</c:v>
                </c:pt>
                <c:pt idx="164">
                  <c:v>26.0016</c:v>
                </c:pt>
                <c:pt idx="165">
                  <c:v>25.103617</c:v>
                </c:pt>
                <c:pt idx="166">
                  <c:v>24.824244</c:v>
                </c:pt>
                <c:pt idx="167">
                  <c:v>24.874131999999999</c:v>
                </c:pt>
                <c:pt idx="168">
                  <c:v>25.472788000000001</c:v>
                </c:pt>
                <c:pt idx="169">
                  <c:v>26.141286999999998</c:v>
                </c:pt>
                <c:pt idx="170">
                  <c:v>25.562586</c:v>
                </c:pt>
                <c:pt idx="171">
                  <c:v>25.213369</c:v>
                </c:pt>
                <c:pt idx="172">
                  <c:v>23.457314</c:v>
                </c:pt>
                <c:pt idx="173">
                  <c:v>23.557091</c:v>
                </c:pt>
                <c:pt idx="174">
                  <c:v>24.924021</c:v>
                </c:pt>
                <c:pt idx="175">
                  <c:v>24.285454000000001</c:v>
                </c:pt>
                <c:pt idx="176">
                  <c:v>25.382989999999999</c:v>
                </c:pt>
                <c:pt idx="177">
                  <c:v>25.382989999999999</c:v>
                </c:pt>
                <c:pt idx="178">
                  <c:v>25.253281000000001</c:v>
                </c:pt>
                <c:pt idx="179">
                  <c:v>23.597000000000001</c:v>
                </c:pt>
                <c:pt idx="180">
                  <c:v>22.968412000000001</c:v>
                </c:pt>
                <c:pt idx="181">
                  <c:v>22.938479999999998</c:v>
                </c:pt>
                <c:pt idx="182">
                  <c:v>22.878613999999999</c:v>
                </c:pt>
                <c:pt idx="183">
                  <c:v>23.587022999999999</c:v>
                </c:pt>
                <c:pt idx="184">
                  <c:v>23.646889000000002</c:v>
                </c:pt>
                <c:pt idx="185">
                  <c:v>23.597000000000001</c:v>
                </c:pt>
                <c:pt idx="186">
                  <c:v>23.656866000000001</c:v>
                </c:pt>
                <c:pt idx="187">
                  <c:v>23.646889000000002</c:v>
                </c:pt>
                <c:pt idx="188">
                  <c:v>24.205632999999999</c:v>
                </c:pt>
                <c:pt idx="189">
                  <c:v>24.335342000000001</c:v>
                </c:pt>
                <c:pt idx="190">
                  <c:v>23.816507000000001</c:v>
                </c:pt>
                <c:pt idx="191">
                  <c:v>23.527159000000001</c:v>
                </c:pt>
                <c:pt idx="192">
                  <c:v>23.996103000000002</c:v>
                </c:pt>
                <c:pt idx="193">
                  <c:v>23.876373000000001</c:v>
                </c:pt>
                <c:pt idx="194">
                  <c:v>24.365273999999999</c:v>
                </c:pt>
                <c:pt idx="195">
                  <c:v>25.053728</c:v>
                </c:pt>
                <c:pt idx="196">
                  <c:v>25.213369</c:v>
                </c:pt>
                <c:pt idx="197">
                  <c:v>24.963930000000001</c:v>
                </c:pt>
                <c:pt idx="198">
                  <c:v>25.203393999999999</c:v>
                </c:pt>
                <c:pt idx="199">
                  <c:v>24.894086999999999</c:v>
                </c:pt>
                <c:pt idx="200">
                  <c:v>23.716732</c:v>
                </c:pt>
                <c:pt idx="201">
                  <c:v>23.177942000000002</c:v>
                </c:pt>
                <c:pt idx="202">
                  <c:v>24.63467</c:v>
                </c:pt>
                <c:pt idx="203">
                  <c:v>24.664601999999999</c:v>
                </c:pt>
                <c:pt idx="204">
                  <c:v>25.792069999999999</c:v>
                </c:pt>
                <c:pt idx="205">
                  <c:v>26.071444</c:v>
                </c:pt>
                <c:pt idx="206">
                  <c:v>25.831982</c:v>
                </c:pt>
                <c:pt idx="207">
                  <c:v>25.961690999999998</c:v>
                </c:pt>
                <c:pt idx="208">
                  <c:v>26.520434999999999</c:v>
                </c:pt>
                <c:pt idx="209">
                  <c:v>27.338595999999999</c:v>
                </c:pt>
                <c:pt idx="210">
                  <c:v>27.438374</c:v>
                </c:pt>
                <c:pt idx="211">
                  <c:v>27.298687000000001</c:v>
                </c:pt>
                <c:pt idx="212">
                  <c:v>27.757656000000001</c:v>
                </c:pt>
                <c:pt idx="213">
                  <c:v>27.188932000000001</c:v>
                </c:pt>
                <c:pt idx="214">
                  <c:v>27.737701000000001</c:v>
                </c:pt>
                <c:pt idx="215">
                  <c:v>27.139046</c:v>
                </c:pt>
                <c:pt idx="216">
                  <c:v>27.637924000000002</c:v>
                </c:pt>
                <c:pt idx="217">
                  <c:v>27.667856</c:v>
                </c:pt>
                <c:pt idx="218">
                  <c:v>28.476042</c:v>
                </c:pt>
                <c:pt idx="219">
                  <c:v>28.396221000000001</c:v>
                </c:pt>
                <c:pt idx="220">
                  <c:v>28.525929999999999</c:v>
                </c:pt>
                <c:pt idx="221">
                  <c:v>29.264272999999999</c:v>
                </c:pt>
                <c:pt idx="222">
                  <c:v>28.326377999999998</c:v>
                </c:pt>
                <c:pt idx="223">
                  <c:v>28.306422999999999</c:v>
                </c:pt>
                <c:pt idx="224">
                  <c:v>27.737701000000001</c:v>
                </c:pt>
                <c:pt idx="225">
                  <c:v>28.974921999999999</c:v>
                </c:pt>
                <c:pt idx="226">
                  <c:v>28.815280999999999</c:v>
                </c:pt>
                <c:pt idx="227">
                  <c:v>28.805304</c:v>
                </c:pt>
                <c:pt idx="228">
                  <c:v>29.074697</c:v>
                </c:pt>
                <c:pt idx="229">
                  <c:v>29.423912000000001</c:v>
                </c:pt>
                <c:pt idx="230">
                  <c:v>29.334114</c:v>
                </c:pt>
                <c:pt idx="231">
                  <c:v>30.042524</c:v>
                </c:pt>
                <c:pt idx="232">
                  <c:v>30.810798999999999</c:v>
                </c:pt>
                <c:pt idx="233">
                  <c:v>31.189947</c:v>
                </c:pt>
                <c:pt idx="234">
                  <c:v>31.080193000000001</c:v>
                </c:pt>
                <c:pt idx="235">
                  <c:v>29.423912000000001</c:v>
                </c:pt>
                <c:pt idx="236">
                  <c:v>30.082433999999999</c:v>
                </c:pt>
                <c:pt idx="237">
                  <c:v>30.840731000000002</c:v>
                </c:pt>
                <c:pt idx="238">
                  <c:v>30.900597000000001</c:v>
                </c:pt>
                <c:pt idx="239">
                  <c:v>30.770886999999998</c:v>
                </c:pt>
                <c:pt idx="240">
                  <c:v>30.790842000000001</c:v>
                </c:pt>
                <c:pt idx="241">
                  <c:v>32.487034000000001</c:v>
                </c:pt>
                <c:pt idx="242">
                  <c:v>32.926048000000002</c:v>
                </c:pt>
                <c:pt idx="243">
                  <c:v>32.197685</c:v>
                </c:pt>
                <c:pt idx="244">
                  <c:v>33.135578000000002</c:v>
                </c:pt>
                <c:pt idx="245">
                  <c:v>32.287483000000002</c:v>
                </c:pt>
                <c:pt idx="246">
                  <c:v>32.048018999999996</c:v>
                </c:pt>
                <c:pt idx="247">
                  <c:v>32.926048000000002</c:v>
                </c:pt>
                <c:pt idx="248">
                  <c:v>32.726497999999999</c:v>
                </c:pt>
                <c:pt idx="249">
                  <c:v>32.946002999999997</c:v>
                </c:pt>
                <c:pt idx="250">
                  <c:v>32.906094000000003</c:v>
                </c:pt>
                <c:pt idx="251">
                  <c:v>32.676608999999999</c:v>
                </c:pt>
                <c:pt idx="252">
                  <c:v>33.604523</c:v>
                </c:pt>
                <c:pt idx="253">
                  <c:v>33.045780000000001</c:v>
                </c:pt>
                <c:pt idx="254">
                  <c:v>34.163269</c:v>
                </c:pt>
                <c:pt idx="255">
                  <c:v>35.220894000000001</c:v>
                </c:pt>
                <c:pt idx="256">
                  <c:v>35.061253000000001</c:v>
                </c:pt>
                <c:pt idx="257">
                  <c:v>34.592303999999999</c:v>
                </c:pt>
                <c:pt idx="258">
                  <c:v>33.903851000000003</c:v>
                </c:pt>
                <c:pt idx="259">
                  <c:v>34.412708000000002</c:v>
                </c:pt>
                <c:pt idx="260">
                  <c:v>34.472572</c:v>
                </c:pt>
                <c:pt idx="261">
                  <c:v>34.113379999999999</c:v>
                </c:pt>
                <c:pt idx="262">
                  <c:v>34.023581999999998</c:v>
                </c:pt>
                <c:pt idx="263">
                  <c:v>34.312935000000003</c:v>
                </c:pt>
                <c:pt idx="264">
                  <c:v>34.023581999999998</c:v>
                </c:pt>
                <c:pt idx="265">
                  <c:v>34.941521000000002</c:v>
                </c:pt>
                <c:pt idx="266">
                  <c:v>34.741970000000002</c:v>
                </c:pt>
                <c:pt idx="267">
                  <c:v>34.642192999999999</c:v>
                </c:pt>
                <c:pt idx="268">
                  <c:v>34.991408999999997</c:v>
                </c:pt>
                <c:pt idx="269">
                  <c:v>35.450378000000001</c:v>
                </c:pt>
                <c:pt idx="270">
                  <c:v>35.679862999999997</c:v>
                </c:pt>
                <c:pt idx="271">
                  <c:v>36.517978999999997</c:v>
                </c:pt>
                <c:pt idx="272">
                  <c:v>35.560130999999998</c:v>
                </c:pt>
                <c:pt idx="273">
                  <c:v>35.250827999999998</c:v>
                </c:pt>
                <c:pt idx="274">
                  <c:v>35.320667</c:v>
                </c:pt>
                <c:pt idx="275">
                  <c:v>34.642192999999999</c:v>
                </c:pt>
                <c:pt idx="276">
                  <c:v>35.220894000000001</c:v>
                </c:pt>
                <c:pt idx="277">
                  <c:v>34.57235</c:v>
                </c:pt>
                <c:pt idx="278">
                  <c:v>34.073470999999998</c:v>
                </c:pt>
                <c:pt idx="279">
                  <c:v>35.081206999999999</c:v>
                </c:pt>
                <c:pt idx="280">
                  <c:v>35.290737</c:v>
                </c:pt>
                <c:pt idx="281">
                  <c:v>32.048018999999996</c:v>
                </c:pt>
                <c:pt idx="282">
                  <c:v>31.678847999999999</c:v>
                </c:pt>
                <c:pt idx="283">
                  <c:v>32.526943000000003</c:v>
                </c:pt>
                <c:pt idx="284">
                  <c:v>30.930530999999998</c:v>
                </c:pt>
                <c:pt idx="285">
                  <c:v>31.130081000000001</c:v>
                </c:pt>
                <c:pt idx="286">
                  <c:v>32.516967999999999</c:v>
                </c:pt>
                <c:pt idx="287">
                  <c:v>32.107883000000001</c:v>
                </c:pt>
                <c:pt idx="288">
                  <c:v>31.928288999999999</c:v>
                </c:pt>
                <c:pt idx="289">
                  <c:v>31.060237999999998</c:v>
                </c:pt>
                <c:pt idx="290">
                  <c:v>32.327393000000001</c:v>
                </c:pt>
                <c:pt idx="291">
                  <c:v>31.728736999999999</c:v>
                </c:pt>
                <c:pt idx="292">
                  <c:v>32.616740999999998</c:v>
                </c:pt>
                <c:pt idx="293">
                  <c:v>32.427169999999997</c:v>
                </c:pt>
                <c:pt idx="294">
                  <c:v>32.856205000000003</c:v>
                </c:pt>
                <c:pt idx="295">
                  <c:v>33.325150000000001</c:v>
                </c:pt>
                <c:pt idx="296">
                  <c:v>32.626719999999999</c:v>
                </c:pt>
                <c:pt idx="297">
                  <c:v>31.489274999999999</c:v>
                </c:pt>
                <c:pt idx="298">
                  <c:v>31.728736999999999</c:v>
                </c:pt>
                <c:pt idx="299">
                  <c:v>31.229856000000002</c:v>
                </c:pt>
                <c:pt idx="300">
                  <c:v>30.561358999999999</c:v>
                </c:pt>
                <c:pt idx="301">
                  <c:v>30.182210999999999</c:v>
                </c:pt>
                <c:pt idx="302">
                  <c:v>29.733218999999998</c:v>
                </c:pt>
                <c:pt idx="303">
                  <c:v>29.633444000000001</c:v>
                </c:pt>
                <c:pt idx="304">
                  <c:v>30.321898000000001</c:v>
                </c:pt>
                <c:pt idx="305">
                  <c:v>30.162254000000001</c:v>
                </c:pt>
                <c:pt idx="306">
                  <c:v>29.862926000000002</c:v>
                </c:pt>
                <c:pt idx="307">
                  <c:v>29.234338999999999</c:v>
                </c:pt>
                <c:pt idx="308">
                  <c:v>28.186691</c:v>
                </c:pt>
                <c:pt idx="309">
                  <c:v>28.645659999999999</c:v>
                </c:pt>
                <c:pt idx="310">
                  <c:v>28.835235999999998</c:v>
                </c:pt>
                <c:pt idx="311">
                  <c:v>26.839718000000001</c:v>
                </c:pt>
                <c:pt idx="312">
                  <c:v>25.692295000000001</c:v>
                </c:pt>
                <c:pt idx="313">
                  <c:v>25.293192000000001</c:v>
                </c:pt>
                <c:pt idx="314">
                  <c:v>26.789829000000001</c:v>
                </c:pt>
                <c:pt idx="315">
                  <c:v>26.779852000000002</c:v>
                </c:pt>
                <c:pt idx="316">
                  <c:v>27.747679000000002</c:v>
                </c:pt>
                <c:pt idx="317">
                  <c:v>26.829740999999999</c:v>
                </c:pt>
                <c:pt idx="318">
                  <c:v>26.450589999999998</c:v>
                </c:pt>
                <c:pt idx="319">
                  <c:v>27.109112</c:v>
                </c:pt>
                <c:pt idx="320">
                  <c:v>27.149023</c:v>
                </c:pt>
                <c:pt idx="321">
                  <c:v>26.161242000000001</c:v>
                </c:pt>
                <c:pt idx="322">
                  <c:v>26.211127999999999</c:v>
                </c:pt>
                <c:pt idx="323">
                  <c:v>26.839718000000001</c:v>
                </c:pt>
                <c:pt idx="324">
                  <c:v>26.739943</c:v>
                </c:pt>
                <c:pt idx="325">
                  <c:v>27.358553000000001</c:v>
                </c:pt>
                <c:pt idx="326">
                  <c:v>25.482765000000001</c:v>
                </c:pt>
                <c:pt idx="327">
                  <c:v>25.203393999999999</c:v>
                </c:pt>
                <c:pt idx="328">
                  <c:v>24.824244</c:v>
                </c:pt>
                <c:pt idx="329">
                  <c:v>25.712250000000001</c:v>
                </c:pt>
                <c:pt idx="330">
                  <c:v>25.133551000000001</c:v>
                </c:pt>
                <c:pt idx="331">
                  <c:v>23.946217000000001</c:v>
                </c:pt>
                <c:pt idx="332">
                  <c:v>22.449577000000001</c:v>
                </c:pt>
                <c:pt idx="333">
                  <c:v>24.405186</c:v>
                </c:pt>
                <c:pt idx="334">
                  <c:v>25.113593999999999</c:v>
                </c:pt>
                <c:pt idx="335">
                  <c:v>22.778836999999999</c:v>
                </c:pt>
                <c:pt idx="336">
                  <c:v>21.701257999999999</c:v>
                </c:pt>
                <c:pt idx="337">
                  <c:v>22.319868</c:v>
                </c:pt>
                <c:pt idx="338">
                  <c:v>21.481750000000002</c:v>
                </c:pt>
                <c:pt idx="339">
                  <c:v>20.972895000000001</c:v>
                </c:pt>
                <c:pt idx="340">
                  <c:v>20.643635</c:v>
                </c:pt>
                <c:pt idx="341">
                  <c:v>21.252268000000001</c:v>
                </c:pt>
                <c:pt idx="342">
                  <c:v>21.840944</c:v>
                </c:pt>
                <c:pt idx="343">
                  <c:v>20.414148000000001</c:v>
                </c:pt>
                <c:pt idx="344">
                  <c:v>19.456301</c:v>
                </c:pt>
                <c:pt idx="345">
                  <c:v>17.400917</c:v>
                </c:pt>
                <c:pt idx="346">
                  <c:v>18.508430000000001</c:v>
                </c:pt>
                <c:pt idx="347">
                  <c:v>17.909775</c:v>
                </c:pt>
                <c:pt idx="348">
                  <c:v>17.959661000000001</c:v>
                </c:pt>
                <c:pt idx="349">
                  <c:v>18.997332</c:v>
                </c:pt>
                <c:pt idx="350">
                  <c:v>18.957419999999999</c:v>
                </c:pt>
                <c:pt idx="351">
                  <c:v>20.803273999999998</c:v>
                </c:pt>
                <c:pt idx="352">
                  <c:v>19.985112999999998</c:v>
                </c:pt>
                <c:pt idx="353">
                  <c:v>19.246770999999999</c:v>
                </c:pt>
                <c:pt idx="354">
                  <c:v>17.450806</c:v>
                </c:pt>
                <c:pt idx="355">
                  <c:v>17.570536000000001</c:v>
                </c:pt>
                <c:pt idx="356">
                  <c:v>16.303383</c:v>
                </c:pt>
                <c:pt idx="357">
                  <c:v>16.133762000000001</c:v>
                </c:pt>
                <c:pt idx="358">
                  <c:v>18.358767</c:v>
                </c:pt>
                <c:pt idx="359">
                  <c:v>17.450806</c:v>
                </c:pt>
                <c:pt idx="360">
                  <c:v>21.421886000000001</c:v>
                </c:pt>
                <c:pt idx="361">
                  <c:v>17.700244999999999</c:v>
                </c:pt>
                <c:pt idx="362">
                  <c:v>21.601482000000001</c:v>
                </c:pt>
                <c:pt idx="363">
                  <c:v>23.497225</c:v>
                </c:pt>
                <c:pt idx="364">
                  <c:v>21.860900999999998</c:v>
                </c:pt>
                <c:pt idx="365">
                  <c:v>23.796552999999999</c:v>
                </c:pt>
                <c:pt idx="366">
                  <c:v>25.881868000000001</c:v>
                </c:pt>
                <c:pt idx="367">
                  <c:v>27.637924000000002</c:v>
                </c:pt>
                <c:pt idx="368">
                  <c:v>27.029291000000001</c:v>
                </c:pt>
                <c:pt idx="369">
                  <c:v>26.590278999999999</c:v>
                </c:pt>
                <c:pt idx="370">
                  <c:v>26.540389999999999</c:v>
                </c:pt>
                <c:pt idx="371">
                  <c:v>25.971665999999999</c:v>
                </c:pt>
                <c:pt idx="372">
                  <c:v>28.835235999999998</c:v>
                </c:pt>
                <c:pt idx="373">
                  <c:v>26.779852000000002</c:v>
                </c:pt>
                <c:pt idx="374">
                  <c:v>27.158999999999999</c:v>
                </c:pt>
                <c:pt idx="375">
                  <c:v>27.238821000000002</c:v>
                </c:pt>
                <c:pt idx="376">
                  <c:v>27.43</c:v>
                </c:pt>
                <c:pt idx="377">
                  <c:v>27.120000999999998</c:v>
                </c:pt>
                <c:pt idx="378">
                  <c:v>27.59</c:v>
                </c:pt>
                <c:pt idx="379">
                  <c:v>27.290001</c:v>
                </c:pt>
                <c:pt idx="380">
                  <c:v>27.110001</c:v>
                </c:pt>
                <c:pt idx="381">
                  <c:v>25.99</c:v>
                </c:pt>
                <c:pt idx="382">
                  <c:v>26.200001</c:v>
                </c:pt>
                <c:pt idx="383">
                  <c:v>26.690000999999999</c:v>
                </c:pt>
                <c:pt idx="384">
                  <c:v>27.450001</c:v>
                </c:pt>
                <c:pt idx="385">
                  <c:v>27.799999</c:v>
                </c:pt>
                <c:pt idx="386">
                  <c:v>27.299999</c:v>
                </c:pt>
                <c:pt idx="387">
                  <c:v>27.549999</c:v>
                </c:pt>
                <c:pt idx="388">
                  <c:v>27.709999</c:v>
                </c:pt>
                <c:pt idx="389">
                  <c:v>28.4</c:v>
                </c:pt>
                <c:pt idx="390">
                  <c:v>28.469999000000001</c:v>
                </c:pt>
                <c:pt idx="391">
                  <c:v>28.219999000000001</c:v>
                </c:pt>
                <c:pt idx="392">
                  <c:v>28.950001</c:v>
                </c:pt>
                <c:pt idx="393">
                  <c:v>29.059999000000001</c:v>
                </c:pt>
                <c:pt idx="394">
                  <c:v>28.52</c:v>
                </c:pt>
                <c:pt idx="395">
                  <c:v>29.01</c:v>
                </c:pt>
                <c:pt idx="396">
                  <c:v>29.01</c:v>
                </c:pt>
                <c:pt idx="397">
                  <c:v>28.33</c:v>
                </c:pt>
                <c:pt idx="398">
                  <c:v>27.85</c:v>
                </c:pt>
                <c:pt idx="399">
                  <c:v>27.5</c:v>
                </c:pt>
                <c:pt idx="400">
                  <c:v>27.870000999999998</c:v>
                </c:pt>
                <c:pt idx="401">
                  <c:v>26.99</c:v>
                </c:pt>
                <c:pt idx="402">
                  <c:v>26.469999000000001</c:v>
                </c:pt>
                <c:pt idx="403">
                  <c:v>26.52</c:v>
                </c:pt>
                <c:pt idx="404">
                  <c:v>25.82</c:v>
                </c:pt>
                <c:pt idx="405">
                  <c:v>26.01</c:v>
                </c:pt>
                <c:pt idx="406">
                  <c:v>26.540001</c:v>
                </c:pt>
                <c:pt idx="407">
                  <c:v>26.85</c:v>
                </c:pt>
                <c:pt idx="408">
                  <c:v>26.799999</c:v>
                </c:pt>
                <c:pt idx="409">
                  <c:v>25.91</c:v>
                </c:pt>
                <c:pt idx="410">
                  <c:v>26.09</c:v>
                </c:pt>
                <c:pt idx="411">
                  <c:v>26.65</c:v>
                </c:pt>
                <c:pt idx="412">
                  <c:v>26.4</c:v>
                </c:pt>
                <c:pt idx="413">
                  <c:v>26.139999</c:v>
                </c:pt>
                <c:pt idx="414">
                  <c:v>25.85</c:v>
                </c:pt>
                <c:pt idx="415">
                  <c:v>25.700001</c:v>
                </c:pt>
                <c:pt idx="416">
                  <c:v>25.870000999999998</c:v>
                </c:pt>
                <c:pt idx="417">
                  <c:v>26.5</c:v>
                </c:pt>
                <c:pt idx="418">
                  <c:v>26.74</c:v>
                </c:pt>
                <c:pt idx="419">
                  <c:v>26.190000999999999</c:v>
                </c:pt>
                <c:pt idx="420">
                  <c:v>24.700001</c:v>
                </c:pt>
                <c:pt idx="421">
                  <c:v>24.85</c:v>
                </c:pt>
                <c:pt idx="422">
                  <c:v>24.984452999999998</c:v>
                </c:pt>
                <c:pt idx="423">
                  <c:v>24.585816999999999</c:v>
                </c:pt>
                <c:pt idx="424">
                  <c:v>22.961379999999998</c:v>
                </c:pt>
                <c:pt idx="425">
                  <c:v>23.041107</c:v>
                </c:pt>
                <c:pt idx="426">
                  <c:v>22.921516</c:v>
                </c:pt>
                <c:pt idx="427">
                  <c:v>22.652436999999999</c:v>
                </c:pt>
                <c:pt idx="428">
                  <c:v>22.203973999999999</c:v>
                </c:pt>
                <c:pt idx="429">
                  <c:v>21.904997000000002</c:v>
                </c:pt>
                <c:pt idx="430">
                  <c:v>21.237283999999999</c:v>
                </c:pt>
                <c:pt idx="431">
                  <c:v>20.400148000000002</c:v>
                </c:pt>
                <c:pt idx="432">
                  <c:v>20.529705</c:v>
                </c:pt>
                <c:pt idx="433">
                  <c:v>20.270593999999999</c:v>
                </c:pt>
                <c:pt idx="434">
                  <c:v>20.330387000000002</c:v>
                </c:pt>
                <c:pt idx="435">
                  <c:v>19.901855000000001</c:v>
                </c:pt>
                <c:pt idx="436">
                  <c:v>19.612843999999999</c:v>
                </c:pt>
                <c:pt idx="437">
                  <c:v>19.921786999999998</c:v>
                </c:pt>
                <c:pt idx="438">
                  <c:v>19.493255999999999</c:v>
                </c:pt>
                <c:pt idx="439">
                  <c:v>19.433458000000002</c:v>
                </c:pt>
                <c:pt idx="440">
                  <c:v>19.802197</c:v>
                </c:pt>
                <c:pt idx="441">
                  <c:v>19.363696999999998</c:v>
                </c:pt>
                <c:pt idx="442">
                  <c:v>20.260628000000001</c:v>
                </c:pt>
                <c:pt idx="443">
                  <c:v>20.420079999999999</c:v>
                </c:pt>
                <c:pt idx="444">
                  <c:v>19.961651</c:v>
                </c:pt>
                <c:pt idx="445">
                  <c:v>20.131070999999999</c:v>
                </c:pt>
                <c:pt idx="446">
                  <c:v>20.320421</c:v>
                </c:pt>
                <c:pt idx="447">
                  <c:v>19.921786999999998</c:v>
                </c:pt>
                <c:pt idx="448">
                  <c:v>20.579535</c:v>
                </c:pt>
                <c:pt idx="449">
                  <c:v>20.300491000000001</c:v>
                </c:pt>
                <c:pt idx="450">
                  <c:v>20.400148000000002</c:v>
                </c:pt>
                <c:pt idx="451">
                  <c:v>20.390184000000001</c:v>
                </c:pt>
                <c:pt idx="452">
                  <c:v>20.729023000000002</c:v>
                </c:pt>
                <c:pt idx="453">
                  <c:v>20.868545999999998</c:v>
                </c:pt>
                <c:pt idx="454">
                  <c:v>20.818715999999998</c:v>
                </c:pt>
                <c:pt idx="455">
                  <c:v>21.018034</c:v>
                </c:pt>
                <c:pt idx="456">
                  <c:v>21.057898000000002</c:v>
                </c:pt>
                <c:pt idx="457">
                  <c:v>21.037966000000001</c:v>
                </c:pt>
                <c:pt idx="458">
                  <c:v>21.237283999999999</c:v>
                </c:pt>
                <c:pt idx="459">
                  <c:v>21.117692999999999</c:v>
                </c:pt>
                <c:pt idx="460">
                  <c:v>20.828682000000001</c:v>
                </c:pt>
                <c:pt idx="461">
                  <c:v>20.519739000000001</c:v>
                </c:pt>
                <c:pt idx="462">
                  <c:v>19.622810000000001</c:v>
                </c:pt>
                <c:pt idx="463">
                  <c:v>19.692571999999998</c:v>
                </c:pt>
                <c:pt idx="464">
                  <c:v>19.184313</c:v>
                </c:pt>
                <c:pt idx="465">
                  <c:v>19.493255999999999</c:v>
                </c:pt>
                <c:pt idx="466">
                  <c:v>19.712503000000002</c:v>
                </c:pt>
                <c:pt idx="467">
                  <c:v>19.114552</c:v>
                </c:pt>
                <c:pt idx="468">
                  <c:v>19.353731</c:v>
                </c:pt>
                <c:pt idx="469">
                  <c:v>19.652708000000001</c:v>
                </c:pt>
                <c:pt idx="470">
                  <c:v>19.89189</c:v>
                </c:pt>
                <c:pt idx="471">
                  <c:v>19.822127999999999</c:v>
                </c:pt>
                <c:pt idx="472">
                  <c:v>19.951685000000001</c:v>
                </c:pt>
                <c:pt idx="473">
                  <c:v>19.971616999999998</c:v>
                </c:pt>
                <c:pt idx="474">
                  <c:v>19.752367</c:v>
                </c:pt>
                <c:pt idx="475">
                  <c:v>19.48329</c:v>
                </c:pt>
                <c:pt idx="476">
                  <c:v>19.632776</c:v>
                </c:pt>
                <c:pt idx="477">
                  <c:v>19.602879000000001</c:v>
                </c:pt>
                <c:pt idx="478">
                  <c:v>19.084654</c:v>
                </c:pt>
                <c:pt idx="479">
                  <c:v>19.084654</c:v>
                </c:pt>
                <c:pt idx="480">
                  <c:v>18.616257000000001</c:v>
                </c:pt>
                <c:pt idx="481">
                  <c:v>18.377075000000001</c:v>
                </c:pt>
                <c:pt idx="482">
                  <c:v>18.795642999999998</c:v>
                </c:pt>
                <c:pt idx="483">
                  <c:v>18.725881999999999</c:v>
                </c:pt>
                <c:pt idx="484">
                  <c:v>17.799054999999999</c:v>
                </c:pt>
                <c:pt idx="485">
                  <c:v>18.387041</c:v>
                </c:pt>
                <c:pt idx="486">
                  <c:v>18.686019999999999</c:v>
                </c:pt>
                <c:pt idx="487">
                  <c:v>18.915234000000002</c:v>
                </c:pt>
                <c:pt idx="488">
                  <c:v>18.975028999999999</c:v>
                </c:pt>
                <c:pt idx="489">
                  <c:v>18.566427000000001</c:v>
                </c:pt>
                <c:pt idx="490">
                  <c:v>18.536529999999999</c:v>
                </c:pt>
                <c:pt idx="491">
                  <c:v>18.666086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B5-AE49-B97D-1C9180F02193}"/>
            </c:ext>
          </c:extLst>
        </c:ser>
        <c:ser>
          <c:idx val="5"/>
          <c:order val="5"/>
          <c:tx>
            <c:strRef>
              <c:f>'Retornos da Carteira de Ações'!$G$5</c:f>
              <c:strCache>
                <c:ptCount val="1"/>
                <c:pt idx="0">
                  <c:v>Multiplan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Ações'!$G$6:$G$497</c:f>
              <c:numCache>
                <c:formatCode>#,##0.00</c:formatCode>
                <c:ptCount val="492"/>
                <c:pt idx="0">
                  <c:v>21.48</c:v>
                </c:pt>
                <c:pt idx="1">
                  <c:v>21.07</c:v>
                </c:pt>
                <c:pt idx="2">
                  <c:v>21.799999</c:v>
                </c:pt>
                <c:pt idx="3">
                  <c:v>21.93</c:v>
                </c:pt>
                <c:pt idx="4">
                  <c:v>21.26</c:v>
                </c:pt>
                <c:pt idx="5">
                  <c:v>21.700001</c:v>
                </c:pt>
                <c:pt idx="6">
                  <c:v>21.51</c:v>
                </c:pt>
                <c:pt idx="7">
                  <c:v>21.32</c:v>
                </c:pt>
                <c:pt idx="8">
                  <c:v>21.59</c:v>
                </c:pt>
                <c:pt idx="9">
                  <c:v>22.09</c:v>
                </c:pt>
                <c:pt idx="10">
                  <c:v>22.48</c:v>
                </c:pt>
                <c:pt idx="11">
                  <c:v>22.559999000000001</c:v>
                </c:pt>
                <c:pt idx="12">
                  <c:v>23.01</c:v>
                </c:pt>
                <c:pt idx="13">
                  <c:v>23.09</c:v>
                </c:pt>
                <c:pt idx="14">
                  <c:v>23.559999000000001</c:v>
                </c:pt>
                <c:pt idx="15">
                  <c:v>23.200001</c:v>
                </c:pt>
                <c:pt idx="16">
                  <c:v>23.23</c:v>
                </c:pt>
                <c:pt idx="17">
                  <c:v>23.51</c:v>
                </c:pt>
                <c:pt idx="18">
                  <c:v>23.799999</c:v>
                </c:pt>
                <c:pt idx="19">
                  <c:v>24.02</c:v>
                </c:pt>
                <c:pt idx="20">
                  <c:v>23.35</c:v>
                </c:pt>
                <c:pt idx="21">
                  <c:v>24.16</c:v>
                </c:pt>
                <c:pt idx="22">
                  <c:v>22.93</c:v>
                </c:pt>
                <c:pt idx="23">
                  <c:v>22.959999</c:v>
                </c:pt>
                <c:pt idx="24">
                  <c:v>23.629999000000002</c:v>
                </c:pt>
                <c:pt idx="25">
                  <c:v>23.709999</c:v>
                </c:pt>
                <c:pt idx="26">
                  <c:v>24.27</c:v>
                </c:pt>
                <c:pt idx="27">
                  <c:v>24.26</c:v>
                </c:pt>
                <c:pt idx="28">
                  <c:v>24.35</c:v>
                </c:pt>
                <c:pt idx="29">
                  <c:v>23.9</c:v>
                </c:pt>
                <c:pt idx="30">
                  <c:v>24.17</c:v>
                </c:pt>
                <c:pt idx="31">
                  <c:v>24.450001</c:v>
                </c:pt>
                <c:pt idx="32">
                  <c:v>24.940000999999999</c:v>
                </c:pt>
                <c:pt idx="33">
                  <c:v>24.48</c:v>
                </c:pt>
                <c:pt idx="34">
                  <c:v>23.799999</c:v>
                </c:pt>
                <c:pt idx="35">
                  <c:v>23.059999000000001</c:v>
                </c:pt>
                <c:pt idx="36">
                  <c:v>23.030000999999999</c:v>
                </c:pt>
                <c:pt idx="37">
                  <c:v>22.9</c:v>
                </c:pt>
                <c:pt idx="38">
                  <c:v>23.4</c:v>
                </c:pt>
                <c:pt idx="39">
                  <c:v>23.15</c:v>
                </c:pt>
                <c:pt idx="40">
                  <c:v>22.77</c:v>
                </c:pt>
                <c:pt idx="41">
                  <c:v>23.5</c:v>
                </c:pt>
                <c:pt idx="42">
                  <c:v>23.07</c:v>
                </c:pt>
                <c:pt idx="43">
                  <c:v>23.719999000000001</c:v>
                </c:pt>
                <c:pt idx="44">
                  <c:v>24.040001</c:v>
                </c:pt>
                <c:pt idx="45">
                  <c:v>25.18</c:v>
                </c:pt>
                <c:pt idx="46">
                  <c:v>25.049999</c:v>
                </c:pt>
                <c:pt idx="47">
                  <c:v>25.299999</c:v>
                </c:pt>
                <c:pt idx="48">
                  <c:v>25.99</c:v>
                </c:pt>
                <c:pt idx="49">
                  <c:v>25.76</c:v>
                </c:pt>
                <c:pt idx="50">
                  <c:v>25.68</c:v>
                </c:pt>
                <c:pt idx="51">
                  <c:v>25.940000999999999</c:v>
                </c:pt>
                <c:pt idx="52">
                  <c:v>26.26</c:v>
                </c:pt>
                <c:pt idx="53">
                  <c:v>26.629999000000002</c:v>
                </c:pt>
                <c:pt idx="54">
                  <c:v>25.75</c:v>
                </c:pt>
                <c:pt idx="55">
                  <c:v>26.559999000000001</c:v>
                </c:pt>
                <c:pt idx="56">
                  <c:v>26.42</c:v>
                </c:pt>
                <c:pt idx="57">
                  <c:v>27.18</c:v>
                </c:pt>
                <c:pt idx="58">
                  <c:v>27.74</c:v>
                </c:pt>
                <c:pt idx="59">
                  <c:v>27.51</c:v>
                </c:pt>
                <c:pt idx="60">
                  <c:v>26.25</c:v>
                </c:pt>
                <c:pt idx="61">
                  <c:v>25.959999</c:v>
                </c:pt>
                <c:pt idx="62">
                  <c:v>25.66</c:v>
                </c:pt>
                <c:pt idx="63">
                  <c:v>25.59</c:v>
                </c:pt>
                <c:pt idx="64">
                  <c:v>25.379999000000002</c:v>
                </c:pt>
                <c:pt idx="65">
                  <c:v>25.219999000000001</c:v>
                </c:pt>
                <c:pt idx="66">
                  <c:v>24.98</c:v>
                </c:pt>
                <c:pt idx="67">
                  <c:v>24.620000999999998</c:v>
                </c:pt>
                <c:pt idx="68">
                  <c:v>24.52</c:v>
                </c:pt>
                <c:pt idx="69">
                  <c:v>25.110001</c:v>
                </c:pt>
                <c:pt idx="70">
                  <c:v>24.57</c:v>
                </c:pt>
                <c:pt idx="71">
                  <c:v>24.42</c:v>
                </c:pt>
                <c:pt idx="72">
                  <c:v>24.6</c:v>
                </c:pt>
                <c:pt idx="73">
                  <c:v>24.209999</c:v>
                </c:pt>
                <c:pt idx="74">
                  <c:v>23.700001</c:v>
                </c:pt>
                <c:pt idx="75">
                  <c:v>23.27</c:v>
                </c:pt>
                <c:pt idx="76">
                  <c:v>24.83</c:v>
                </c:pt>
                <c:pt idx="77">
                  <c:v>25.040001</c:v>
                </c:pt>
                <c:pt idx="78">
                  <c:v>24.82</c:v>
                </c:pt>
                <c:pt idx="79">
                  <c:v>23.809999000000001</c:v>
                </c:pt>
                <c:pt idx="80">
                  <c:v>23.67</c:v>
                </c:pt>
                <c:pt idx="81">
                  <c:v>23.65</c:v>
                </c:pt>
                <c:pt idx="82">
                  <c:v>24</c:v>
                </c:pt>
                <c:pt idx="83">
                  <c:v>23.030000999999999</c:v>
                </c:pt>
                <c:pt idx="84">
                  <c:v>23.43</c:v>
                </c:pt>
                <c:pt idx="85">
                  <c:v>23.950001</c:v>
                </c:pt>
                <c:pt idx="86">
                  <c:v>23.629999000000002</c:v>
                </c:pt>
                <c:pt idx="87">
                  <c:v>24</c:v>
                </c:pt>
                <c:pt idx="88">
                  <c:v>23.57</c:v>
                </c:pt>
                <c:pt idx="89">
                  <c:v>23.1</c:v>
                </c:pt>
                <c:pt idx="90">
                  <c:v>23.93</c:v>
                </c:pt>
                <c:pt idx="91">
                  <c:v>23.92</c:v>
                </c:pt>
                <c:pt idx="92">
                  <c:v>23.85</c:v>
                </c:pt>
                <c:pt idx="93">
                  <c:v>23.719999000000001</c:v>
                </c:pt>
                <c:pt idx="94">
                  <c:v>23.280000999999999</c:v>
                </c:pt>
                <c:pt idx="95">
                  <c:v>23.799999</c:v>
                </c:pt>
                <c:pt idx="96">
                  <c:v>23.530000999999999</c:v>
                </c:pt>
                <c:pt idx="97">
                  <c:v>23.700001</c:v>
                </c:pt>
                <c:pt idx="98">
                  <c:v>23.379999000000002</c:v>
                </c:pt>
                <c:pt idx="99">
                  <c:v>23.99</c:v>
                </c:pt>
                <c:pt idx="100">
                  <c:v>24.27</c:v>
                </c:pt>
                <c:pt idx="101">
                  <c:v>24.549999</c:v>
                </c:pt>
                <c:pt idx="102">
                  <c:v>24.190000999999999</c:v>
                </c:pt>
                <c:pt idx="103">
                  <c:v>24.49</c:v>
                </c:pt>
                <c:pt idx="104">
                  <c:v>24.84</c:v>
                </c:pt>
                <c:pt idx="105">
                  <c:v>23.52</c:v>
                </c:pt>
                <c:pt idx="106">
                  <c:v>23.68</c:v>
                </c:pt>
                <c:pt idx="107">
                  <c:v>23.66</c:v>
                </c:pt>
                <c:pt idx="108">
                  <c:v>23.33</c:v>
                </c:pt>
                <c:pt idx="109">
                  <c:v>23.540001</c:v>
                </c:pt>
                <c:pt idx="110">
                  <c:v>23.33</c:v>
                </c:pt>
                <c:pt idx="111">
                  <c:v>23.41</c:v>
                </c:pt>
                <c:pt idx="112">
                  <c:v>22.299999</c:v>
                </c:pt>
                <c:pt idx="113">
                  <c:v>22.950001</c:v>
                </c:pt>
                <c:pt idx="114">
                  <c:v>22.67</c:v>
                </c:pt>
                <c:pt idx="115">
                  <c:v>23.620000999999998</c:v>
                </c:pt>
                <c:pt idx="116">
                  <c:v>23.209999</c:v>
                </c:pt>
                <c:pt idx="117">
                  <c:v>22.33</c:v>
                </c:pt>
                <c:pt idx="118">
                  <c:v>20.85</c:v>
                </c:pt>
                <c:pt idx="119">
                  <c:v>20.51</c:v>
                </c:pt>
                <c:pt idx="120">
                  <c:v>20.5</c:v>
                </c:pt>
                <c:pt idx="121">
                  <c:v>21.379999000000002</c:v>
                </c:pt>
                <c:pt idx="122">
                  <c:v>20.420000000000002</c:v>
                </c:pt>
                <c:pt idx="123">
                  <c:v>19.850000000000001</c:v>
                </c:pt>
                <c:pt idx="124">
                  <c:v>19.790001</c:v>
                </c:pt>
                <c:pt idx="125">
                  <c:v>19.379999000000002</c:v>
                </c:pt>
                <c:pt idx="126">
                  <c:v>19.68</c:v>
                </c:pt>
                <c:pt idx="127">
                  <c:v>20.079999999999998</c:v>
                </c:pt>
                <c:pt idx="128">
                  <c:v>19.870000999999998</c:v>
                </c:pt>
                <c:pt idx="129">
                  <c:v>20.100000000000001</c:v>
                </c:pt>
                <c:pt idx="130">
                  <c:v>20.139999</c:v>
                </c:pt>
                <c:pt idx="131">
                  <c:v>20.67</c:v>
                </c:pt>
                <c:pt idx="132">
                  <c:v>20.93</c:v>
                </c:pt>
                <c:pt idx="133">
                  <c:v>21.389999</c:v>
                </c:pt>
                <c:pt idx="134">
                  <c:v>21.35</c:v>
                </c:pt>
                <c:pt idx="135">
                  <c:v>21.25</c:v>
                </c:pt>
                <c:pt idx="136">
                  <c:v>21.379999000000002</c:v>
                </c:pt>
                <c:pt idx="137">
                  <c:v>21.6</c:v>
                </c:pt>
                <c:pt idx="138">
                  <c:v>21.84</c:v>
                </c:pt>
                <c:pt idx="139">
                  <c:v>22.129999000000002</c:v>
                </c:pt>
                <c:pt idx="140">
                  <c:v>22.5</c:v>
                </c:pt>
                <c:pt idx="141">
                  <c:v>21.299999</c:v>
                </c:pt>
                <c:pt idx="142">
                  <c:v>21.309999000000001</c:v>
                </c:pt>
                <c:pt idx="143">
                  <c:v>21.200001</c:v>
                </c:pt>
                <c:pt idx="144">
                  <c:v>21.799999</c:v>
                </c:pt>
                <c:pt idx="145">
                  <c:v>20.43</c:v>
                </c:pt>
                <c:pt idx="146">
                  <c:v>20.51</c:v>
                </c:pt>
                <c:pt idx="147">
                  <c:v>20.379999000000002</c:v>
                </c:pt>
                <c:pt idx="148">
                  <c:v>20.59</c:v>
                </c:pt>
                <c:pt idx="149">
                  <c:v>20.959999</c:v>
                </c:pt>
                <c:pt idx="150">
                  <c:v>21.190000999999999</c:v>
                </c:pt>
                <c:pt idx="151">
                  <c:v>21.42</c:v>
                </c:pt>
                <c:pt idx="152">
                  <c:v>21.35</c:v>
                </c:pt>
                <c:pt idx="153">
                  <c:v>21.940000999999999</c:v>
                </c:pt>
                <c:pt idx="154">
                  <c:v>21.48</c:v>
                </c:pt>
                <c:pt idx="155">
                  <c:v>21.639999</c:v>
                </c:pt>
                <c:pt idx="156">
                  <c:v>21.42</c:v>
                </c:pt>
                <c:pt idx="157">
                  <c:v>22.379999000000002</c:v>
                </c:pt>
                <c:pt idx="158">
                  <c:v>21.6</c:v>
                </c:pt>
                <c:pt idx="159">
                  <c:v>21.620000999999998</c:v>
                </c:pt>
                <c:pt idx="160">
                  <c:v>22.58</c:v>
                </c:pt>
                <c:pt idx="161">
                  <c:v>22.549999</c:v>
                </c:pt>
                <c:pt idx="162">
                  <c:v>23.530000999999999</c:v>
                </c:pt>
                <c:pt idx="163">
                  <c:v>23.360001</c:v>
                </c:pt>
                <c:pt idx="164">
                  <c:v>24.26</c:v>
                </c:pt>
                <c:pt idx="165">
                  <c:v>23.74</c:v>
                </c:pt>
                <c:pt idx="166">
                  <c:v>23.24</c:v>
                </c:pt>
                <c:pt idx="167">
                  <c:v>23.799999</c:v>
                </c:pt>
                <c:pt idx="168">
                  <c:v>24.370000999999998</c:v>
                </c:pt>
                <c:pt idx="169">
                  <c:v>24.91</c:v>
                </c:pt>
                <c:pt idx="170">
                  <c:v>25.299999</c:v>
                </c:pt>
                <c:pt idx="171">
                  <c:v>25.059999000000001</c:v>
                </c:pt>
                <c:pt idx="172">
                  <c:v>25.059999000000001</c:v>
                </c:pt>
                <c:pt idx="173">
                  <c:v>25.02</c:v>
                </c:pt>
                <c:pt idx="174">
                  <c:v>25.950001</c:v>
                </c:pt>
                <c:pt idx="175">
                  <c:v>24.84</c:v>
                </c:pt>
                <c:pt idx="176">
                  <c:v>24.49</c:v>
                </c:pt>
                <c:pt idx="177">
                  <c:v>24.9</c:v>
                </c:pt>
                <c:pt idx="178">
                  <c:v>24.76</c:v>
                </c:pt>
                <c:pt idx="179">
                  <c:v>25.15</c:v>
                </c:pt>
                <c:pt idx="180">
                  <c:v>24.4</c:v>
                </c:pt>
                <c:pt idx="181">
                  <c:v>24.040001</c:v>
                </c:pt>
                <c:pt idx="182">
                  <c:v>22.67</c:v>
                </c:pt>
                <c:pt idx="183">
                  <c:v>23.5</c:v>
                </c:pt>
                <c:pt idx="184">
                  <c:v>23.440000999999999</c:v>
                </c:pt>
                <c:pt idx="185">
                  <c:v>23.74</c:v>
                </c:pt>
                <c:pt idx="186">
                  <c:v>23.5</c:v>
                </c:pt>
                <c:pt idx="187">
                  <c:v>21.93</c:v>
                </c:pt>
                <c:pt idx="188">
                  <c:v>22</c:v>
                </c:pt>
                <c:pt idx="189">
                  <c:v>22.120000999999998</c:v>
                </c:pt>
                <c:pt idx="190">
                  <c:v>23.09</c:v>
                </c:pt>
                <c:pt idx="191">
                  <c:v>22.719999000000001</c:v>
                </c:pt>
                <c:pt idx="192">
                  <c:v>22.450001</c:v>
                </c:pt>
                <c:pt idx="193">
                  <c:v>22.99</c:v>
                </c:pt>
                <c:pt idx="194">
                  <c:v>23.629999000000002</c:v>
                </c:pt>
                <c:pt idx="195">
                  <c:v>24.040001</c:v>
                </c:pt>
                <c:pt idx="196">
                  <c:v>24.52</c:v>
                </c:pt>
                <c:pt idx="197">
                  <c:v>21.5</c:v>
                </c:pt>
                <c:pt idx="198">
                  <c:v>20.709999</c:v>
                </c:pt>
                <c:pt idx="199">
                  <c:v>19.389999</c:v>
                </c:pt>
                <c:pt idx="200">
                  <c:v>18.649999999999999</c:v>
                </c:pt>
                <c:pt idx="201">
                  <c:v>18.969999000000001</c:v>
                </c:pt>
                <c:pt idx="202">
                  <c:v>19.100000000000001</c:v>
                </c:pt>
                <c:pt idx="203">
                  <c:v>19.02</c:v>
                </c:pt>
                <c:pt idx="204">
                  <c:v>20.09</c:v>
                </c:pt>
                <c:pt idx="205">
                  <c:v>20.299999</c:v>
                </c:pt>
                <c:pt idx="206">
                  <c:v>21.209999</c:v>
                </c:pt>
                <c:pt idx="207">
                  <c:v>21.59</c:v>
                </c:pt>
                <c:pt idx="208">
                  <c:v>21.969999000000001</c:v>
                </c:pt>
                <c:pt idx="209">
                  <c:v>21.18</c:v>
                </c:pt>
                <c:pt idx="210">
                  <c:v>21.059999000000001</c:v>
                </c:pt>
                <c:pt idx="211">
                  <c:v>20.9</c:v>
                </c:pt>
                <c:pt idx="212">
                  <c:v>21.200001</c:v>
                </c:pt>
                <c:pt idx="213">
                  <c:v>21.17</c:v>
                </c:pt>
                <c:pt idx="214">
                  <c:v>21.15</c:v>
                </c:pt>
                <c:pt idx="215">
                  <c:v>21.360001</c:v>
                </c:pt>
                <c:pt idx="216">
                  <c:v>21.59</c:v>
                </c:pt>
                <c:pt idx="217">
                  <c:v>21.6</c:v>
                </c:pt>
                <c:pt idx="218">
                  <c:v>21.15</c:v>
                </c:pt>
                <c:pt idx="219">
                  <c:v>20.68</c:v>
                </c:pt>
                <c:pt idx="220">
                  <c:v>20.260000000000002</c:v>
                </c:pt>
                <c:pt idx="221">
                  <c:v>20.549999</c:v>
                </c:pt>
                <c:pt idx="222">
                  <c:v>19.43</c:v>
                </c:pt>
                <c:pt idx="223">
                  <c:v>19.209999</c:v>
                </c:pt>
                <c:pt idx="224">
                  <c:v>19.420000000000002</c:v>
                </c:pt>
                <c:pt idx="225">
                  <c:v>20.120000999999998</c:v>
                </c:pt>
                <c:pt idx="226">
                  <c:v>20.74</c:v>
                </c:pt>
                <c:pt idx="227">
                  <c:v>20.809999000000001</c:v>
                </c:pt>
                <c:pt idx="228">
                  <c:v>21.360001</c:v>
                </c:pt>
                <c:pt idx="229">
                  <c:v>21.440000999999999</c:v>
                </c:pt>
                <c:pt idx="230">
                  <c:v>22.07</c:v>
                </c:pt>
                <c:pt idx="231">
                  <c:v>22.91</c:v>
                </c:pt>
                <c:pt idx="232">
                  <c:v>23.120000999999998</c:v>
                </c:pt>
                <c:pt idx="233">
                  <c:v>22.59</c:v>
                </c:pt>
                <c:pt idx="234">
                  <c:v>22.700001</c:v>
                </c:pt>
                <c:pt idx="235">
                  <c:v>21.77</c:v>
                </c:pt>
                <c:pt idx="236">
                  <c:v>22.32</c:v>
                </c:pt>
                <c:pt idx="237">
                  <c:v>22.799999</c:v>
                </c:pt>
                <c:pt idx="238">
                  <c:v>23.15</c:v>
                </c:pt>
                <c:pt idx="239">
                  <c:v>22.25</c:v>
                </c:pt>
                <c:pt idx="240">
                  <c:v>21.67</c:v>
                </c:pt>
                <c:pt idx="241">
                  <c:v>21.950001</c:v>
                </c:pt>
                <c:pt idx="242">
                  <c:v>22.07</c:v>
                </c:pt>
                <c:pt idx="243">
                  <c:v>20.82</c:v>
                </c:pt>
                <c:pt idx="244">
                  <c:v>21.610001</c:v>
                </c:pt>
                <c:pt idx="245">
                  <c:v>21.5</c:v>
                </c:pt>
                <c:pt idx="246">
                  <c:v>21.51</c:v>
                </c:pt>
                <c:pt idx="247">
                  <c:v>21.629999000000002</c:v>
                </c:pt>
                <c:pt idx="248">
                  <c:v>22.09</c:v>
                </c:pt>
                <c:pt idx="249">
                  <c:v>22.15</c:v>
                </c:pt>
                <c:pt idx="250">
                  <c:v>22.4</c:v>
                </c:pt>
                <c:pt idx="251">
                  <c:v>21.559999000000001</c:v>
                </c:pt>
                <c:pt idx="252">
                  <c:v>21.84</c:v>
                </c:pt>
                <c:pt idx="253">
                  <c:v>21.85</c:v>
                </c:pt>
                <c:pt idx="254">
                  <c:v>22.67</c:v>
                </c:pt>
                <c:pt idx="255">
                  <c:v>22.030000999999999</c:v>
                </c:pt>
                <c:pt idx="256">
                  <c:v>23.42</c:v>
                </c:pt>
                <c:pt idx="257">
                  <c:v>23.690000999999999</c:v>
                </c:pt>
                <c:pt idx="258">
                  <c:v>22.780000999999999</c:v>
                </c:pt>
                <c:pt idx="259">
                  <c:v>22.799999</c:v>
                </c:pt>
                <c:pt idx="260">
                  <c:v>23.610001</c:v>
                </c:pt>
                <c:pt idx="261">
                  <c:v>21.93</c:v>
                </c:pt>
                <c:pt idx="262">
                  <c:v>20.299999</c:v>
                </c:pt>
                <c:pt idx="263">
                  <c:v>20.58</c:v>
                </c:pt>
                <c:pt idx="264">
                  <c:v>21.139999</c:v>
                </c:pt>
                <c:pt idx="265">
                  <c:v>21.6</c:v>
                </c:pt>
                <c:pt idx="266">
                  <c:v>21.9</c:v>
                </c:pt>
                <c:pt idx="267">
                  <c:v>21.59</c:v>
                </c:pt>
                <c:pt idx="268">
                  <c:v>21.26</c:v>
                </c:pt>
                <c:pt idx="269">
                  <c:v>21.370000999999998</c:v>
                </c:pt>
                <c:pt idx="270">
                  <c:v>21.809999000000001</c:v>
                </c:pt>
                <c:pt idx="271">
                  <c:v>22.17</c:v>
                </c:pt>
                <c:pt idx="272">
                  <c:v>23.030000999999999</c:v>
                </c:pt>
                <c:pt idx="273">
                  <c:v>23.190000999999999</c:v>
                </c:pt>
                <c:pt idx="274">
                  <c:v>22.77</c:v>
                </c:pt>
                <c:pt idx="275">
                  <c:v>22.530000999999999</c:v>
                </c:pt>
                <c:pt idx="276">
                  <c:v>22.75</c:v>
                </c:pt>
                <c:pt idx="277">
                  <c:v>22.870000999999998</c:v>
                </c:pt>
                <c:pt idx="278">
                  <c:v>22.92</c:v>
                </c:pt>
                <c:pt idx="279">
                  <c:v>23.4</c:v>
                </c:pt>
                <c:pt idx="280">
                  <c:v>23.370000999999998</c:v>
                </c:pt>
                <c:pt idx="281">
                  <c:v>22.85</c:v>
                </c:pt>
                <c:pt idx="282">
                  <c:v>22.4</c:v>
                </c:pt>
                <c:pt idx="283">
                  <c:v>22.799999</c:v>
                </c:pt>
                <c:pt idx="284">
                  <c:v>21.35</c:v>
                </c:pt>
                <c:pt idx="285">
                  <c:v>20.75</c:v>
                </c:pt>
                <c:pt idx="286">
                  <c:v>20.950001</c:v>
                </c:pt>
                <c:pt idx="287">
                  <c:v>20.5</c:v>
                </c:pt>
                <c:pt idx="288">
                  <c:v>20.719999000000001</c:v>
                </c:pt>
                <c:pt idx="289">
                  <c:v>20.23</c:v>
                </c:pt>
                <c:pt idx="290">
                  <c:v>21.299999</c:v>
                </c:pt>
                <c:pt idx="291">
                  <c:v>21.4</c:v>
                </c:pt>
                <c:pt idx="292">
                  <c:v>21.91</c:v>
                </c:pt>
                <c:pt idx="293">
                  <c:v>22</c:v>
                </c:pt>
                <c:pt idx="294">
                  <c:v>22.030000999999999</c:v>
                </c:pt>
                <c:pt idx="295">
                  <c:v>21.809999000000001</c:v>
                </c:pt>
                <c:pt idx="296">
                  <c:v>22.59</c:v>
                </c:pt>
                <c:pt idx="297">
                  <c:v>21.42</c:v>
                </c:pt>
                <c:pt idx="298">
                  <c:v>21.68</c:v>
                </c:pt>
                <c:pt idx="299">
                  <c:v>22</c:v>
                </c:pt>
                <c:pt idx="300">
                  <c:v>22.700001</c:v>
                </c:pt>
                <c:pt idx="301">
                  <c:v>23.93</c:v>
                </c:pt>
                <c:pt idx="302">
                  <c:v>22.85</c:v>
                </c:pt>
                <c:pt idx="303">
                  <c:v>23.09</c:v>
                </c:pt>
                <c:pt idx="304">
                  <c:v>22.99</c:v>
                </c:pt>
                <c:pt idx="305">
                  <c:v>23.559999000000001</c:v>
                </c:pt>
                <c:pt idx="306">
                  <c:v>22.709999</c:v>
                </c:pt>
                <c:pt idx="307">
                  <c:v>22.280000999999999</c:v>
                </c:pt>
                <c:pt idx="308">
                  <c:v>20.690000999999999</c:v>
                </c:pt>
                <c:pt idx="309">
                  <c:v>21.299999</c:v>
                </c:pt>
                <c:pt idx="310">
                  <c:v>22.540001</c:v>
                </c:pt>
                <c:pt idx="311">
                  <c:v>21.780000999999999</c:v>
                </c:pt>
                <c:pt idx="312">
                  <c:v>22.639999</c:v>
                </c:pt>
                <c:pt idx="313">
                  <c:v>21.190000999999999</c:v>
                </c:pt>
                <c:pt idx="314">
                  <c:v>21.700001</c:v>
                </c:pt>
                <c:pt idx="315">
                  <c:v>20.620000999999998</c:v>
                </c:pt>
                <c:pt idx="316">
                  <c:v>19.670000000000002</c:v>
                </c:pt>
                <c:pt idx="317">
                  <c:v>19.389999</c:v>
                </c:pt>
                <c:pt idx="318">
                  <c:v>18.100000000000001</c:v>
                </c:pt>
                <c:pt idx="319">
                  <c:v>18.670000000000002</c:v>
                </c:pt>
                <c:pt idx="320">
                  <c:v>18.200001</c:v>
                </c:pt>
                <c:pt idx="321">
                  <c:v>17.989999999999998</c:v>
                </c:pt>
                <c:pt idx="322">
                  <c:v>18.379999000000002</c:v>
                </c:pt>
                <c:pt idx="323">
                  <c:v>18.84</c:v>
                </c:pt>
                <c:pt idx="324">
                  <c:v>18.440000999999999</c:v>
                </c:pt>
                <c:pt idx="325">
                  <c:v>19.299999</c:v>
                </c:pt>
                <c:pt idx="326">
                  <c:v>19.690000999999999</c:v>
                </c:pt>
                <c:pt idx="327">
                  <c:v>19.98</c:v>
                </c:pt>
                <c:pt idx="328">
                  <c:v>20.889999</c:v>
                </c:pt>
                <c:pt idx="329">
                  <c:v>22.370000999999998</c:v>
                </c:pt>
                <c:pt idx="330">
                  <c:v>21.76</c:v>
                </c:pt>
                <c:pt idx="331">
                  <c:v>21.059999000000001</c:v>
                </c:pt>
                <c:pt idx="332">
                  <c:v>20.58</c:v>
                </c:pt>
                <c:pt idx="333">
                  <c:v>22.98</c:v>
                </c:pt>
                <c:pt idx="334">
                  <c:v>23.200001</c:v>
                </c:pt>
                <c:pt idx="335">
                  <c:v>21.6</c:v>
                </c:pt>
                <c:pt idx="336">
                  <c:v>20.950001</c:v>
                </c:pt>
                <c:pt idx="337">
                  <c:v>18.799999</c:v>
                </c:pt>
                <c:pt idx="338">
                  <c:v>19.040001</c:v>
                </c:pt>
                <c:pt idx="339">
                  <c:v>19.600000000000001</c:v>
                </c:pt>
                <c:pt idx="340">
                  <c:v>19.700001</c:v>
                </c:pt>
                <c:pt idx="341">
                  <c:v>19.559999000000001</c:v>
                </c:pt>
                <c:pt idx="342">
                  <c:v>20.170000000000002</c:v>
                </c:pt>
                <c:pt idx="343">
                  <c:v>20.120000999999998</c:v>
                </c:pt>
                <c:pt idx="344">
                  <c:v>19.68</c:v>
                </c:pt>
                <c:pt idx="345">
                  <c:v>18.139999</c:v>
                </c:pt>
                <c:pt idx="346">
                  <c:v>18.620000999999998</c:v>
                </c:pt>
                <c:pt idx="347">
                  <c:v>18.530000999999999</c:v>
                </c:pt>
                <c:pt idx="348">
                  <c:v>19.079999999999998</c:v>
                </c:pt>
                <c:pt idx="349">
                  <c:v>20.950001</c:v>
                </c:pt>
                <c:pt idx="350">
                  <c:v>21.309999000000001</c:v>
                </c:pt>
                <c:pt idx="351">
                  <c:v>23.809999000000001</c:v>
                </c:pt>
                <c:pt idx="352">
                  <c:v>23.09</c:v>
                </c:pt>
                <c:pt idx="353">
                  <c:v>20.540001</c:v>
                </c:pt>
                <c:pt idx="354">
                  <c:v>17.510000000000002</c:v>
                </c:pt>
                <c:pt idx="355">
                  <c:v>19.030000999999999</c:v>
                </c:pt>
                <c:pt idx="356">
                  <c:v>19.98</c:v>
                </c:pt>
                <c:pt idx="357">
                  <c:v>17.200001</c:v>
                </c:pt>
                <c:pt idx="358">
                  <c:v>19.5</c:v>
                </c:pt>
                <c:pt idx="359">
                  <c:v>18.510000000000002</c:v>
                </c:pt>
                <c:pt idx="360">
                  <c:v>23.85</c:v>
                </c:pt>
                <c:pt idx="361">
                  <c:v>22.440000999999999</c:v>
                </c:pt>
                <c:pt idx="362">
                  <c:v>25.969999000000001</c:v>
                </c:pt>
                <c:pt idx="363">
                  <c:v>28.030000999999999</c:v>
                </c:pt>
                <c:pt idx="364">
                  <c:v>26.889999</c:v>
                </c:pt>
                <c:pt idx="365">
                  <c:v>29.459999</c:v>
                </c:pt>
                <c:pt idx="366">
                  <c:v>30.219999000000001</c:v>
                </c:pt>
                <c:pt idx="367">
                  <c:v>32.240001999999997</c:v>
                </c:pt>
                <c:pt idx="368">
                  <c:v>31.219999000000001</c:v>
                </c:pt>
                <c:pt idx="369">
                  <c:v>31.68</c:v>
                </c:pt>
                <c:pt idx="370">
                  <c:v>30.52</c:v>
                </c:pt>
                <c:pt idx="371">
                  <c:v>30.690000999999999</c:v>
                </c:pt>
                <c:pt idx="372">
                  <c:v>33.799999</c:v>
                </c:pt>
                <c:pt idx="373">
                  <c:v>33.599997999999999</c:v>
                </c:pt>
                <c:pt idx="374">
                  <c:v>34.07</c:v>
                </c:pt>
                <c:pt idx="375">
                  <c:v>33.82</c:v>
                </c:pt>
                <c:pt idx="376">
                  <c:v>33.200001</c:v>
                </c:pt>
                <c:pt idx="377">
                  <c:v>33.540000999999997</c:v>
                </c:pt>
                <c:pt idx="378">
                  <c:v>33.439999</c:v>
                </c:pt>
                <c:pt idx="379">
                  <c:v>34</c:v>
                </c:pt>
                <c:pt idx="380">
                  <c:v>33.659999999999997</c:v>
                </c:pt>
                <c:pt idx="381">
                  <c:v>32.700001</c:v>
                </c:pt>
                <c:pt idx="382">
                  <c:v>33.240001999999997</c:v>
                </c:pt>
                <c:pt idx="383">
                  <c:v>33.779998999999997</c:v>
                </c:pt>
                <c:pt idx="384">
                  <c:v>34.770000000000003</c:v>
                </c:pt>
                <c:pt idx="385">
                  <c:v>35.18</c:v>
                </c:pt>
                <c:pt idx="386">
                  <c:v>35.220001000000003</c:v>
                </c:pt>
                <c:pt idx="387">
                  <c:v>34.68</c:v>
                </c:pt>
                <c:pt idx="388">
                  <c:v>35.009998000000003</c:v>
                </c:pt>
                <c:pt idx="389">
                  <c:v>35.029998999999997</c:v>
                </c:pt>
                <c:pt idx="390">
                  <c:v>34.650002000000001</c:v>
                </c:pt>
                <c:pt idx="391">
                  <c:v>34.080002</c:v>
                </c:pt>
                <c:pt idx="392">
                  <c:v>35.130001</c:v>
                </c:pt>
                <c:pt idx="393">
                  <c:v>35.520000000000003</c:v>
                </c:pt>
                <c:pt idx="394">
                  <c:v>34.729999999999997</c:v>
                </c:pt>
                <c:pt idx="395">
                  <c:v>34.25</c:v>
                </c:pt>
                <c:pt idx="396">
                  <c:v>34.479999999999997</c:v>
                </c:pt>
                <c:pt idx="397">
                  <c:v>34.560001</c:v>
                </c:pt>
                <c:pt idx="398">
                  <c:v>34.150002000000001</c:v>
                </c:pt>
                <c:pt idx="399">
                  <c:v>33.970001000000003</c:v>
                </c:pt>
                <c:pt idx="400">
                  <c:v>34</c:v>
                </c:pt>
                <c:pt idx="401">
                  <c:v>33.5</c:v>
                </c:pt>
                <c:pt idx="402">
                  <c:v>33.150002000000001</c:v>
                </c:pt>
                <c:pt idx="403">
                  <c:v>33.5</c:v>
                </c:pt>
                <c:pt idx="404">
                  <c:v>33.709999000000003</c:v>
                </c:pt>
                <c:pt idx="405">
                  <c:v>33.580002</c:v>
                </c:pt>
                <c:pt idx="406">
                  <c:v>33.490001999999997</c:v>
                </c:pt>
                <c:pt idx="407">
                  <c:v>33.549999</c:v>
                </c:pt>
                <c:pt idx="408">
                  <c:v>33.549999</c:v>
                </c:pt>
                <c:pt idx="409">
                  <c:v>33.099997999999999</c:v>
                </c:pt>
                <c:pt idx="410">
                  <c:v>33.040000999999997</c:v>
                </c:pt>
                <c:pt idx="411">
                  <c:v>33.270000000000003</c:v>
                </c:pt>
                <c:pt idx="412">
                  <c:v>32.169998</c:v>
                </c:pt>
                <c:pt idx="413">
                  <c:v>32.009998000000003</c:v>
                </c:pt>
                <c:pt idx="414">
                  <c:v>31.66</c:v>
                </c:pt>
                <c:pt idx="415">
                  <c:v>31.1</c:v>
                </c:pt>
                <c:pt idx="416">
                  <c:v>30.73</c:v>
                </c:pt>
                <c:pt idx="417">
                  <c:v>31.08</c:v>
                </c:pt>
                <c:pt idx="418">
                  <c:v>30.85</c:v>
                </c:pt>
                <c:pt idx="419">
                  <c:v>30.799999</c:v>
                </c:pt>
                <c:pt idx="420">
                  <c:v>30.450001</c:v>
                </c:pt>
                <c:pt idx="421">
                  <c:v>30.549999</c:v>
                </c:pt>
                <c:pt idx="422">
                  <c:v>30.49</c:v>
                </c:pt>
                <c:pt idx="423">
                  <c:v>30.530000999999999</c:v>
                </c:pt>
                <c:pt idx="424">
                  <c:v>30.209999</c:v>
                </c:pt>
                <c:pt idx="425">
                  <c:v>29.780000999999999</c:v>
                </c:pt>
                <c:pt idx="426">
                  <c:v>29.219999000000001</c:v>
                </c:pt>
                <c:pt idx="427">
                  <c:v>29.34</c:v>
                </c:pt>
                <c:pt idx="428">
                  <c:v>28.92</c:v>
                </c:pt>
                <c:pt idx="429">
                  <c:v>29.040001</c:v>
                </c:pt>
                <c:pt idx="430">
                  <c:v>28.5</c:v>
                </c:pt>
                <c:pt idx="431">
                  <c:v>28.5</c:v>
                </c:pt>
                <c:pt idx="432">
                  <c:v>29.24</c:v>
                </c:pt>
                <c:pt idx="433">
                  <c:v>29.5</c:v>
                </c:pt>
                <c:pt idx="434">
                  <c:v>29.549999</c:v>
                </c:pt>
                <c:pt idx="435">
                  <c:v>28.709999</c:v>
                </c:pt>
                <c:pt idx="436">
                  <c:v>29.309999000000001</c:v>
                </c:pt>
                <c:pt idx="437">
                  <c:v>29.360001</c:v>
                </c:pt>
                <c:pt idx="438">
                  <c:v>28.57</c:v>
                </c:pt>
                <c:pt idx="439">
                  <c:v>28.790001</c:v>
                </c:pt>
                <c:pt idx="440">
                  <c:v>29.120000999999998</c:v>
                </c:pt>
                <c:pt idx="441">
                  <c:v>28.76</c:v>
                </c:pt>
                <c:pt idx="442">
                  <c:v>29.469999000000001</c:v>
                </c:pt>
                <c:pt idx="443">
                  <c:v>29.18</c:v>
                </c:pt>
                <c:pt idx="444">
                  <c:v>28.540001</c:v>
                </c:pt>
                <c:pt idx="445">
                  <c:v>29.32</c:v>
                </c:pt>
                <c:pt idx="446">
                  <c:v>29.040001</c:v>
                </c:pt>
                <c:pt idx="447">
                  <c:v>29.209999</c:v>
                </c:pt>
                <c:pt idx="448">
                  <c:v>29.23</c:v>
                </c:pt>
                <c:pt idx="449">
                  <c:v>28.18</c:v>
                </c:pt>
                <c:pt idx="450">
                  <c:v>28.9</c:v>
                </c:pt>
                <c:pt idx="451">
                  <c:v>28.559999000000001</c:v>
                </c:pt>
                <c:pt idx="452">
                  <c:v>28.629999000000002</c:v>
                </c:pt>
                <c:pt idx="453">
                  <c:v>28.68</c:v>
                </c:pt>
                <c:pt idx="454">
                  <c:v>28.93</c:v>
                </c:pt>
                <c:pt idx="455">
                  <c:v>29.200001</c:v>
                </c:pt>
                <c:pt idx="456">
                  <c:v>29.299999</c:v>
                </c:pt>
                <c:pt idx="457">
                  <c:v>29.190000999999999</c:v>
                </c:pt>
                <c:pt idx="458">
                  <c:v>29.440000999999999</c:v>
                </c:pt>
                <c:pt idx="459">
                  <c:v>28.83</c:v>
                </c:pt>
                <c:pt idx="460">
                  <c:v>28.389999</c:v>
                </c:pt>
                <c:pt idx="461">
                  <c:v>27.950001</c:v>
                </c:pt>
                <c:pt idx="462">
                  <c:v>27.5</c:v>
                </c:pt>
                <c:pt idx="463">
                  <c:v>27.530000999999999</c:v>
                </c:pt>
                <c:pt idx="464">
                  <c:v>27.049999</c:v>
                </c:pt>
                <c:pt idx="465">
                  <c:v>27.059999000000001</c:v>
                </c:pt>
                <c:pt idx="466">
                  <c:v>28.02</c:v>
                </c:pt>
                <c:pt idx="467">
                  <c:v>27.5</c:v>
                </c:pt>
                <c:pt idx="468">
                  <c:v>27.27</c:v>
                </c:pt>
                <c:pt idx="469">
                  <c:v>27.99</c:v>
                </c:pt>
                <c:pt idx="470">
                  <c:v>28.85</c:v>
                </c:pt>
                <c:pt idx="471">
                  <c:v>28.58</c:v>
                </c:pt>
                <c:pt idx="472">
                  <c:v>28.700001</c:v>
                </c:pt>
                <c:pt idx="473">
                  <c:v>28.43</c:v>
                </c:pt>
                <c:pt idx="474">
                  <c:v>28.57</c:v>
                </c:pt>
                <c:pt idx="475">
                  <c:v>28.700001</c:v>
                </c:pt>
                <c:pt idx="476">
                  <c:v>28.700001</c:v>
                </c:pt>
                <c:pt idx="477">
                  <c:v>28.17</c:v>
                </c:pt>
                <c:pt idx="478">
                  <c:v>27.209999</c:v>
                </c:pt>
                <c:pt idx="479">
                  <c:v>26.959999</c:v>
                </c:pt>
                <c:pt idx="480">
                  <c:v>26.33</c:v>
                </c:pt>
                <c:pt idx="481">
                  <c:v>25.950001</c:v>
                </c:pt>
                <c:pt idx="482">
                  <c:v>26.860001</c:v>
                </c:pt>
                <c:pt idx="483">
                  <c:v>27.049999</c:v>
                </c:pt>
                <c:pt idx="484">
                  <c:v>26.07</c:v>
                </c:pt>
                <c:pt idx="485">
                  <c:v>25.540001</c:v>
                </c:pt>
                <c:pt idx="486">
                  <c:v>26.299999</c:v>
                </c:pt>
                <c:pt idx="487">
                  <c:v>26.57</c:v>
                </c:pt>
                <c:pt idx="488">
                  <c:v>26.299999</c:v>
                </c:pt>
                <c:pt idx="489">
                  <c:v>26.040001</c:v>
                </c:pt>
                <c:pt idx="490">
                  <c:v>26.200001</c:v>
                </c:pt>
                <c:pt idx="491">
                  <c:v>25.99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B5-AE49-B97D-1C9180F02193}"/>
            </c:ext>
          </c:extLst>
        </c:ser>
        <c:ser>
          <c:idx val="6"/>
          <c:order val="6"/>
          <c:tx>
            <c:strRef>
              <c:f>'Retornos da Carteira de Ações'!$H$5</c:f>
              <c:strCache>
                <c:ptCount val="1"/>
                <c:pt idx="0">
                  <c:v>Petrobras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Ações'!$H$6:$H$497</c:f>
              <c:numCache>
                <c:formatCode>#,##0.00</c:formatCode>
                <c:ptCount val="492"/>
                <c:pt idx="0">
                  <c:v>28.49</c:v>
                </c:pt>
                <c:pt idx="1">
                  <c:v>27.49</c:v>
                </c:pt>
                <c:pt idx="2">
                  <c:v>27.73</c:v>
                </c:pt>
                <c:pt idx="3">
                  <c:v>27.58</c:v>
                </c:pt>
                <c:pt idx="4">
                  <c:v>27.02</c:v>
                </c:pt>
                <c:pt idx="5">
                  <c:v>26.6</c:v>
                </c:pt>
                <c:pt idx="6">
                  <c:v>26.639999</c:v>
                </c:pt>
                <c:pt idx="7">
                  <c:v>26.790001</c:v>
                </c:pt>
                <c:pt idx="8">
                  <c:v>27.030000999999999</c:v>
                </c:pt>
                <c:pt idx="9">
                  <c:v>28.639999</c:v>
                </c:pt>
                <c:pt idx="10">
                  <c:v>29.35</c:v>
                </c:pt>
                <c:pt idx="11">
                  <c:v>29.1</c:v>
                </c:pt>
                <c:pt idx="12">
                  <c:v>28.67</c:v>
                </c:pt>
                <c:pt idx="13">
                  <c:v>28.280000999999999</c:v>
                </c:pt>
                <c:pt idx="14">
                  <c:v>28.190000999999999</c:v>
                </c:pt>
                <c:pt idx="15">
                  <c:v>28.389999</c:v>
                </c:pt>
                <c:pt idx="16">
                  <c:v>28.35</c:v>
                </c:pt>
                <c:pt idx="17">
                  <c:v>26.280000999999999</c:v>
                </c:pt>
                <c:pt idx="18">
                  <c:v>26.85</c:v>
                </c:pt>
                <c:pt idx="19">
                  <c:v>26.41</c:v>
                </c:pt>
                <c:pt idx="20">
                  <c:v>26.91</c:v>
                </c:pt>
                <c:pt idx="21">
                  <c:v>27.809999000000001</c:v>
                </c:pt>
                <c:pt idx="22">
                  <c:v>27.709999</c:v>
                </c:pt>
                <c:pt idx="23">
                  <c:v>27.15</c:v>
                </c:pt>
                <c:pt idx="24">
                  <c:v>27.469999000000001</c:v>
                </c:pt>
                <c:pt idx="25">
                  <c:v>26.74</c:v>
                </c:pt>
                <c:pt idx="26">
                  <c:v>26.9</c:v>
                </c:pt>
                <c:pt idx="27">
                  <c:v>26.959999</c:v>
                </c:pt>
                <c:pt idx="28">
                  <c:v>26.59</c:v>
                </c:pt>
                <c:pt idx="29">
                  <c:v>26.24</c:v>
                </c:pt>
                <c:pt idx="30">
                  <c:v>26.68</c:v>
                </c:pt>
                <c:pt idx="31">
                  <c:v>27.08</c:v>
                </c:pt>
                <c:pt idx="32">
                  <c:v>27.67</c:v>
                </c:pt>
                <c:pt idx="33">
                  <c:v>27.9</c:v>
                </c:pt>
                <c:pt idx="34">
                  <c:v>27.73</c:v>
                </c:pt>
                <c:pt idx="35">
                  <c:v>27.49</c:v>
                </c:pt>
                <c:pt idx="36">
                  <c:v>28.049999</c:v>
                </c:pt>
                <c:pt idx="37">
                  <c:v>27.67</c:v>
                </c:pt>
                <c:pt idx="38">
                  <c:v>28.85</c:v>
                </c:pt>
                <c:pt idx="39">
                  <c:v>29.18</c:v>
                </c:pt>
                <c:pt idx="40">
                  <c:v>29.059999000000001</c:v>
                </c:pt>
                <c:pt idx="41">
                  <c:v>29.43</c:v>
                </c:pt>
                <c:pt idx="42">
                  <c:v>29.18</c:v>
                </c:pt>
                <c:pt idx="43">
                  <c:v>29.049999</c:v>
                </c:pt>
                <c:pt idx="44">
                  <c:v>29.1</c:v>
                </c:pt>
                <c:pt idx="45">
                  <c:v>29.65</c:v>
                </c:pt>
                <c:pt idx="46">
                  <c:v>29.299999</c:v>
                </c:pt>
                <c:pt idx="47">
                  <c:v>29.1</c:v>
                </c:pt>
                <c:pt idx="48">
                  <c:v>28.950001</c:v>
                </c:pt>
                <c:pt idx="49">
                  <c:v>28.32</c:v>
                </c:pt>
                <c:pt idx="50">
                  <c:v>28.129999000000002</c:v>
                </c:pt>
                <c:pt idx="51">
                  <c:v>29.139999</c:v>
                </c:pt>
                <c:pt idx="52">
                  <c:v>29.030000999999999</c:v>
                </c:pt>
                <c:pt idx="53">
                  <c:v>28.75</c:v>
                </c:pt>
                <c:pt idx="54">
                  <c:v>28.57</c:v>
                </c:pt>
                <c:pt idx="55">
                  <c:v>28.68</c:v>
                </c:pt>
                <c:pt idx="56">
                  <c:v>28.66</c:v>
                </c:pt>
                <c:pt idx="57">
                  <c:v>28.66</c:v>
                </c:pt>
                <c:pt idx="58">
                  <c:v>28.290001</c:v>
                </c:pt>
                <c:pt idx="59">
                  <c:v>28.5</c:v>
                </c:pt>
                <c:pt idx="60">
                  <c:v>27.870000999999998</c:v>
                </c:pt>
                <c:pt idx="61">
                  <c:v>27.290001</c:v>
                </c:pt>
                <c:pt idx="62">
                  <c:v>26.870000999999998</c:v>
                </c:pt>
                <c:pt idx="63">
                  <c:v>26.99</c:v>
                </c:pt>
                <c:pt idx="64">
                  <c:v>25.91</c:v>
                </c:pt>
                <c:pt idx="65">
                  <c:v>26.09</c:v>
                </c:pt>
                <c:pt idx="66">
                  <c:v>25.84</c:v>
                </c:pt>
                <c:pt idx="67">
                  <c:v>26.389999</c:v>
                </c:pt>
                <c:pt idx="68">
                  <c:v>25.950001</c:v>
                </c:pt>
                <c:pt idx="69">
                  <c:v>25.93</c:v>
                </c:pt>
                <c:pt idx="70">
                  <c:v>26.15</c:v>
                </c:pt>
                <c:pt idx="71">
                  <c:v>26.35</c:v>
                </c:pt>
                <c:pt idx="72">
                  <c:v>26.66</c:v>
                </c:pt>
                <c:pt idx="73">
                  <c:v>26.299999</c:v>
                </c:pt>
                <c:pt idx="74">
                  <c:v>24.99</c:v>
                </c:pt>
                <c:pt idx="75">
                  <c:v>24.780000999999999</c:v>
                </c:pt>
                <c:pt idx="76">
                  <c:v>25.15</c:v>
                </c:pt>
                <c:pt idx="77">
                  <c:v>24.700001</c:v>
                </c:pt>
                <c:pt idx="78">
                  <c:v>24.379999000000002</c:v>
                </c:pt>
                <c:pt idx="79">
                  <c:v>23.5</c:v>
                </c:pt>
                <c:pt idx="80">
                  <c:v>23.83</c:v>
                </c:pt>
                <c:pt idx="81">
                  <c:v>22.889999</c:v>
                </c:pt>
                <c:pt idx="82">
                  <c:v>23.43</c:v>
                </c:pt>
                <c:pt idx="83">
                  <c:v>23.620000999999998</c:v>
                </c:pt>
                <c:pt idx="84">
                  <c:v>23.620000999999998</c:v>
                </c:pt>
                <c:pt idx="85">
                  <c:v>23.940000999999999</c:v>
                </c:pt>
                <c:pt idx="86">
                  <c:v>23.1</c:v>
                </c:pt>
                <c:pt idx="87">
                  <c:v>23.780000999999999</c:v>
                </c:pt>
                <c:pt idx="88">
                  <c:v>23.690000999999999</c:v>
                </c:pt>
                <c:pt idx="89">
                  <c:v>23.709999</c:v>
                </c:pt>
                <c:pt idx="90">
                  <c:v>23.82</c:v>
                </c:pt>
                <c:pt idx="91">
                  <c:v>24.280000999999999</c:v>
                </c:pt>
                <c:pt idx="92">
                  <c:v>22.950001</c:v>
                </c:pt>
                <c:pt idx="93">
                  <c:v>23.09</c:v>
                </c:pt>
                <c:pt idx="94">
                  <c:v>24.35</c:v>
                </c:pt>
                <c:pt idx="95">
                  <c:v>23.969999000000001</c:v>
                </c:pt>
                <c:pt idx="96">
                  <c:v>23.889999</c:v>
                </c:pt>
                <c:pt idx="97">
                  <c:v>23.65</c:v>
                </c:pt>
                <c:pt idx="98">
                  <c:v>23.700001</c:v>
                </c:pt>
                <c:pt idx="99">
                  <c:v>24</c:v>
                </c:pt>
                <c:pt idx="100">
                  <c:v>24.02</c:v>
                </c:pt>
                <c:pt idx="101">
                  <c:v>24.040001</c:v>
                </c:pt>
                <c:pt idx="102">
                  <c:v>23.889999</c:v>
                </c:pt>
                <c:pt idx="103">
                  <c:v>24.1</c:v>
                </c:pt>
                <c:pt idx="104">
                  <c:v>23.83</c:v>
                </c:pt>
                <c:pt idx="105">
                  <c:v>23.83</c:v>
                </c:pt>
                <c:pt idx="106">
                  <c:v>23.459999</c:v>
                </c:pt>
                <c:pt idx="107">
                  <c:v>23.200001</c:v>
                </c:pt>
                <c:pt idx="108">
                  <c:v>22.82</c:v>
                </c:pt>
                <c:pt idx="109">
                  <c:v>22.799999</c:v>
                </c:pt>
                <c:pt idx="110">
                  <c:v>23.52</c:v>
                </c:pt>
                <c:pt idx="111">
                  <c:v>24</c:v>
                </c:pt>
                <c:pt idx="112">
                  <c:v>23.24</c:v>
                </c:pt>
                <c:pt idx="113">
                  <c:v>24.08</c:v>
                </c:pt>
                <c:pt idx="114">
                  <c:v>23.280000999999999</c:v>
                </c:pt>
                <c:pt idx="115">
                  <c:v>23.65</c:v>
                </c:pt>
                <c:pt idx="116">
                  <c:v>23.17</c:v>
                </c:pt>
                <c:pt idx="117">
                  <c:v>23.290001</c:v>
                </c:pt>
                <c:pt idx="118">
                  <c:v>22.34</c:v>
                </c:pt>
                <c:pt idx="119">
                  <c:v>21.59</c:v>
                </c:pt>
                <c:pt idx="120">
                  <c:v>21.1</c:v>
                </c:pt>
                <c:pt idx="121">
                  <c:v>22.389999</c:v>
                </c:pt>
                <c:pt idx="122">
                  <c:v>22.219999000000001</c:v>
                </c:pt>
                <c:pt idx="123">
                  <c:v>21.190000999999999</c:v>
                </c:pt>
                <c:pt idx="124">
                  <c:v>21.99</c:v>
                </c:pt>
                <c:pt idx="125">
                  <c:v>22</c:v>
                </c:pt>
                <c:pt idx="126">
                  <c:v>22.24</c:v>
                </c:pt>
                <c:pt idx="127">
                  <c:v>23.190000999999999</c:v>
                </c:pt>
                <c:pt idx="128">
                  <c:v>24.4</c:v>
                </c:pt>
                <c:pt idx="129">
                  <c:v>24.059999000000001</c:v>
                </c:pt>
                <c:pt idx="130">
                  <c:v>21.67</c:v>
                </c:pt>
                <c:pt idx="131">
                  <c:v>27.33</c:v>
                </c:pt>
                <c:pt idx="132">
                  <c:v>29.27</c:v>
                </c:pt>
                <c:pt idx="133">
                  <c:v>28.440000999999999</c:v>
                </c:pt>
                <c:pt idx="134">
                  <c:v>28.08</c:v>
                </c:pt>
                <c:pt idx="135">
                  <c:v>27.799999</c:v>
                </c:pt>
                <c:pt idx="136">
                  <c:v>27.540001</c:v>
                </c:pt>
                <c:pt idx="137">
                  <c:v>28.110001</c:v>
                </c:pt>
                <c:pt idx="138">
                  <c:v>28.84</c:v>
                </c:pt>
                <c:pt idx="139">
                  <c:v>28.82</c:v>
                </c:pt>
                <c:pt idx="140">
                  <c:v>28.940000999999999</c:v>
                </c:pt>
                <c:pt idx="141">
                  <c:v>28.66</c:v>
                </c:pt>
                <c:pt idx="142">
                  <c:v>27.530000999999999</c:v>
                </c:pt>
                <c:pt idx="143">
                  <c:v>26.690000999999999</c:v>
                </c:pt>
                <c:pt idx="144">
                  <c:v>27.76</c:v>
                </c:pt>
                <c:pt idx="145">
                  <c:v>27.4</c:v>
                </c:pt>
                <c:pt idx="146">
                  <c:v>27</c:v>
                </c:pt>
                <c:pt idx="147">
                  <c:v>27.09</c:v>
                </c:pt>
                <c:pt idx="148">
                  <c:v>27.549999</c:v>
                </c:pt>
                <c:pt idx="149">
                  <c:v>28.209999</c:v>
                </c:pt>
                <c:pt idx="150">
                  <c:v>28.690000999999999</c:v>
                </c:pt>
                <c:pt idx="151">
                  <c:v>28.07</c:v>
                </c:pt>
                <c:pt idx="152">
                  <c:v>28.120000999999998</c:v>
                </c:pt>
                <c:pt idx="153">
                  <c:v>29.450001</c:v>
                </c:pt>
                <c:pt idx="154">
                  <c:v>29.15</c:v>
                </c:pt>
                <c:pt idx="155">
                  <c:v>30.629999000000002</c:v>
                </c:pt>
                <c:pt idx="156">
                  <c:v>30.860001</c:v>
                </c:pt>
                <c:pt idx="157">
                  <c:v>31.120000999999998</c:v>
                </c:pt>
                <c:pt idx="158">
                  <c:v>31</c:v>
                </c:pt>
                <c:pt idx="159">
                  <c:v>30.1</c:v>
                </c:pt>
                <c:pt idx="160">
                  <c:v>30.040001</c:v>
                </c:pt>
                <c:pt idx="161">
                  <c:v>28.91</c:v>
                </c:pt>
                <c:pt idx="162">
                  <c:v>28.34</c:v>
                </c:pt>
                <c:pt idx="163">
                  <c:v>28.27</c:v>
                </c:pt>
                <c:pt idx="164">
                  <c:v>28.18</c:v>
                </c:pt>
                <c:pt idx="165">
                  <c:v>27.950001</c:v>
                </c:pt>
                <c:pt idx="166">
                  <c:v>27.280000999999999</c:v>
                </c:pt>
                <c:pt idx="167">
                  <c:v>27.02</c:v>
                </c:pt>
                <c:pt idx="168">
                  <c:v>28.1</c:v>
                </c:pt>
                <c:pt idx="169">
                  <c:v>28.24</c:v>
                </c:pt>
                <c:pt idx="170">
                  <c:v>28.190000999999999</c:v>
                </c:pt>
                <c:pt idx="171">
                  <c:v>27.85</c:v>
                </c:pt>
                <c:pt idx="172">
                  <c:v>27.620000999999998</c:v>
                </c:pt>
                <c:pt idx="173">
                  <c:v>27.57</c:v>
                </c:pt>
                <c:pt idx="174">
                  <c:v>27.82</c:v>
                </c:pt>
                <c:pt idx="175">
                  <c:v>26.940000999999999</c:v>
                </c:pt>
                <c:pt idx="176">
                  <c:v>26.66</c:v>
                </c:pt>
                <c:pt idx="177">
                  <c:v>27</c:v>
                </c:pt>
                <c:pt idx="178">
                  <c:v>27.530000999999999</c:v>
                </c:pt>
                <c:pt idx="179">
                  <c:v>26.639999</c:v>
                </c:pt>
                <c:pt idx="180">
                  <c:v>25.91</c:v>
                </c:pt>
                <c:pt idx="181">
                  <c:v>25.6</c:v>
                </c:pt>
                <c:pt idx="182">
                  <c:v>24.9</c:v>
                </c:pt>
                <c:pt idx="183">
                  <c:v>25.5</c:v>
                </c:pt>
                <c:pt idx="184">
                  <c:v>25.82</c:v>
                </c:pt>
                <c:pt idx="185">
                  <c:v>26.25</c:v>
                </c:pt>
                <c:pt idx="186">
                  <c:v>26.219999000000001</c:v>
                </c:pt>
                <c:pt idx="187">
                  <c:v>25.1</c:v>
                </c:pt>
                <c:pt idx="188">
                  <c:v>23.82</c:v>
                </c:pt>
                <c:pt idx="189">
                  <c:v>23.549999</c:v>
                </c:pt>
                <c:pt idx="190">
                  <c:v>23.690000999999999</c:v>
                </c:pt>
                <c:pt idx="191">
                  <c:v>23.290001</c:v>
                </c:pt>
                <c:pt idx="192">
                  <c:v>22.629999000000002</c:v>
                </c:pt>
                <c:pt idx="193">
                  <c:v>21.91</c:v>
                </c:pt>
                <c:pt idx="194">
                  <c:v>22.879999000000002</c:v>
                </c:pt>
                <c:pt idx="195">
                  <c:v>23.08</c:v>
                </c:pt>
                <c:pt idx="196">
                  <c:v>21.610001</c:v>
                </c:pt>
                <c:pt idx="197">
                  <c:v>19.75</c:v>
                </c:pt>
                <c:pt idx="198">
                  <c:v>19.889999</c:v>
                </c:pt>
                <c:pt idx="199">
                  <c:v>19.719999000000001</c:v>
                </c:pt>
                <c:pt idx="200">
                  <c:v>19.649999999999999</c:v>
                </c:pt>
                <c:pt idx="201">
                  <c:v>18.940000999999999</c:v>
                </c:pt>
                <c:pt idx="202">
                  <c:v>19.290001</c:v>
                </c:pt>
                <c:pt idx="203">
                  <c:v>18.670000000000002</c:v>
                </c:pt>
                <c:pt idx="204">
                  <c:v>19.879999000000002</c:v>
                </c:pt>
                <c:pt idx="205">
                  <c:v>20.25</c:v>
                </c:pt>
                <c:pt idx="206">
                  <c:v>20.57</c:v>
                </c:pt>
                <c:pt idx="207">
                  <c:v>20.84</c:v>
                </c:pt>
                <c:pt idx="208">
                  <c:v>20.16</c:v>
                </c:pt>
                <c:pt idx="209">
                  <c:v>20.18</c:v>
                </c:pt>
                <c:pt idx="210">
                  <c:v>19.52</c:v>
                </c:pt>
                <c:pt idx="211">
                  <c:v>19.329999999999998</c:v>
                </c:pt>
                <c:pt idx="212">
                  <c:v>19.75</c:v>
                </c:pt>
                <c:pt idx="213">
                  <c:v>19.969999000000001</c:v>
                </c:pt>
                <c:pt idx="214">
                  <c:v>20.129999000000002</c:v>
                </c:pt>
                <c:pt idx="215">
                  <c:v>19.799999</c:v>
                </c:pt>
                <c:pt idx="216">
                  <c:v>20.440000999999999</c:v>
                </c:pt>
                <c:pt idx="217">
                  <c:v>19.790001</c:v>
                </c:pt>
                <c:pt idx="218">
                  <c:v>19.93</c:v>
                </c:pt>
                <c:pt idx="219">
                  <c:v>20.030000999999999</c:v>
                </c:pt>
                <c:pt idx="220">
                  <c:v>19.02</c:v>
                </c:pt>
                <c:pt idx="221">
                  <c:v>19.850000000000001</c:v>
                </c:pt>
                <c:pt idx="222">
                  <c:v>19.610001</c:v>
                </c:pt>
                <c:pt idx="223">
                  <c:v>19.309999000000001</c:v>
                </c:pt>
                <c:pt idx="224">
                  <c:v>19.629999000000002</c:v>
                </c:pt>
                <c:pt idx="225">
                  <c:v>20.129999000000002</c:v>
                </c:pt>
                <c:pt idx="226">
                  <c:v>20.399999999999999</c:v>
                </c:pt>
                <c:pt idx="227">
                  <c:v>20.23</c:v>
                </c:pt>
                <c:pt idx="228">
                  <c:v>20.799999</c:v>
                </c:pt>
                <c:pt idx="229">
                  <c:v>20.9</c:v>
                </c:pt>
                <c:pt idx="230">
                  <c:v>21.65</c:v>
                </c:pt>
                <c:pt idx="231">
                  <c:v>22.15</c:v>
                </c:pt>
                <c:pt idx="232">
                  <c:v>21.73</c:v>
                </c:pt>
                <c:pt idx="233">
                  <c:v>21.67</c:v>
                </c:pt>
                <c:pt idx="234">
                  <c:v>21.68</c:v>
                </c:pt>
                <c:pt idx="235">
                  <c:v>21.879999000000002</c:v>
                </c:pt>
                <c:pt idx="236">
                  <c:v>22.120000999999998</c:v>
                </c:pt>
                <c:pt idx="237">
                  <c:v>22.73</c:v>
                </c:pt>
                <c:pt idx="238">
                  <c:v>22.26</c:v>
                </c:pt>
                <c:pt idx="239">
                  <c:v>22.92</c:v>
                </c:pt>
                <c:pt idx="240">
                  <c:v>22.879999000000002</c:v>
                </c:pt>
                <c:pt idx="241">
                  <c:v>22.799999</c:v>
                </c:pt>
                <c:pt idx="242">
                  <c:v>22.870000999999998</c:v>
                </c:pt>
                <c:pt idx="243">
                  <c:v>21.889999</c:v>
                </c:pt>
                <c:pt idx="244">
                  <c:v>22.540001</c:v>
                </c:pt>
                <c:pt idx="245">
                  <c:v>22.15</c:v>
                </c:pt>
                <c:pt idx="246">
                  <c:v>22.219999000000001</c:v>
                </c:pt>
                <c:pt idx="247">
                  <c:v>22.870000999999998</c:v>
                </c:pt>
                <c:pt idx="248">
                  <c:v>22.969999000000001</c:v>
                </c:pt>
                <c:pt idx="249">
                  <c:v>22.559999000000001</c:v>
                </c:pt>
                <c:pt idx="250">
                  <c:v>22.73</c:v>
                </c:pt>
                <c:pt idx="251">
                  <c:v>22.889999</c:v>
                </c:pt>
                <c:pt idx="252">
                  <c:v>23.02</c:v>
                </c:pt>
                <c:pt idx="253">
                  <c:v>22.6</c:v>
                </c:pt>
                <c:pt idx="254">
                  <c:v>22.67</c:v>
                </c:pt>
                <c:pt idx="255">
                  <c:v>22.84</c:v>
                </c:pt>
                <c:pt idx="256">
                  <c:v>23.48</c:v>
                </c:pt>
                <c:pt idx="257">
                  <c:v>23.08</c:v>
                </c:pt>
                <c:pt idx="258">
                  <c:v>23.450001</c:v>
                </c:pt>
                <c:pt idx="259">
                  <c:v>22.790001</c:v>
                </c:pt>
                <c:pt idx="260">
                  <c:v>23.219999000000001</c:v>
                </c:pt>
                <c:pt idx="261">
                  <c:v>23.18</c:v>
                </c:pt>
                <c:pt idx="262">
                  <c:v>21.780000999999999</c:v>
                </c:pt>
                <c:pt idx="263">
                  <c:v>21.799999</c:v>
                </c:pt>
                <c:pt idx="264">
                  <c:v>22.200001</c:v>
                </c:pt>
                <c:pt idx="265">
                  <c:v>22.82</c:v>
                </c:pt>
                <c:pt idx="266">
                  <c:v>23.17</c:v>
                </c:pt>
                <c:pt idx="267">
                  <c:v>22.799999</c:v>
                </c:pt>
                <c:pt idx="268">
                  <c:v>23.200001</c:v>
                </c:pt>
                <c:pt idx="269">
                  <c:v>22.73</c:v>
                </c:pt>
                <c:pt idx="270">
                  <c:v>22.57</c:v>
                </c:pt>
                <c:pt idx="271">
                  <c:v>23.049999</c:v>
                </c:pt>
                <c:pt idx="272">
                  <c:v>23.370000999999998</c:v>
                </c:pt>
                <c:pt idx="273">
                  <c:v>22.74</c:v>
                </c:pt>
                <c:pt idx="274">
                  <c:v>22.74</c:v>
                </c:pt>
                <c:pt idx="275">
                  <c:v>22.719999000000001</c:v>
                </c:pt>
                <c:pt idx="276">
                  <c:v>23.34</c:v>
                </c:pt>
                <c:pt idx="277">
                  <c:v>22.9</c:v>
                </c:pt>
                <c:pt idx="278">
                  <c:v>22.16</c:v>
                </c:pt>
                <c:pt idx="279">
                  <c:v>22.51</c:v>
                </c:pt>
                <c:pt idx="280">
                  <c:v>22.139999</c:v>
                </c:pt>
                <c:pt idx="281">
                  <c:v>22.65</c:v>
                </c:pt>
                <c:pt idx="282">
                  <c:v>22.23</c:v>
                </c:pt>
                <c:pt idx="283">
                  <c:v>22.51</c:v>
                </c:pt>
                <c:pt idx="284">
                  <c:v>21.98</c:v>
                </c:pt>
                <c:pt idx="285">
                  <c:v>22.059999000000001</c:v>
                </c:pt>
                <c:pt idx="286">
                  <c:v>21.709999</c:v>
                </c:pt>
                <c:pt idx="287">
                  <c:v>21.549999</c:v>
                </c:pt>
                <c:pt idx="288">
                  <c:v>21.66</c:v>
                </c:pt>
                <c:pt idx="289">
                  <c:v>20.84</c:v>
                </c:pt>
                <c:pt idx="290">
                  <c:v>21.469999000000001</c:v>
                </c:pt>
                <c:pt idx="291">
                  <c:v>21</c:v>
                </c:pt>
                <c:pt idx="292">
                  <c:v>21.65</c:v>
                </c:pt>
                <c:pt idx="293">
                  <c:v>20.950001</c:v>
                </c:pt>
                <c:pt idx="294">
                  <c:v>21.469999000000001</c:v>
                </c:pt>
                <c:pt idx="295">
                  <c:v>21.6</c:v>
                </c:pt>
                <c:pt idx="296">
                  <c:v>21.440000999999999</c:v>
                </c:pt>
                <c:pt idx="297">
                  <c:v>21.370000999999998</c:v>
                </c:pt>
                <c:pt idx="298">
                  <c:v>20.700001</c:v>
                </c:pt>
                <c:pt idx="299">
                  <c:v>20.6</c:v>
                </c:pt>
                <c:pt idx="300">
                  <c:v>21.4</c:v>
                </c:pt>
                <c:pt idx="301">
                  <c:v>21.719999000000001</c:v>
                </c:pt>
                <c:pt idx="302">
                  <c:v>22.530000999999999</c:v>
                </c:pt>
                <c:pt idx="303">
                  <c:v>22.1</c:v>
                </c:pt>
                <c:pt idx="304">
                  <c:v>21.43</c:v>
                </c:pt>
                <c:pt idx="305">
                  <c:v>21.469999000000001</c:v>
                </c:pt>
                <c:pt idx="306">
                  <c:v>21.4</c:v>
                </c:pt>
                <c:pt idx="307">
                  <c:v>20.329999999999998</c:v>
                </c:pt>
                <c:pt idx="308">
                  <c:v>20.34</c:v>
                </c:pt>
                <c:pt idx="309">
                  <c:v>19.77</c:v>
                </c:pt>
                <c:pt idx="310">
                  <c:v>19.93</c:v>
                </c:pt>
                <c:pt idx="311">
                  <c:v>19.670000000000002</c:v>
                </c:pt>
                <c:pt idx="312">
                  <c:v>19.48</c:v>
                </c:pt>
                <c:pt idx="313">
                  <c:v>18.670000000000002</c:v>
                </c:pt>
                <c:pt idx="314">
                  <c:v>19.190000999999999</c:v>
                </c:pt>
                <c:pt idx="315">
                  <c:v>19.299999</c:v>
                </c:pt>
                <c:pt idx="316">
                  <c:v>18.68</c:v>
                </c:pt>
                <c:pt idx="317">
                  <c:v>18.540001</c:v>
                </c:pt>
                <c:pt idx="318">
                  <c:v>17.149999999999999</c:v>
                </c:pt>
                <c:pt idx="319">
                  <c:v>17.399999999999999</c:v>
                </c:pt>
                <c:pt idx="320">
                  <c:v>17.59</c:v>
                </c:pt>
                <c:pt idx="321">
                  <c:v>18.139999</c:v>
                </c:pt>
                <c:pt idx="322">
                  <c:v>18.149999999999999</c:v>
                </c:pt>
                <c:pt idx="323">
                  <c:v>18.48</c:v>
                </c:pt>
                <c:pt idx="324">
                  <c:v>17.440000999999999</c:v>
                </c:pt>
                <c:pt idx="325">
                  <c:v>17.280000999999999</c:v>
                </c:pt>
                <c:pt idx="326">
                  <c:v>17.940000999999999</c:v>
                </c:pt>
                <c:pt idx="327">
                  <c:v>17.379999000000002</c:v>
                </c:pt>
                <c:pt idx="328">
                  <c:v>18.049999</c:v>
                </c:pt>
                <c:pt idx="329">
                  <c:v>18.200001</c:v>
                </c:pt>
                <c:pt idx="330">
                  <c:v>17.25</c:v>
                </c:pt>
                <c:pt idx="331">
                  <c:v>16.450001</c:v>
                </c:pt>
                <c:pt idx="332">
                  <c:v>15.95</c:v>
                </c:pt>
                <c:pt idx="333">
                  <c:v>16.950001</c:v>
                </c:pt>
                <c:pt idx="334">
                  <c:v>16.75</c:v>
                </c:pt>
                <c:pt idx="335">
                  <c:v>15.95</c:v>
                </c:pt>
                <c:pt idx="336">
                  <c:v>16.129999000000002</c:v>
                </c:pt>
                <c:pt idx="337">
                  <c:v>15.72</c:v>
                </c:pt>
                <c:pt idx="338">
                  <c:v>16.379999000000002</c:v>
                </c:pt>
                <c:pt idx="339">
                  <c:v>16.73</c:v>
                </c:pt>
                <c:pt idx="340">
                  <c:v>16.93</c:v>
                </c:pt>
                <c:pt idx="341">
                  <c:v>16.82</c:v>
                </c:pt>
                <c:pt idx="342">
                  <c:v>17.32</c:v>
                </c:pt>
                <c:pt idx="343">
                  <c:v>16.399999999999999</c:v>
                </c:pt>
                <c:pt idx="344">
                  <c:v>15.77</c:v>
                </c:pt>
                <c:pt idx="345">
                  <c:v>15.34</c:v>
                </c:pt>
                <c:pt idx="346">
                  <c:v>15.51</c:v>
                </c:pt>
                <c:pt idx="347">
                  <c:v>14.3</c:v>
                </c:pt>
                <c:pt idx="348">
                  <c:v>13.99</c:v>
                </c:pt>
                <c:pt idx="349">
                  <c:v>13.38</c:v>
                </c:pt>
                <c:pt idx="350">
                  <c:v>13.3</c:v>
                </c:pt>
                <c:pt idx="351">
                  <c:v>14.39</c:v>
                </c:pt>
                <c:pt idx="352">
                  <c:v>14.32</c:v>
                </c:pt>
                <c:pt idx="353">
                  <c:v>13.25</c:v>
                </c:pt>
                <c:pt idx="354">
                  <c:v>11.5</c:v>
                </c:pt>
                <c:pt idx="355">
                  <c:v>12</c:v>
                </c:pt>
                <c:pt idx="356">
                  <c:v>12.21</c:v>
                </c:pt>
                <c:pt idx="357">
                  <c:v>11.29</c:v>
                </c:pt>
                <c:pt idx="358">
                  <c:v>13</c:v>
                </c:pt>
                <c:pt idx="359">
                  <c:v>13.09</c:v>
                </c:pt>
                <c:pt idx="360">
                  <c:v>15.4</c:v>
                </c:pt>
                <c:pt idx="361">
                  <c:v>12.6</c:v>
                </c:pt>
                <c:pt idx="362">
                  <c:v>15.85</c:v>
                </c:pt>
                <c:pt idx="363">
                  <c:v>17.559999000000001</c:v>
                </c:pt>
                <c:pt idx="364">
                  <c:v>16.049999</c:v>
                </c:pt>
                <c:pt idx="365">
                  <c:v>22.83</c:v>
                </c:pt>
                <c:pt idx="366">
                  <c:v>25.290001</c:v>
                </c:pt>
                <c:pt idx="367">
                  <c:v>26.889999</c:v>
                </c:pt>
                <c:pt idx="368">
                  <c:v>26.049999</c:v>
                </c:pt>
                <c:pt idx="369">
                  <c:v>26.530000999999999</c:v>
                </c:pt>
                <c:pt idx="370">
                  <c:v>25.34</c:v>
                </c:pt>
                <c:pt idx="371">
                  <c:v>25.299999</c:v>
                </c:pt>
                <c:pt idx="372">
                  <c:v>29.139999</c:v>
                </c:pt>
                <c:pt idx="373">
                  <c:v>29.92</c:v>
                </c:pt>
                <c:pt idx="374">
                  <c:v>30.549999</c:v>
                </c:pt>
                <c:pt idx="375">
                  <c:v>29.75</c:v>
                </c:pt>
                <c:pt idx="376">
                  <c:v>29.360001</c:v>
                </c:pt>
                <c:pt idx="377">
                  <c:v>29.42</c:v>
                </c:pt>
                <c:pt idx="378">
                  <c:v>29.719999000000001</c:v>
                </c:pt>
                <c:pt idx="379">
                  <c:v>30.129999000000002</c:v>
                </c:pt>
                <c:pt idx="380">
                  <c:v>29.48</c:v>
                </c:pt>
                <c:pt idx="381">
                  <c:v>29.129999000000002</c:v>
                </c:pt>
                <c:pt idx="382">
                  <c:v>28.93</c:v>
                </c:pt>
                <c:pt idx="383">
                  <c:v>29.18</c:v>
                </c:pt>
                <c:pt idx="384">
                  <c:v>28.389999</c:v>
                </c:pt>
                <c:pt idx="385">
                  <c:v>28.629999000000002</c:v>
                </c:pt>
                <c:pt idx="386">
                  <c:v>28.18</c:v>
                </c:pt>
                <c:pt idx="387">
                  <c:v>28.450001</c:v>
                </c:pt>
                <c:pt idx="388">
                  <c:v>28.940000999999999</c:v>
                </c:pt>
                <c:pt idx="389">
                  <c:v>28.85</c:v>
                </c:pt>
                <c:pt idx="390">
                  <c:v>28.799999</c:v>
                </c:pt>
                <c:pt idx="391">
                  <c:v>28.030000999999999</c:v>
                </c:pt>
                <c:pt idx="392">
                  <c:v>29.299999</c:v>
                </c:pt>
                <c:pt idx="393">
                  <c:v>29.65</c:v>
                </c:pt>
                <c:pt idx="394">
                  <c:v>29.290001</c:v>
                </c:pt>
                <c:pt idx="395">
                  <c:v>29.620000999999998</c:v>
                </c:pt>
                <c:pt idx="396">
                  <c:v>30</c:v>
                </c:pt>
                <c:pt idx="397">
                  <c:v>29.85</c:v>
                </c:pt>
                <c:pt idx="398">
                  <c:v>29.52</c:v>
                </c:pt>
                <c:pt idx="399">
                  <c:v>29.549999</c:v>
                </c:pt>
                <c:pt idx="400">
                  <c:v>30</c:v>
                </c:pt>
                <c:pt idx="401">
                  <c:v>30.33</c:v>
                </c:pt>
                <c:pt idx="402">
                  <c:v>30.27</c:v>
                </c:pt>
                <c:pt idx="403">
                  <c:v>30.4</c:v>
                </c:pt>
                <c:pt idx="404">
                  <c:v>30.5</c:v>
                </c:pt>
                <c:pt idx="405">
                  <c:v>30.690000999999999</c:v>
                </c:pt>
                <c:pt idx="406">
                  <c:v>30.809999000000001</c:v>
                </c:pt>
                <c:pt idx="407">
                  <c:v>30.450001</c:v>
                </c:pt>
                <c:pt idx="408">
                  <c:v>30.700001</c:v>
                </c:pt>
                <c:pt idx="409">
                  <c:v>30.18</c:v>
                </c:pt>
                <c:pt idx="410">
                  <c:v>30.52</c:v>
                </c:pt>
                <c:pt idx="411">
                  <c:v>30.91</c:v>
                </c:pt>
                <c:pt idx="412">
                  <c:v>30.5</c:v>
                </c:pt>
                <c:pt idx="413">
                  <c:v>30.26</c:v>
                </c:pt>
                <c:pt idx="414">
                  <c:v>30.610001</c:v>
                </c:pt>
                <c:pt idx="415">
                  <c:v>30.540001</c:v>
                </c:pt>
                <c:pt idx="416">
                  <c:v>29.85</c:v>
                </c:pt>
                <c:pt idx="417">
                  <c:v>29.41</c:v>
                </c:pt>
                <c:pt idx="418">
                  <c:v>29.98</c:v>
                </c:pt>
                <c:pt idx="419">
                  <c:v>30.969999000000001</c:v>
                </c:pt>
                <c:pt idx="420">
                  <c:v>30.4</c:v>
                </c:pt>
                <c:pt idx="421">
                  <c:v>30.440000999999999</c:v>
                </c:pt>
                <c:pt idx="422">
                  <c:v>30.209999</c:v>
                </c:pt>
                <c:pt idx="423">
                  <c:v>30.35</c:v>
                </c:pt>
                <c:pt idx="424">
                  <c:v>30.049999</c:v>
                </c:pt>
                <c:pt idx="425">
                  <c:v>29.66</c:v>
                </c:pt>
                <c:pt idx="426">
                  <c:v>28.98</c:v>
                </c:pt>
                <c:pt idx="427">
                  <c:v>29.07</c:v>
                </c:pt>
                <c:pt idx="428">
                  <c:v>29.15</c:v>
                </c:pt>
                <c:pt idx="429">
                  <c:v>29.530000999999999</c:v>
                </c:pt>
                <c:pt idx="430">
                  <c:v>29.33</c:v>
                </c:pt>
                <c:pt idx="431">
                  <c:v>29.190000999999999</c:v>
                </c:pt>
                <c:pt idx="432">
                  <c:v>29.73</c:v>
                </c:pt>
                <c:pt idx="433">
                  <c:v>29.98</c:v>
                </c:pt>
                <c:pt idx="434">
                  <c:v>29.85</c:v>
                </c:pt>
                <c:pt idx="435">
                  <c:v>28.780000999999999</c:v>
                </c:pt>
                <c:pt idx="436">
                  <c:v>29.08</c:v>
                </c:pt>
                <c:pt idx="437">
                  <c:v>29.299999</c:v>
                </c:pt>
                <c:pt idx="438">
                  <c:v>29.9</c:v>
                </c:pt>
                <c:pt idx="439">
                  <c:v>30.02</c:v>
                </c:pt>
                <c:pt idx="440">
                  <c:v>30.450001</c:v>
                </c:pt>
                <c:pt idx="441">
                  <c:v>30.02</c:v>
                </c:pt>
                <c:pt idx="442">
                  <c:v>30.9</c:v>
                </c:pt>
                <c:pt idx="443">
                  <c:v>29.709999</c:v>
                </c:pt>
                <c:pt idx="444">
                  <c:v>29.65</c:v>
                </c:pt>
                <c:pt idx="445">
                  <c:v>30.360001</c:v>
                </c:pt>
                <c:pt idx="446">
                  <c:v>30.43</c:v>
                </c:pt>
                <c:pt idx="447">
                  <c:v>30.389999</c:v>
                </c:pt>
                <c:pt idx="448">
                  <c:v>30.08</c:v>
                </c:pt>
                <c:pt idx="449">
                  <c:v>29.82</c:v>
                </c:pt>
                <c:pt idx="450">
                  <c:v>29.6</c:v>
                </c:pt>
                <c:pt idx="451">
                  <c:v>29.25</c:v>
                </c:pt>
                <c:pt idx="452">
                  <c:v>28.32</c:v>
                </c:pt>
                <c:pt idx="453">
                  <c:v>28.950001</c:v>
                </c:pt>
                <c:pt idx="454">
                  <c:v>28.57</c:v>
                </c:pt>
                <c:pt idx="455">
                  <c:v>27.77</c:v>
                </c:pt>
                <c:pt idx="456">
                  <c:v>27.6</c:v>
                </c:pt>
                <c:pt idx="457">
                  <c:v>27.66</c:v>
                </c:pt>
                <c:pt idx="458">
                  <c:v>27.93</c:v>
                </c:pt>
                <c:pt idx="459">
                  <c:v>27.6</c:v>
                </c:pt>
                <c:pt idx="460">
                  <c:v>27.309999000000001</c:v>
                </c:pt>
                <c:pt idx="461">
                  <c:v>27.26</c:v>
                </c:pt>
                <c:pt idx="462">
                  <c:v>26.74</c:v>
                </c:pt>
                <c:pt idx="463">
                  <c:v>26.52</c:v>
                </c:pt>
                <c:pt idx="464">
                  <c:v>26.02</c:v>
                </c:pt>
                <c:pt idx="465">
                  <c:v>26.17</c:v>
                </c:pt>
                <c:pt idx="466">
                  <c:v>26.51</c:v>
                </c:pt>
                <c:pt idx="467">
                  <c:v>26.74</c:v>
                </c:pt>
                <c:pt idx="468">
                  <c:v>26.719999000000001</c:v>
                </c:pt>
                <c:pt idx="469">
                  <c:v>27.51</c:v>
                </c:pt>
                <c:pt idx="470">
                  <c:v>27.549999</c:v>
                </c:pt>
                <c:pt idx="471">
                  <c:v>27.66</c:v>
                </c:pt>
                <c:pt idx="472">
                  <c:v>27.700001</c:v>
                </c:pt>
                <c:pt idx="473">
                  <c:v>27.34</c:v>
                </c:pt>
                <c:pt idx="474">
                  <c:v>27.27</c:v>
                </c:pt>
                <c:pt idx="475">
                  <c:v>27.48</c:v>
                </c:pt>
                <c:pt idx="476">
                  <c:v>27</c:v>
                </c:pt>
                <c:pt idx="477">
                  <c:v>27.290001</c:v>
                </c:pt>
                <c:pt idx="478">
                  <c:v>27.219999000000001</c:v>
                </c:pt>
                <c:pt idx="479">
                  <c:v>27.690000999999999</c:v>
                </c:pt>
                <c:pt idx="480">
                  <c:v>28.059999000000001</c:v>
                </c:pt>
                <c:pt idx="481">
                  <c:v>26.879999000000002</c:v>
                </c:pt>
                <c:pt idx="482">
                  <c:v>27.059999000000001</c:v>
                </c:pt>
                <c:pt idx="483">
                  <c:v>26.870000999999998</c:v>
                </c:pt>
                <c:pt idx="484">
                  <c:v>27.1</c:v>
                </c:pt>
                <c:pt idx="485">
                  <c:v>26.93</c:v>
                </c:pt>
                <c:pt idx="486">
                  <c:v>26.52</c:v>
                </c:pt>
                <c:pt idx="487">
                  <c:v>26.389999</c:v>
                </c:pt>
                <c:pt idx="488">
                  <c:v>26.26</c:v>
                </c:pt>
                <c:pt idx="489">
                  <c:v>25.6</c:v>
                </c:pt>
                <c:pt idx="490">
                  <c:v>25.299999</c:v>
                </c:pt>
                <c:pt idx="491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B5-AE49-B97D-1C9180F02193}"/>
            </c:ext>
          </c:extLst>
        </c:ser>
        <c:ser>
          <c:idx val="7"/>
          <c:order val="7"/>
          <c:tx>
            <c:strRef>
              <c:f>'Retornos da Carteira de Ações'!$I$5</c:f>
              <c:strCache>
                <c:ptCount val="1"/>
                <c:pt idx="0">
                  <c:v>SulAmerica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Ações'!$I$6:$I$497</c:f>
              <c:numCache>
                <c:formatCode>#,##0.00</c:formatCode>
                <c:ptCount val="492"/>
                <c:pt idx="0">
                  <c:v>29.58</c:v>
                </c:pt>
                <c:pt idx="1">
                  <c:v>29.280000999999999</c:v>
                </c:pt>
                <c:pt idx="2">
                  <c:v>30</c:v>
                </c:pt>
                <c:pt idx="3">
                  <c:v>30.26</c:v>
                </c:pt>
                <c:pt idx="4">
                  <c:v>29.32</c:v>
                </c:pt>
                <c:pt idx="5">
                  <c:v>29.65</c:v>
                </c:pt>
                <c:pt idx="6">
                  <c:v>28.5</c:v>
                </c:pt>
                <c:pt idx="7">
                  <c:v>28.200001</c:v>
                </c:pt>
                <c:pt idx="8">
                  <c:v>28.4</c:v>
                </c:pt>
                <c:pt idx="9">
                  <c:v>29</c:v>
                </c:pt>
                <c:pt idx="10">
                  <c:v>29.68</c:v>
                </c:pt>
                <c:pt idx="11">
                  <c:v>29.02</c:v>
                </c:pt>
                <c:pt idx="12">
                  <c:v>28.23</c:v>
                </c:pt>
                <c:pt idx="13">
                  <c:v>28.5</c:v>
                </c:pt>
                <c:pt idx="14">
                  <c:v>29.07</c:v>
                </c:pt>
                <c:pt idx="15">
                  <c:v>29.15</c:v>
                </c:pt>
                <c:pt idx="16">
                  <c:v>28.98</c:v>
                </c:pt>
                <c:pt idx="17">
                  <c:v>29.030000999999999</c:v>
                </c:pt>
                <c:pt idx="18">
                  <c:v>29.799999</c:v>
                </c:pt>
                <c:pt idx="19">
                  <c:v>30.690000999999999</c:v>
                </c:pt>
                <c:pt idx="20">
                  <c:v>30.09</c:v>
                </c:pt>
                <c:pt idx="21">
                  <c:v>30.790001</c:v>
                </c:pt>
                <c:pt idx="22">
                  <c:v>31.110001</c:v>
                </c:pt>
                <c:pt idx="23">
                  <c:v>30.950001</c:v>
                </c:pt>
                <c:pt idx="24">
                  <c:v>31.709999</c:v>
                </c:pt>
                <c:pt idx="25">
                  <c:v>31.66</c:v>
                </c:pt>
                <c:pt idx="26">
                  <c:v>31.719999000000001</c:v>
                </c:pt>
                <c:pt idx="27">
                  <c:v>32.029998999999997</c:v>
                </c:pt>
                <c:pt idx="28">
                  <c:v>32.270000000000003</c:v>
                </c:pt>
                <c:pt idx="29">
                  <c:v>31.940000999999999</c:v>
                </c:pt>
                <c:pt idx="30">
                  <c:v>32.220001000000003</c:v>
                </c:pt>
                <c:pt idx="31">
                  <c:v>32.93</c:v>
                </c:pt>
                <c:pt idx="32">
                  <c:v>33.880001</c:v>
                </c:pt>
                <c:pt idx="33">
                  <c:v>33.740001999999997</c:v>
                </c:pt>
                <c:pt idx="34">
                  <c:v>33.200001</c:v>
                </c:pt>
                <c:pt idx="35">
                  <c:v>32.369999</c:v>
                </c:pt>
                <c:pt idx="36">
                  <c:v>33.689999</c:v>
                </c:pt>
                <c:pt idx="37">
                  <c:v>33.139999000000003</c:v>
                </c:pt>
                <c:pt idx="38">
                  <c:v>33.599997999999999</c:v>
                </c:pt>
                <c:pt idx="39">
                  <c:v>34.110000999999997</c:v>
                </c:pt>
                <c:pt idx="40">
                  <c:v>34.229999999999997</c:v>
                </c:pt>
                <c:pt idx="41">
                  <c:v>34.659999999999997</c:v>
                </c:pt>
                <c:pt idx="42">
                  <c:v>35.419998</c:v>
                </c:pt>
                <c:pt idx="43">
                  <c:v>35.040000999999997</c:v>
                </c:pt>
                <c:pt idx="44">
                  <c:v>34.599997999999999</c:v>
                </c:pt>
                <c:pt idx="45">
                  <c:v>35.990001999999997</c:v>
                </c:pt>
                <c:pt idx="46">
                  <c:v>35.520000000000003</c:v>
                </c:pt>
                <c:pt idx="47">
                  <c:v>35.950001</c:v>
                </c:pt>
                <c:pt idx="48">
                  <c:v>36.029998999999997</c:v>
                </c:pt>
                <c:pt idx="49">
                  <c:v>36</c:v>
                </c:pt>
                <c:pt idx="50">
                  <c:v>36.189999</c:v>
                </c:pt>
                <c:pt idx="51">
                  <c:v>36.470001000000003</c:v>
                </c:pt>
                <c:pt idx="52">
                  <c:v>35.330002</c:v>
                </c:pt>
                <c:pt idx="53">
                  <c:v>33.700001</c:v>
                </c:pt>
                <c:pt idx="54">
                  <c:v>33.869999</c:v>
                </c:pt>
                <c:pt idx="55">
                  <c:v>34.450001</c:v>
                </c:pt>
                <c:pt idx="56">
                  <c:v>33.900002000000001</c:v>
                </c:pt>
                <c:pt idx="57">
                  <c:v>33.580002</c:v>
                </c:pt>
                <c:pt idx="58">
                  <c:v>33.82</c:v>
                </c:pt>
                <c:pt idx="59">
                  <c:v>33.729999999999997</c:v>
                </c:pt>
                <c:pt idx="60">
                  <c:v>33.709999000000003</c:v>
                </c:pt>
                <c:pt idx="61">
                  <c:v>34.959999000000003</c:v>
                </c:pt>
                <c:pt idx="62">
                  <c:v>34.700001</c:v>
                </c:pt>
                <c:pt idx="63">
                  <c:v>34.68</c:v>
                </c:pt>
                <c:pt idx="64">
                  <c:v>33.900002000000001</c:v>
                </c:pt>
                <c:pt idx="65">
                  <c:v>32.799999</c:v>
                </c:pt>
                <c:pt idx="66">
                  <c:v>32.090000000000003</c:v>
                </c:pt>
                <c:pt idx="67">
                  <c:v>32</c:v>
                </c:pt>
                <c:pt idx="68">
                  <c:v>31.629999000000002</c:v>
                </c:pt>
                <c:pt idx="69">
                  <c:v>32.020000000000003</c:v>
                </c:pt>
                <c:pt idx="70">
                  <c:v>31.799999</c:v>
                </c:pt>
                <c:pt idx="71">
                  <c:v>31.99</c:v>
                </c:pt>
                <c:pt idx="72">
                  <c:v>32.82</c:v>
                </c:pt>
                <c:pt idx="73">
                  <c:v>33.240001999999997</c:v>
                </c:pt>
                <c:pt idx="74">
                  <c:v>33.07</c:v>
                </c:pt>
                <c:pt idx="75">
                  <c:v>33</c:v>
                </c:pt>
                <c:pt idx="76">
                  <c:v>34.580002</c:v>
                </c:pt>
                <c:pt idx="77">
                  <c:v>33.909999999999997</c:v>
                </c:pt>
                <c:pt idx="78">
                  <c:v>34.590000000000003</c:v>
                </c:pt>
                <c:pt idx="79">
                  <c:v>33.830002</c:v>
                </c:pt>
                <c:pt idx="80">
                  <c:v>33.950001</c:v>
                </c:pt>
                <c:pt idx="81">
                  <c:v>32.919998</c:v>
                </c:pt>
                <c:pt idx="82">
                  <c:v>33.150002000000001</c:v>
                </c:pt>
                <c:pt idx="83">
                  <c:v>32.560001</c:v>
                </c:pt>
                <c:pt idx="84">
                  <c:v>33.389999000000003</c:v>
                </c:pt>
                <c:pt idx="85">
                  <c:v>32.909999999999997</c:v>
                </c:pt>
                <c:pt idx="86">
                  <c:v>32.650002000000001</c:v>
                </c:pt>
                <c:pt idx="87">
                  <c:v>33.400002000000001</c:v>
                </c:pt>
                <c:pt idx="88">
                  <c:v>33.240001999999997</c:v>
                </c:pt>
                <c:pt idx="89">
                  <c:v>32.130001</c:v>
                </c:pt>
                <c:pt idx="90">
                  <c:v>32.650002000000001</c:v>
                </c:pt>
                <c:pt idx="91">
                  <c:v>32.5</c:v>
                </c:pt>
                <c:pt idx="92">
                  <c:v>32.279998999999997</c:v>
                </c:pt>
                <c:pt idx="93">
                  <c:v>31.959999</c:v>
                </c:pt>
                <c:pt idx="94">
                  <c:v>32.599997999999999</c:v>
                </c:pt>
                <c:pt idx="95">
                  <c:v>33.759998000000003</c:v>
                </c:pt>
                <c:pt idx="96">
                  <c:v>33.759998000000003</c:v>
                </c:pt>
                <c:pt idx="97">
                  <c:v>34.18</c:v>
                </c:pt>
                <c:pt idx="98">
                  <c:v>34.270000000000003</c:v>
                </c:pt>
                <c:pt idx="99">
                  <c:v>34.770000000000003</c:v>
                </c:pt>
                <c:pt idx="100">
                  <c:v>34.919998</c:v>
                </c:pt>
                <c:pt idx="101">
                  <c:v>33.490001999999997</c:v>
                </c:pt>
                <c:pt idx="102">
                  <c:v>33.389999000000003</c:v>
                </c:pt>
                <c:pt idx="103">
                  <c:v>34.169998</c:v>
                </c:pt>
                <c:pt idx="104">
                  <c:v>35.159999999999997</c:v>
                </c:pt>
                <c:pt idx="105">
                  <c:v>33.315826000000001</c:v>
                </c:pt>
                <c:pt idx="106">
                  <c:v>34.362541</c:v>
                </c:pt>
                <c:pt idx="107">
                  <c:v>34.739738000000003</c:v>
                </c:pt>
                <c:pt idx="108">
                  <c:v>35.814746999999997</c:v>
                </c:pt>
                <c:pt idx="109">
                  <c:v>37.219802999999999</c:v>
                </c:pt>
                <c:pt idx="110">
                  <c:v>37.078353999999997</c:v>
                </c:pt>
                <c:pt idx="111">
                  <c:v>37.040633999999997</c:v>
                </c:pt>
                <c:pt idx="112">
                  <c:v>34.305965</c:v>
                </c:pt>
                <c:pt idx="113">
                  <c:v>33.447842000000001</c:v>
                </c:pt>
                <c:pt idx="114">
                  <c:v>30.750893000000001</c:v>
                </c:pt>
                <c:pt idx="115">
                  <c:v>30.835761999999999</c:v>
                </c:pt>
                <c:pt idx="116">
                  <c:v>30.071939</c:v>
                </c:pt>
                <c:pt idx="117">
                  <c:v>30.109659000000001</c:v>
                </c:pt>
                <c:pt idx="118">
                  <c:v>30.04365</c:v>
                </c:pt>
                <c:pt idx="119">
                  <c:v>29.675884</c:v>
                </c:pt>
                <c:pt idx="120">
                  <c:v>30.06251</c:v>
                </c:pt>
                <c:pt idx="121">
                  <c:v>31.646732</c:v>
                </c:pt>
                <c:pt idx="122">
                  <c:v>30.496286000000001</c:v>
                </c:pt>
                <c:pt idx="123">
                  <c:v>30.722602999999999</c:v>
                </c:pt>
                <c:pt idx="124">
                  <c:v>31.137519999999999</c:v>
                </c:pt>
                <c:pt idx="125">
                  <c:v>31.062078</c:v>
                </c:pt>
                <c:pt idx="126">
                  <c:v>31.165807999999998</c:v>
                </c:pt>
                <c:pt idx="127">
                  <c:v>32.929198999999997</c:v>
                </c:pt>
                <c:pt idx="128">
                  <c:v>34.305965</c:v>
                </c:pt>
                <c:pt idx="129">
                  <c:v>34.079647000000001</c:v>
                </c:pt>
                <c:pt idx="130">
                  <c:v>34.654868999999998</c:v>
                </c:pt>
                <c:pt idx="131">
                  <c:v>34.909477000000003</c:v>
                </c:pt>
                <c:pt idx="132">
                  <c:v>35.380974000000002</c:v>
                </c:pt>
                <c:pt idx="133">
                  <c:v>35.682727999999997</c:v>
                </c:pt>
                <c:pt idx="134">
                  <c:v>36.173084000000003</c:v>
                </c:pt>
                <c:pt idx="135">
                  <c:v>36.078785000000003</c:v>
                </c:pt>
                <c:pt idx="136">
                  <c:v>36.776595999999998</c:v>
                </c:pt>
                <c:pt idx="137">
                  <c:v>37.521560999999998</c:v>
                </c:pt>
                <c:pt idx="138">
                  <c:v>37.823315000000001</c:v>
                </c:pt>
                <c:pt idx="139">
                  <c:v>37.323532</c:v>
                </c:pt>
                <c:pt idx="140">
                  <c:v>38.162792000000003</c:v>
                </c:pt>
                <c:pt idx="141">
                  <c:v>37.116073999999998</c:v>
                </c:pt>
                <c:pt idx="142">
                  <c:v>37.314101999999998</c:v>
                </c:pt>
                <c:pt idx="143">
                  <c:v>38.181652</c:v>
                </c:pt>
                <c:pt idx="144">
                  <c:v>38.681435</c:v>
                </c:pt>
                <c:pt idx="145">
                  <c:v>38.021343000000002</c:v>
                </c:pt>
                <c:pt idx="146">
                  <c:v>37.804454999999997</c:v>
                </c:pt>
                <c:pt idx="147">
                  <c:v>37.766734999999997</c:v>
                </c:pt>
                <c:pt idx="148">
                  <c:v>38.228802000000002</c:v>
                </c:pt>
                <c:pt idx="149">
                  <c:v>38.568275</c:v>
                </c:pt>
                <c:pt idx="150">
                  <c:v>38.756874000000003</c:v>
                </c:pt>
                <c:pt idx="151">
                  <c:v>39.350960000000001</c:v>
                </c:pt>
                <c:pt idx="152">
                  <c:v>39.765872999999999</c:v>
                </c:pt>
                <c:pt idx="153">
                  <c:v>40.397677999999999</c:v>
                </c:pt>
                <c:pt idx="154">
                  <c:v>40.218510000000002</c:v>
                </c:pt>
                <c:pt idx="155">
                  <c:v>40.001621</c:v>
                </c:pt>
                <c:pt idx="156">
                  <c:v>39.992190999999998</c:v>
                </c:pt>
                <c:pt idx="157">
                  <c:v>40.293948999999998</c:v>
                </c:pt>
                <c:pt idx="158">
                  <c:v>38.709724000000001</c:v>
                </c:pt>
                <c:pt idx="159">
                  <c:v>39.31324</c:v>
                </c:pt>
                <c:pt idx="160">
                  <c:v>40.161929999999998</c:v>
                </c:pt>
                <c:pt idx="161">
                  <c:v>40.293948999999998</c:v>
                </c:pt>
                <c:pt idx="162">
                  <c:v>41.585842</c:v>
                </c:pt>
                <c:pt idx="163">
                  <c:v>42.236507000000003</c:v>
                </c:pt>
                <c:pt idx="164">
                  <c:v>40.793731999999999</c:v>
                </c:pt>
                <c:pt idx="165">
                  <c:v>40.623997000000003</c:v>
                </c:pt>
                <c:pt idx="166">
                  <c:v>40.444828000000001</c:v>
                </c:pt>
                <c:pt idx="167">
                  <c:v>41.218079000000003</c:v>
                </c:pt>
                <c:pt idx="168">
                  <c:v>41.708430999999997</c:v>
                </c:pt>
                <c:pt idx="169">
                  <c:v>42.189357999999999</c:v>
                </c:pt>
                <c:pt idx="170">
                  <c:v>42.575980999999999</c:v>
                </c:pt>
                <c:pt idx="171">
                  <c:v>42.019618999999999</c:v>
                </c:pt>
                <c:pt idx="172">
                  <c:v>42.293087</c:v>
                </c:pt>
                <c:pt idx="173">
                  <c:v>42.472256000000002</c:v>
                </c:pt>
                <c:pt idx="174">
                  <c:v>41.915889999999997</c:v>
                </c:pt>
                <c:pt idx="175">
                  <c:v>39.963901999999997</c:v>
                </c:pt>
                <c:pt idx="176">
                  <c:v>40.407108000000001</c:v>
                </c:pt>
                <c:pt idx="177">
                  <c:v>40.642853000000002</c:v>
                </c:pt>
                <c:pt idx="178">
                  <c:v>41.548126000000003</c:v>
                </c:pt>
                <c:pt idx="179">
                  <c:v>41.774441000000003</c:v>
                </c:pt>
                <c:pt idx="180">
                  <c:v>41.453826999999997</c:v>
                </c:pt>
                <c:pt idx="181">
                  <c:v>40.859741</c:v>
                </c:pt>
                <c:pt idx="182">
                  <c:v>40.237369999999999</c:v>
                </c:pt>
                <c:pt idx="183">
                  <c:v>41.133209000000001</c:v>
                </c:pt>
                <c:pt idx="184">
                  <c:v>40.947758</c:v>
                </c:pt>
                <c:pt idx="185">
                  <c:v>40.540500999999999</c:v>
                </c:pt>
                <c:pt idx="186">
                  <c:v>39.809291999999999</c:v>
                </c:pt>
                <c:pt idx="187">
                  <c:v>38.892966999999999</c:v>
                </c:pt>
                <c:pt idx="188">
                  <c:v>38.606032999999996</c:v>
                </c:pt>
                <c:pt idx="189">
                  <c:v>38.633803999999998</c:v>
                </c:pt>
                <c:pt idx="190">
                  <c:v>39.772269999999999</c:v>
                </c:pt>
                <c:pt idx="191">
                  <c:v>39.707478000000002</c:v>
                </c:pt>
                <c:pt idx="192">
                  <c:v>38.874454</c:v>
                </c:pt>
                <c:pt idx="193">
                  <c:v>37.532359999999997</c:v>
                </c:pt>
                <c:pt idx="194">
                  <c:v>38.698593000000002</c:v>
                </c:pt>
                <c:pt idx="195">
                  <c:v>39.587150999999999</c:v>
                </c:pt>
                <c:pt idx="196">
                  <c:v>38.439430000000002</c:v>
                </c:pt>
                <c:pt idx="197">
                  <c:v>38.559756999999998</c:v>
                </c:pt>
                <c:pt idx="198">
                  <c:v>38.365383000000001</c:v>
                </c:pt>
                <c:pt idx="199">
                  <c:v>37.004779999999997</c:v>
                </c:pt>
                <c:pt idx="200">
                  <c:v>36.162497999999999</c:v>
                </c:pt>
                <c:pt idx="201">
                  <c:v>36.62529</c:v>
                </c:pt>
                <c:pt idx="202">
                  <c:v>36.893706999999999</c:v>
                </c:pt>
                <c:pt idx="203">
                  <c:v>37.273197000000003</c:v>
                </c:pt>
                <c:pt idx="204">
                  <c:v>38.133986999999998</c:v>
                </c:pt>
                <c:pt idx="205">
                  <c:v>38.328361999999998</c:v>
                </c:pt>
                <c:pt idx="206">
                  <c:v>38.189521999999997</c:v>
                </c:pt>
                <c:pt idx="207">
                  <c:v>39.050316000000002</c:v>
                </c:pt>
                <c:pt idx="208">
                  <c:v>39.624175999999999</c:v>
                </c:pt>
                <c:pt idx="209">
                  <c:v>38.800407</c:v>
                </c:pt>
                <c:pt idx="210">
                  <c:v>37.837803000000001</c:v>
                </c:pt>
                <c:pt idx="211">
                  <c:v>37.004779999999997</c:v>
                </c:pt>
                <c:pt idx="212">
                  <c:v>37.310218999999996</c:v>
                </c:pt>
                <c:pt idx="213">
                  <c:v>37.856312000000003</c:v>
                </c:pt>
                <c:pt idx="214">
                  <c:v>37.680453999999997</c:v>
                </c:pt>
                <c:pt idx="215">
                  <c:v>37.263942999999998</c:v>
                </c:pt>
                <c:pt idx="216">
                  <c:v>37.902591999999999</c:v>
                </c:pt>
                <c:pt idx="217">
                  <c:v>37.661942000000003</c:v>
                </c:pt>
                <c:pt idx="218">
                  <c:v>38.115475000000004</c:v>
                </c:pt>
                <c:pt idx="219">
                  <c:v>38.041431000000003</c:v>
                </c:pt>
                <c:pt idx="220">
                  <c:v>37.865569999999998</c:v>
                </c:pt>
                <c:pt idx="221">
                  <c:v>38.041431000000003</c:v>
                </c:pt>
                <c:pt idx="222">
                  <c:v>36.532730000000001</c:v>
                </c:pt>
                <c:pt idx="223">
                  <c:v>36.458683000000001</c:v>
                </c:pt>
                <c:pt idx="224">
                  <c:v>36.828918000000002</c:v>
                </c:pt>
                <c:pt idx="225">
                  <c:v>38.263568999999997</c:v>
                </c:pt>
                <c:pt idx="226">
                  <c:v>38.161754999999999</c:v>
                </c:pt>
                <c:pt idx="227">
                  <c:v>37.467567000000003</c:v>
                </c:pt>
                <c:pt idx="228">
                  <c:v>37.865569999999998</c:v>
                </c:pt>
                <c:pt idx="229">
                  <c:v>37.930359000000003</c:v>
                </c:pt>
                <c:pt idx="230">
                  <c:v>37.15287</c:v>
                </c:pt>
                <c:pt idx="231">
                  <c:v>38.189521999999997</c:v>
                </c:pt>
                <c:pt idx="232">
                  <c:v>38.180267000000001</c:v>
                </c:pt>
                <c:pt idx="233">
                  <c:v>38.208035000000002</c:v>
                </c:pt>
                <c:pt idx="234">
                  <c:v>38.763385999999997</c:v>
                </c:pt>
                <c:pt idx="235">
                  <c:v>38.337615999999997</c:v>
                </c:pt>
                <c:pt idx="236">
                  <c:v>38.874454</c:v>
                </c:pt>
                <c:pt idx="237">
                  <c:v>40.253571000000001</c:v>
                </c:pt>
                <c:pt idx="238">
                  <c:v>40.262829000000004</c:v>
                </c:pt>
                <c:pt idx="239">
                  <c:v>40.799664</c:v>
                </c:pt>
                <c:pt idx="240">
                  <c:v>40.63306</c:v>
                </c:pt>
                <c:pt idx="241">
                  <c:v>40.882969000000003</c:v>
                </c:pt>
                <c:pt idx="242">
                  <c:v>40.901477999999997</c:v>
                </c:pt>
                <c:pt idx="243">
                  <c:v>40.401665000000001</c:v>
                </c:pt>
                <c:pt idx="244">
                  <c:v>41.466084000000002</c:v>
                </c:pt>
                <c:pt idx="245">
                  <c:v>40.836689</c:v>
                </c:pt>
                <c:pt idx="246">
                  <c:v>41.373528</c:v>
                </c:pt>
                <c:pt idx="247">
                  <c:v>42.160271000000002</c:v>
                </c:pt>
                <c:pt idx="248">
                  <c:v>42.447201</c:v>
                </c:pt>
                <c:pt idx="249">
                  <c:v>42.761898000000002</c:v>
                </c:pt>
                <c:pt idx="250">
                  <c:v>43.270969000000001</c:v>
                </c:pt>
                <c:pt idx="251">
                  <c:v>42.956271999999998</c:v>
                </c:pt>
                <c:pt idx="252">
                  <c:v>44.853713999999997</c:v>
                </c:pt>
                <c:pt idx="253">
                  <c:v>43.437572000000003</c:v>
                </c:pt>
                <c:pt idx="254">
                  <c:v>44.057715999999999</c:v>
                </c:pt>
                <c:pt idx="255">
                  <c:v>43.548645</c:v>
                </c:pt>
                <c:pt idx="256">
                  <c:v>44.307620999999997</c:v>
                </c:pt>
                <c:pt idx="257">
                  <c:v>45.760784000000001</c:v>
                </c:pt>
                <c:pt idx="258">
                  <c:v>45.446086999999999</c:v>
                </c:pt>
                <c:pt idx="259">
                  <c:v>45.723762999999998</c:v>
                </c:pt>
                <c:pt idx="260">
                  <c:v>47.093623999999998</c:v>
                </c:pt>
                <c:pt idx="261">
                  <c:v>47.001064</c:v>
                </c:pt>
                <c:pt idx="262">
                  <c:v>46.408690999999997</c:v>
                </c:pt>
                <c:pt idx="263">
                  <c:v>46.325389999999999</c:v>
                </c:pt>
                <c:pt idx="264">
                  <c:v>47.093623999999998</c:v>
                </c:pt>
                <c:pt idx="265">
                  <c:v>47.065857000000001</c:v>
                </c:pt>
                <c:pt idx="266">
                  <c:v>47.602694999999997</c:v>
                </c:pt>
                <c:pt idx="267">
                  <c:v>45.899624000000003</c:v>
                </c:pt>
                <c:pt idx="268">
                  <c:v>46.436461999999999</c:v>
                </c:pt>
                <c:pt idx="269">
                  <c:v>46.991810000000001</c:v>
                </c:pt>
                <c:pt idx="270">
                  <c:v>46.547530999999999</c:v>
                </c:pt>
                <c:pt idx="271">
                  <c:v>47.371299999999998</c:v>
                </c:pt>
                <c:pt idx="272">
                  <c:v>47.213951000000002</c:v>
                </c:pt>
                <c:pt idx="273">
                  <c:v>47.565669999999997</c:v>
                </c:pt>
                <c:pt idx="274">
                  <c:v>45.372039999999998</c:v>
                </c:pt>
                <c:pt idx="275">
                  <c:v>43.113621000000002</c:v>
                </c:pt>
                <c:pt idx="276">
                  <c:v>43.456085000000002</c:v>
                </c:pt>
                <c:pt idx="277">
                  <c:v>44.066971000000002</c:v>
                </c:pt>
                <c:pt idx="278">
                  <c:v>43.483851999999999</c:v>
                </c:pt>
                <c:pt idx="279">
                  <c:v>44.113250999999998</c:v>
                </c:pt>
                <c:pt idx="280">
                  <c:v>43.502364999999998</c:v>
                </c:pt>
                <c:pt idx="281">
                  <c:v>43.807808000000001</c:v>
                </c:pt>
                <c:pt idx="282">
                  <c:v>43.983668999999999</c:v>
                </c:pt>
                <c:pt idx="283">
                  <c:v>44.483482000000002</c:v>
                </c:pt>
                <c:pt idx="284">
                  <c:v>44.946274000000003</c:v>
                </c:pt>
                <c:pt idx="285">
                  <c:v>42.761898000000002</c:v>
                </c:pt>
                <c:pt idx="286">
                  <c:v>42.947018</c:v>
                </c:pt>
                <c:pt idx="287">
                  <c:v>41.715992</c:v>
                </c:pt>
                <c:pt idx="288">
                  <c:v>42.530501999999998</c:v>
                </c:pt>
                <c:pt idx="289">
                  <c:v>42.215805000000003</c:v>
                </c:pt>
                <c:pt idx="290">
                  <c:v>43.011806</c:v>
                </c:pt>
                <c:pt idx="291">
                  <c:v>40.966270000000002</c:v>
                </c:pt>
                <c:pt idx="292">
                  <c:v>41.280968000000001</c:v>
                </c:pt>
                <c:pt idx="293">
                  <c:v>41.308734999999999</c:v>
                </c:pt>
                <c:pt idx="294">
                  <c:v>41.706738000000001</c:v>
                </c:pt>
                <c:pt idx="295">
                  <c:v>40.484966</c:v>
                </c:pt>
                <c:pt idx="296">
                  <c:v>38.874454</c:v>
                </c:pt>
                <c:pt idx="297">
                  <c:v>39.022548999999998</c:v>
                </c:pt>
                <c:pt idx="298">
                  <c:v>40.309105000000002</c:v>
                </c:pt>
                <c:pt idx="299">
                  <c:v>41.429062000000002</c:v>
                </c:pt>
                <c:pt idx="300">
                  <c:v>41.715992</c:v>
                </c:pt>
                <c:pt idx="301">
                  <c:v>42.410178999999999</c:v>
                </c:pt>
                <c:pt idx="302">
                  <c:v>42.854458000000001</c:v>
                </c:pt>
                <c:pt idx="303">
                  <c:v>42.761898000000002</c:v>
                </c:pt>
                <c:pt idx="304">
                  <c:v>43.317248999999997</c:v>
                </c:pt>
                <c:pt idx="305">
                  <c:v>43.687480999999998</c:v>
                </c:pt>
                <c:pt idx="306">
                  <c:v>42.576782000000001</c:v>
                </c:pt>
                <c:pt idx="307">
                  <c:v>42.308365000000002</c:v>
                </c:pt>
                <c:pt idx="308">
                  <c:v>41.373528</c:v>
                </c:pt>
                <c:pt idx="309">
                  <c:v>40.716361999999997</c:v>
                </c:pt>
                <c:pt idx="310">
                  <c:v>40.734875000000002</c:v>
                </c:pt>
                <c:pt idx="311">
                  <c:v>40.808922000000003</c:v>
                </c:pt>
                <c:pt idx="312">
                  <c:v>40.031433</c:v>
                </c:pt>
                <c:pt idx="313">
                  <c:v>38.180267000000001</c:v>
                </c:pt>
                <c:pt idx="314">
                  <c:v>39.494594999999997</c:v>
                </c:pt>
                <c:pt idx="315">
                  <c:v>37.634174000000002</c:v>
                </c:pt>
                <c:pt idx="316">
                  <c:v>37.004779999999997</c:v>
                </c:pt>
                <c:pt idx="317">
                  <c:v>36.097706000000002</c:v>
                </c:pt>
                <c:pt idx="318">
                  <c:v>34.200263999999997</c:v>
                </c:pt>
                <c:pt idx="319">
                  <c:v>35.0518</c:v>
                </c:pt>
                <c:pt idx="320">
                  <c:v>37.652683000000003</c:v>
                </c:pt>
                <c:pt idx="321">
                  <c:v>37.652683000000003</c:v>
                </c:pt>
                <c:pt idx="322">
                  <c:v>38.735619</c:v>
                </c:pt>
                <c:pt idx="323">
                  <c:v>40.179523000000003</c:v>
                </c:pt>
                <c:pt idx="324">
                  <c:v>40.697848999999998</c:v>
                </c:pt>
                <c:pt idx="325">
                  <c:v>41.317988999999997</c:v>
                </c:pt>
                <c:pt idx="326">
                  <c:v>40.707107999999998</c:v>
                </c:pt>
                <c:pt idx="327">
                  <c:v>39.707478000000002</c:v>
                </c:pt>
                <c:pt idx="328">
                  <c:v>41.512363000000001</c:v>
                </c:pt>
                <c:pt idx="329">
                  <c:v>44.094738</c:v>
                </c:pt>
                <c:pt idx="330">
                  <c:v>43.382038000000001</c:v>
                </c:pt>
                <c:pt idx="331">
                  <c:v>41.604922999999999</c:v>
                </c:pt>
                <c:pt idx="332">
                  <c:v>40.753386999999996</c:v>
                </c:pt>
                <c:pt idx="333">
                  <c:v>41.817805999999997</c:v>
                </c:pt>
                <c:pt idx="334">
                  <c:v>44.057715999999999</c:v>
                </c:pt>
                <c:pt idx="335">
                  <c:v>42.391666000000001</c:v>
                </c:pt>
                <c:pt idx="336">
                  <c:v>40.290596000000001</c:v>
                </c:pt>
                <c:pt idx="337">
                  <c:v>39.198405999999999</c:v>
                </c:pt>
                <c:pt idx="338">
                  <c:v>40.457199000000003</c:v>
                </c:pt>
                <c:pt idx="339">
                  <c:v>40.984779000000003</c:v>
                </c:pt>
                <c:pt idx="340">
                  <c:v>37.717475999999998</c:v>
                </c:pt>
                <c:pt idx="341">
                  <c:v>36.375380999999997</c:v>
                </c:pt>
                <c:pt idx="342">
                  <c:v>37.717475999999998</c:v>
                </c:pt>
                <c:pt idx="343">
                  <c:v>36.764125999999997</c:v>
                </c:pt>
                <c:pt idx="344">
                  <c:v>35.616405</c:v>
                </c:pt>
                <c:pt idx="345">
                  <c:v>31.756724999999999</c:v>
                </c:pt>
                <c:pt idx="346">
                  <c:v>32.904449</c:v>
                </c:pt>
                <c:pt idx="347">
                  <c:v>31.784493999999999</c:v>
                </c:pt>
                <c:pt idx="348">
                  <c:v>31.284679000000001</c:v>
                </c:pt>
                <c:pt idx="349">
                  <c:v>33.089565</c:v>
                </c:pt>
                <c:pt idx="350">
                  <c:v>33.320960999999997</c:v>
                </c:pt>
                <c:pt idx="351">
                  <c:v>35.625660000000003</c:v>
                </c:pt>
                <c:pt idx="352">
                  <c:v>33.283935999999997</c:v>
                </c:pt>
                <c:pt idx="353">
                  <c:v>30.183236999999998</c:v>
                </c:pt>
                <c:pt idx="354">
                  <c:v>26.952954999999999</c:v>
                </c:pt>
                <c:pt idx="355">
                  <c:v>28.008118</c:v>
                </c:pt>
                <c:pt idx="356">
                  <c:v>26.564211</c:v>
                </c:pt>
                <c:pt idx="357">
                  <c:v>24.527929</c:v>
                </c:pt>
                <c:pt idx="358">
                  <c:v>28.304303999999998</c:v>
                </c:pt>
                <c:pt idx="359">
                  <c:v>29.387236000000001</c:v>
                </c:pt>
                <c:pt idx="360">
                  <c:v>35.634914000000002</c:v>
                </c:pt>
                <c:pt idx="361">
                  <c:v>32.395378000000001</c:v>
                </c:pt>
                <c:pt idx="362">
                  <c:v>38.133986999999998</c:v>
                </c:pt>
                <c:pt idx="363">
                  <c:v>42.243572</c:v>
                </c:pt>
                <c:pt idx="364">
                  <c:v>38.883709000000003</c:v>
                </c:pt>
                <c:pt idx="365">
                  <c:v>44.492736999999998</c:v>
                </c:pt>
                <c:pt idx="366">
                  <c:v>46.519764000000002</c:v>
                </c:pt>
                <c:pt idx="367">
                  <c:v>48.528278</c:v>
                </c:pt>
                <c:pt idx="368">
                  <c:v>48.787441000000001</c:v>
                </c:pt>
                <c:pt idx="369">
                  <c:v>48.352417000000003</c:v>
                </c:pt>
                <c:pt idx="370">
                  <c:v>48.852229999999999</c:v>
                </c:pt>
                <c:pt idx="371">
                  <c:v>50.879257000000003</c:v>
                </c:pt>
                <c:pt idx="372">
                  <c:v>55.340561000000001</c:v>
                </c:pt>
                <c:pt idx="373">
                  <c:v>55.877398999999997</c:v>
                </c:pt>
                <c:pt idx="374">
                  <c:v>57.275027999999999</c:v>
                </c:pt>
                <c:pt idx="375">
                  <c:v>56.312424</c:v>
                </c:pt>
                <c:pt idx="376">
                  <c:v>56.247635000000002</c:v>
                </c:pt>
                <c:pt idx="377">
                  <c:v>56.673400999999998</c:v>
                </c:pt>
                <c:pt idx="378">
                  <c:v>56.867770999999998</c:v>
                </c:pt>
                <c:pt idx="379">
                  <c:v>57.219493999999997</c:v>
                </c:pt>
                <c:pt idx="380">
                  <c:v>56.192096999999997</c:v>
                </c:pt>
                <c:pt idx="381">
                  <c:v>53.720795000000003</c:v>
                </c:pt>
                <c:pt idx="382">
                  <c:v>55.497909999999997</c:v>
                </c:pt>
                <c:pt idx="383">
                  <c:v>57.182471999999997</c:v>
                </c:pt>
                <c:pt idx="384">
                  <c:v>57.756332</c:v>
                </c:pt>
                <c:pt idx="385">
                  <c:v>57.136192000000001</c:v>
                </c:pt>
                <c:pt idx="386">
                  <c:v>58.487541</c:v>
                </c:pt>
                <c:pt idx="387">
                  <c:v>58.598613999999998</c:v>
                </c:pt>
                <c:pt idx="388">
                  <c:v>57.395355000000002</c:v>
                </c:pt>
                <c:pt idx="389">
                  <c:v>59.237262999999999</c:v>
                </c:pt>
                <c:pt idx="390">
                  <c:v>59.709308999999998</c:v>
                </c:pt>
                <c:pt idx="391">
                  <c:v>59.218753999999997</c:v>
                </c:pt>
                <c:pt idx="392">
                  <c:v>61.449406000000003</c:v>
                </c:pt>
                <c:pt idx="393">
                  <c:v>62.032519999999998</c:v>
                </c:pt>
                <c:pt idx="394">
                  <c:v>61.902939000000003</c:v>
                </c:pt>
                <c:pt idx="395">
                  <c:v>61.227263999999998</c:v>
                </c:pt>
                <c:pt idx="396">
                  <c:v>61.162475999999998</c:v>
                </c:pt>
                <c:pt idx="397">
                  <c:v>59.774101000000002</c:v>
                </c:pt>
                <c:pt idx="398">
                  <c:v>58.654147999999999</c:v>
                </c:pt>
                <c:pt idx="399">
                  <c:v>59.237262999999999</c:v>
                </c:pt>
                <c:pt idx="400">
                  <c:v>58.681914999999996</c:v>
                </c:pt>
                <c:pt idx="401">
                  <c:v>58.163589000000002</c:v>
                </c:pt>
                <c:pt idx="402">
                  <c:v>59.820380999999998</c:v>
                </c:pt>
                <c:pt idx="403">
                  <c:v>59.857402999999998</c:v>
                </c:pt>
                <c:pt idx="404">
                  <c:v>57.904426999999998</c:v>
                </c:pt>
                <c:pt idx="405">
                  <c:v>58.320937999999998</c:v>
                </c:pt>
                <c:pt idx="406">
                  <c:v>59.487170999999996</c:v>
                </c:pt>
                <c:pt idx="407">
                  <c:v>59.246516999999997</c:v>
                </c:pt>
                <c:pt idx="408">
                  <c:v>57.126938000000003</c:v>
                </c:pt>
                <c:pt idx="409">
                  <c:v>55.849632</c:v>
                </c:pt>
                <c:pt idx="410">
                  <c:v>53.878143000000001</c:v>
                </c:pt>
                <c:pt idx="411">
                  <c:v>53.683768999999998</c:v>
                </c:pt>
                <c:pt idx="412">
                  <c:v>52.822978999999997</c:v>
                </c:pt>
                <c:pt idx="413">
                  <c:v>52.258372999999999</c:v>
                </c:pt>
                <c:pt idx="414">
                  <c:v>52.036231999999998</c:v>
                </c:pt>
                <c:pt idx="415">
                  <c:v>50.712649999999996</c:v>
                </c:pt>
                <c:pt idx="416">
                  <c:v>50.499766999999999</c:v>
                </c:pt>
                <c:pt idx="417">
                  <c:v>50.351672999999998</c:v>
                </c:pt>
                <c:pt idx="418">
                  <c:v>49.546416999999998</c:v>
                </c:pt>
                <c:pt idx="419">
                  <c:v>49.518650000000001</c:v>
                </c:pt>
                <c:pt idx="420">
                  <c:v>48.389439000000003</c:v>
                </c:pt>
                <c:pt idx="421">
                  <c:v>47.426833999999999</c:v>
                </c:pt>
                <c:pt idx="422">
                  <c:v>48.648601999999997</c:v>
                </c:pt>
                <c:pt idx="423">
                  <c:v>49.583443000000003</c:v>
                </c:pt>
                <c:pt idx="424">
                  <c:v>48.741160999999998</c:v>
                </c:pt>
                <c:pt idx="425">
                  <c:v>49.583443000000003</c:v>
                </c:pt>
                <c:pt idx="426">
                  <c:v>50.194324000000002</c:v>
                </c:pt>
                <c:pt idx="427">
                  <c:v>49.962929000000003</c:v>
                </c:pt>
                <c:pt idx="428">
                  <c:v>48.852229999999999</c:v>
                </c:pt>
                <c:pt idx="429">
                  <c:v>49.277999999999999</c:v>
                </c:pt>
                <c:pt idx="430">
                  <c:v>48.491253</c:v>
                </c:pt>
                <c:pt idx="431">
                  <c:v>48.250602999999998</c:v>
                </c:pt>
                <c:pt idx="432">
                  <c:v>48.657859999999999</c:v>
                </c:pt>
                <c:pt idx="433">
                  <c:v>47.676743000000002</c:v>
                </c:pt>
                <c:pt idx="434">
                  <c:v>47.065857000000001</c:v>
                </c:pt>
                <c:pt idx="435">
                  <c:v>47.648975</c:v>
                </c:pt>
                <c:pt idx="436">
                  <c:v>46.908507999999998</c:v>
                </c:pt>
                <c:pt idx="437">
                  <c:v>47.260227</c:v>
                </c:pt>
                <c:pt idx="438">
                  <c:v>46.621578</c:v>
                </c:pt>
                <c:pt idx="439">
                  <c:v>47.121391000000003</c:v>
                </c:pt>
                <c:pt idx="440">
                  <c:v>47.61195</c:v>
                </c:pt>
                <c:pt idx="441">
                  <c:v>47.010323</c:v>
                </c:pt>
                <c:pt idx="442">
                  <c:v>46.177298999999998</c:v>
                </c:pt>
                <c:pt idx="443">
                  <c:v>45.436832000000003</c:v>
                </c:pt>
                <c:pt idx="444">
                  <c:v>44.705624</c:v>
                </c:pt>
                <c:pt idx="445">
                  <c:v>45.214691000000002</c:v>
                </c:pt>
                <c:pt idx="446">
                  <c:v>45.325763999999999</c:v>
                </c:pt>
                <c:pt idx="447">
                  <c:v>45.186923999999998</c:v>
                </c:pt>
                <c:pt idx="448">
                  <c:v>45.492367000000002</c:v>
                </c:pt>
                <c:pt idx="449">
                  <c:v>45.566414000000002</c:v>
                </c:pt>
                <c:pt idx="450">
                  <c:v>45.992179999999998</c:v>
                </c:pt>
                <c:pt idx="451">
                  <c:v>46.649344999999997</c:v>
                </c:pt>
                <c:pt idx="452">
                  <c:v>46.575297999999997</c:v>
                </c:pt>
                <c:pt idx="453">
                  <c:v>46.741900999999999</c:v>
                </c:pt>
                <c:pt idx="454">
                  <c:v>46.908507999999998</c:v>
                </c:pt>
                <c:pt idx="455">
                  <c:v>47.149158</c:v>
                </c:pt>
                <c:pt idx="456">
                  <c:v>46.751159999999999</c:v>
                </c:pt>
                <c:pt idx="457">
                  <c:v>44.585296999999997</c:v>
                </c:pt>
                <c:pt idx="458">
                  <c:v>44.344645999999997</c:v>
                </c:pt>
                <c:pt idx="459">
                  <c:v>44.761158000000002</c:v>
                </c:pt>
                <c:pt idx="460">
                  <c:v>45.260970999999998</c:v>
                </c:pt>
                <c:pt idx="461">
                  <c:v>44.520508</c:v>
                </c:pt>
                <c:pt idx="462">
                  <c:v>43.983668999999999</c:v>
                </c:pt>
                <c:pt idx="463">
                  <c:v>43.872596999999999</c:v>
                </c:pt>
                <c:pt idx="464">
                  <c:v>43.039574000000002</c:v>
                </c:pt>
                <c:pt idx="465">
                  <c:v>43.594920999999999</c:v>
                </c:pt>
                <c:pt idx="466">
                  <c:v>43.345016000000001</c:v>
                </c:pt>
                <c:pt idx="467">
                  <c:v>42.891478999999997</c:v>
                </c:pt>
                <c:pt idx="468">
                  <c:v>42.956271999999998</c:v>
                </c:pt>
                <c:pt idx="469">
                  <c:v>44.103991999999998</c:v>
                </c:pt>
                <c:pt idx="470">
                  <c:v>44.159531000000001</c:v>
                </c:pt>
                <c:pt idx="471">
                  <c:v>43.687480999999998</c:v>
                </c:pt>
                <c:pt idx="472">
                  <c:v>42.678595999999999</c:v>
                </c:pt>
                <c:pt idx="473">
                  <c:v>42.215805000000003</c:v>
                </c:pt>
                <c:pt idx="474">
                  <c:v>41.123618999999998</c:v>
                </c:pt>
                <c:pt idx="475">
                  <c:v>41.651198999999998</c:v>
                </c:pt>
                <c:pt idx="476">
                  <c:v>42.474967999999997</c:v>
                </c:pt>
                <c:pt idx="477">
                  <c:v>42.493481000000003</c:v>
                </c:pt>
                <c:pt idx="478">
                  <c:v>42.715617999999999</c:v>
                </c:pt>
                <c:pt idx="479">
                  <c:v>42.845202999999998</c:v>
                </c:pt>
                <c:pt idx="480">
                  <c:v>42.549014999999997</c:v>
                </c:pt>
                <c:pt idx="481">
                  <c:v>42.576782000000001</c:v>
                </c:pt>
                <c:pt idx="482">
                  <c:v>42.391666000000001</c:v>
                </c:pt>
                <c:pt idx="483">
                  <c:v>42.511992999999997</c:v>
                </c:pt>
                <c:pt idx="484">
                  <c:v>41.651198999999998</c:v>
                </c:pt>
                <c:pt idx="485">
                  <c:v>41.419803999999999</c:v>
                </c:pt>
                <c:pt idx="486">
                  <c:v>42.613807999999999</c:v>
                </c:pt>
                <c:pt idx="487">
                  <c:v>43.502364999999998</c:v>
                </c:pt>
                <c:pt idx="488">
                  <c:v>43.317248999999997</c:v>
                </c:pt>
                <c:pt idx="489">
                  <c:v>42.715617999999999</c:v>
                </c:pt>
                <c:pt idx="490">
                  <c:v>44.585296999999997</c:v>
                </c:pt>
                <c:pt idx="491">
                  <c:v>44.844459999999998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B5-AE49-B97D-1C9180F02193}"/>
            </c:ext>
          </c:extLst>
        </c:ser>
        <c:ser>
          <c:idx val="8"/>
          <c:order val="8"/>
          <c:tx>
            <c:strRef>
              <c:f>'Retornos da Carteira de Ações'!$J$5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'Retornos da Carteira de Ações'!$A$6:$A$497</c:f>
              <c:numCache>
                <c:formatCode>m/d/yy</c:formatCode>
                <c:ptCount val="492"/>
                <c:pt idx="0">
                  <c:v>44435</c:v>
                </c:pt>
                <c:pt idx="1">
                  <c:v>44434</c:v>
                </c:pt>
                <c:pt idx="2">
                  <c:v>44433</c:v>
                </c:pt>
                <c:pt idx="3">
                  <c:v>44432</c:v>
                </c:pt>
                <c:pt idx="4">
                  <c:v>44431</c:v>
                </c:pt>
                <c:pt idx="5">
                  <c:v>44428</c:v>
                </c:pt>
                <c:pt idx="6">
                  <c:v>44427</c:v>
                </c:pt>
                <c:pt idx="7">
                  <c:v>44426</c:v>
                </c:pt>
                <c:pt idx="8">
                  <c:v>44425</c:v>
                </c:pt>
                <c:pt idx="9">
                  <c:v>44424</c:v>
                </c:pt>
                <c:pt idx="10">
                  <c:v>44421</c:v>
                </c:pt>
                <c:pt idx="11">
                  <c:v>44420</c:v>
                </c:pt>
                <c:pt idx="12">
                  <c:v>44419</c:v>
                </c:pt>
                <c:pt idx="13">
                  <c:v>44418</c:v>
                </c:pt>
                <c:pt idx="14">
                  <c:v>44417</c:v>
                </c:pt>
                <c:pt idx="15">
                  <c:v>44414</c:v>
                </c:pt>
                <c:pt idx="16">
                  <c:v>44413</c:v>
                </c:pt>
                <c:pt idx="17">
                  <c:v>44412</c:v>
                </c:pt>
                <c:pt idx="18">
                  <c:v>44411</c:v>
                </c:pt>
                <c:pt idx="19">
                  <c:v>44410</c:v>
                </c:pt>
                <c:pt idx="20">
                  <c:v>44407</c:v>
                </c:pt>
                <c:pt idx="21">
                  <c:v>44406</c:v>
                </c:pt>
                <c:pt idx="22">
                  <c:v>44405</c:v>
                </c:pt>
                <c:pt idx="23">
                  <c:v>44404</c:v>
                </c:pt>
                <c:pt idx="24">
                  <c:v>44403</c:v>
                </c:pt>
                <c:pt idx="25">
                  <c:v>44400</c:v>
                </c:pt>
                <c:pt idx="26">
                  <c:v>44399</c:v>
                </c:pt>
                <c:pt idx="27">
                  <c:v>44398</c:v>
                </c:pt>
                <c:pt idx="28">
                  <c:v>44397</c:v>
                </c:pt>
                <c:pt idx="29">
                  <c:v>44396</c:v>
                </c:pt>
                <c:pt idx="30">
                  <c:v>44393</c:v>
                </c:pt>
                <c:pt idx="31">
                  <c:v>44392</c:v>
                </c:pt>
                <c:pt idx="32">
                  <c:v>44391</c:v>
                </c:pt>
                <c:pt idx="33">
                  <c:v>44390</c:v>
                </c:pt>
                <c:pt idx="34">
                  <c:v>44389</c:v>
                </c:pt>
                <c:pt idx="35">
                  <c:v>44385</c:v>
                </c:pt>
                <c:pt idx="36">
                  <c:v>44384</c:v>
                </c:pt>
                <c:pt idx="37">
                  <c:v>44383</c:v>
                </c:pt>
                <c:pt idx="38">
                  <c:v>44382</c:v>
                </c:pt>
                <c:pt idx="39">
                  <c:v>44379</c:v>
                </c:pt>
                <c:pt idx="40">
                  <c:v>44378</c:v>
                </c:pt>
                <c:pt idx="41">
                  <c:v>44377</c:v>
                </c:pt>
                <c:pt idx="42">
                  <c:v>44376</c:v>
                </c:pt>
                <c:pt idx="43">
                  <c:v>44375</c:v>
                </c:pt>
                <c:pt idx="44">
                  <c:v>44372</c:v>
                </c:pt>
                <c:pt idx="45">
                  <c:v>44371</c:v>
                </c:pt>
                <c:pt idx="46">
                  <c:v>44370</c:v>
                </c:pt>
                <c:pt idx="47">
                  <c:v>44369</c:v>
                </c:pt>
                <c:pt idx="48">
                  <c:v>44368</c:v>
                </c:pt>
                <c:pt idx="49">
                  <c:v>44365</c:v>
                </c:pt>
                <c:pt idx="50">
                  <c:v>44364</c:v>
                </c:pt>
                <c:pt idx="51">
                  <c:v>44363</c:v>
                </c:pt>
                <c:pt idx="52">
                  <c:v>44362</c:v>
                </c:pt>
                <c:pt idx="53">
                  <c:v>44361</c:v>
                </c:pt>
                <c:pt idx="54">
                  <c:v>44358</c:v>
                </c:pt>
                <c:pt idx="55">
                  <c:v>44357</c:v>
                </c:pt>
                <c:pt idx="56">
                  <c:v>44356</c:v>
                </c:pt>
                <c:pt idx="57">
                  <c:v>44355</c:v>
                </c:pt>
                <c:pt idx="58">
                  <c:v>44354</c:v>
                </c:pt>
                <c:pt idx="59">
                  <c:v>44351</c:v>
                </c:pt>
                <c:pt idx="60">
                  <c:v>44349</c:v>
                </c:pt>
                <c:pt idx="61">
                  <c:v>44348</c:v>
                </c:pt>
                <c:pt idx="62">
                  <c:v>44347</c:v>
                </c:pt>
                <c:pt idx="63">
                  <c:v>44344</c:v>
                </c:pt>
                <c:pt idx="64">
                  <c:v>44343</c:v>
                </c:pt>
                <c:pt idx="65">
                  <c:v>44342</c:v>
                </c:pt>
                <c:pt idx="66">
                  <c:v>44341</c:v>
                </c:pt>
                <c:pt idx="67">
                  <c:v>44340</c:v>
                </c:pt>
                <c:pt idx="68">
                  <c:v>44337</c:v>
                </c:pt>
                <c:pt idx="69">
                  <c:v>44336</c:v>
                </c:pt>
                <c:pt idx="70">
                  <c:v>44335</c:v>
                </c:pt>
                <c:pt idx="71">
                  <c:v>44334</c:v>
                </c:pt>
                <c:pt idx="72">
                  <c:v>44333</c:v>
                </c:pt>
                <c:pt idx="73">
                  <c:v>44330</c:v>
                </c:pt>
                <c:pt idx="74">
                  <c:v>44329</c:v>
                </c:pt>
                <c:pt idx="75">
                  <c:v>44328</c:v>
                </c:pt>
                <c:pt idx="76">
                  <c:v>44327</c:v>
                </c:pt>
                <c:pt idx="77">
                  <c:v>44326</c:v>
                </c:pt>
                <c:pt idx="78">
                  <c:v>44323</c:v>
                </c:pt>
                <c:pt idx="79">
                  <c:v>44322</c:v>
                </c:pt>
                <c:pt idx="80">
                  <c:v>44321</c:v>
                </c:pt>
                <c:pt idx="81">
                  <c:v>44320</c:v>
                </c:pt>
                <c:pt idx="82">
                  <c:v>44319</c:v>
                </c:pt>
                <c:pt idx="83">
                  <c:v>44316</c:v>
                </c:pt>
                <c:pt idx="84">
                  <c:v>44315</c:v>
                </c:pt>
                <c:pt idx="85">
                  <c:v>44314</c:v>
                </c:pt>
                <c:pt idx="86">
                  <c:v>44313</c:v>
                </c:pt>
                <c:pt idx="87">
                  <c:v>44312</c:v>
                </c:pt>
                <c:pt idx="88">
                  <c:v>44309</c:v>
                </c:pt>
                <c:pt idx="89">
                  <c:v>44308</c:v>
                </c:pt>
                <c:pt idx="90">
                  <c:v>44306</c:v>
                </c:pt>
                <c:pt idx="91">
                  <c:v>44305</c:v>
                </c:pt>
                <c:pt idx="92">
                  <c:v>44302</c:v>
                </c:pt>
                <c:pt idx="93">
                  <c:v>44301</c:v>
                </c:pt>
                <c:pt idx="94">
                  <c:v>44300</c:v>
                </c:pt>
                <c:pt idx="95">
                  <c:v>44299</c:v>
                </c:pt>
                <c:pt idx="96">
                  <c:v>44298</c:v>
                </c:pt>
                <c:pt idx="97">
                  <c:v>44295</c:v>
                </c:pt>
                <c:pt idx="98">
                  <c:v>44294</c:v>
                </c:pt>
                <c:pt idx="99">
                  <c:v>44293</c:v>
                </c:pt>
                <c:pt idx="100">
                  <c:v>44292</c:v>
                </c:pt>
                <c:pt idx="101">
                  <c:v>44291</c:v>
                </c:pt>
                <c:pt idx="102">
                  <c:v>44287</c:v>
                </c:pt>
                <c:pt idx="103">
                  <c:v>44286</c:v>
                </c:pt>
                <c:pt idx="104">
                  <c:v>44285</c:v>
                </c:pt>
                <c:pt idx="105">
                  <c:v>44284</c:v>
                </c:pt>
                <c:pt idx="106">
                  <c:v>44281</c:v>
                </c:pt>
                <c:pt idx="107">
                  <c:v>44280</c:v>
                </c:pt>
                <c:pt idx="108">
                  <c:v>44279</c:v>
                </c:pt>
                <c:pt idx="109">
                  <c:v>44278</c:v>
                </c:pt>
                <c:pt idx="110">
                  <c:v>44277</c:v>
                </c:pt>
                <c:pt idx="111">
                  <c:v>44274</c:v>
                </c:pt>
                <c:pt idx="112">
                  <c:v>44273</c:v>
                </c:pt>
                <c:pt idx="113">
                  <c:v>44272</c:v>
                </c:pt>
                <c:pt idx="114">
                  <c:v>44271</c:v>
                </c:pt>
                <c:pt idx="115">
                  <c:v>44270</c:v>
                </c:pt>
                <c:pt idx="116">
                  <c:v>44267</c:v>
                </c:pt>
                <c:pt idx="117">
                  <c:v>44266</c:v>
                </c:pt>
                <c:pt idx="118">
                  <c:v>44265</c:v>
                </c:pt>
                <c:pt idx="119">
                  <c:v>44264</c:v>
                </c:pt>
                <c:pt idx="120">
                  <c:v>44263</c:v>
                </c:pt>
                <c:pt idx="121">
                  <c:v>44260</c:v>
                </c:pt>
                <c:pt idx="122">
                  <c:v>44259</c:v>
                </c:pt>
                <c:pt idx="123">
                  <c:v>44258</c:v>
                </c:pt>
                <c:pt idx="124">
                  <c:v>44257</c:v>
                </c:pt>
                <c:pt idx="125">
                  <c:v>44256</c:v>
                </c:pt>
                <c:pt idx="126">
                  <c:v>44253</c:v>
                </c:pt>
                <c:pt idx="127">
                  <c:v>44252</c:v>
                </c:pt>
                <c:pt idx="128">
                  <c:v>44251</c:v>
                </c:pt>
                <c:pt idx="129">
                  <c:v>44250</c:v>
                </c:pt>
                <c:pt idx="130">
                  <c:v>44249</c:v>
                </c:pt>
                <c:pt idx="131">
                  <c:v>44246</c:v>
                </c:pt>
                <c:pt idx="132">
                  <c:v>44245</c:v>
                </c:pt>
                <c:pt idx="133">
                  <c:v>44239</c:v>
                </c:pt>
                <c:pt idx="134">
                  <c:v>44238</c:v>
                </c:pt>
                <c:pt idx="135">
                  <c:v>44237</c:v>
                </c:pt>
                <c:pt idx="136">
                  <c:v>44236</c:v>
                </c:pt>
                <c:pt idx="137">
                  <c:v>44235</c:v>
                </c:pt>
                <c:pt idx="138">
                  <c:v>44232</c:v>
                </c:pt>
                <c:pt idx="139">
                  <c:v>44231</c:v>
                </c:pt>
                <c:pt idx="140">
                  <c:v>44230</c:v>
                </c:pt>
                <c:pt idx="141">
                  <c:v>44229</c:v>
                </c:pt>
                <c:pt idx="142">
                  <c:v>44228</c:v>
                </c:pt>
                <c:pt idx="143">
                  <c:v>44225</c:v>
                </c:pt>
                <c:pt idx="144">
                  <c:v>44224</c:v>
                </c:pt>
                <c:pt idx="145">
                  <c:v>44223</c:v>
                </c:pt>
                <c:pt idx="146">
                  <c:v>44222</c:v>
                </c:pt>
                <c:pt idx="147">
                  <c:v>44218</c:v>
                </c:pt>
                <c:pt idx="148">
                  <c:v>44217</c:v>
                </c:pt>
                <c:pt idx="149">
                  <c:v>44216</c:v>
                </c:pt>
                <c:pt idx="150">
                  <c:v>44215</c:v>
                </c:pt>
                <c:pt idx="151">
                  <c:v>44214</c:v>
                </c:pt>
                <c:pt idx="152">
                  <c:v>44211</c:v>
                </c:pt>
                <c:pt idx="153">
                  <c:v>44210</c:v>
                </c:pt>
                <c:pt idx="154">
                  <c:v>44209</c:v>
                </c:pt>
                <c:pt idx="155">
                  <c:v>44208</c:v>
                </c:pt>
                <c:pt idx="156">
                  <c:v>44207</c:v>
                </c:pt>
                <c:pt idx="157">
                  <c:v>44204</c:v>
                </c:pt>
                <c:pt idx="158">
                  <c:v>44203</c:v>
                </c:pt>
                <c:pt idx="159">
                  <c:v>44202</c:v>
                </c:pt>
                <c:pt idx="160">
                  <c:v>44201</c:v>
                </c:pt>
                <c:pt idx="161">
                  <c:v>44200</c:v>
                </c:pt>
                <c:pt idx="162">
                  <c:v>44195</c:v>
                </c:pt>
                <c:pt idx="163">
                  <c:v>44194</c:v>
                </c:pt>
                <c:pt idx="164">
                  <c:v>44193</c:v>
                </c:pt>
                <c:pt idx="165">
                  <c:v>44188</c:v>
                </c:pt>
                <c:pt idx="166">
                  <c:v>44187</c:v>
                </c:pt>
                <c:pt idx="167">
                  <c:v>44186</c:v>
                </c:pt>
                <c:pt idx="168">
                  <c:v>44183</c:v>
                </c:pt>
                <c:pt idx="169">
                  <c:v>44182</c:v>
                </c:pt>
                <c:pt idx="170">
                  <c:v>44181</c:v>
                </c:pt>
                <c:pt idx="171">
                  <c:v>44180</c:v>
                </c:pt>
                <c:pt idx="172">
                  <c:v>44179</c:v>
                </c:pt>
                <c:pt idx="173">
                  <c:v>44176</c:v>
                </c:pt>
                <c:pt idx="174">
                  <c:v>44175</c:v>
                </c:pt>
                <c:pt idx="175">
                  <c:v>44174</c:v>
                </c:pt>
                <c:pt idx="176">
                  <c:v>44173</c:v>
                </c:pt>
                <c:pt idx="177">
                  <c:v>44172</c:v>
                </c:pt>
                <c:pt idx="178">
                  <c:v>44169</c:v>
                </c:pt>
                <c:pt idx="179">
                  <c:v>44168</c:v>
                </c:pt>
                <c:pt idx="180">
                  <c:v>44167</c:v>
                </c:pt>
                <c:pt idx="181">
                  <c:v>44166</c:v>
                </c:pt>
                <c:pt idx="182">
                  <c:v>44165</c:v>
                </c:pt>
                <c:pt idx="183">
                  <c:v>44162</c:v>
                </c:pt>
                <c:pt idx="184">
                  <c:v>44161</c:v>
                </c:pt>
                <c:pt idx="185">
                  <c:v>44160</c:v>
                </c:pt>
                <c:pt idx="186">
                  <c:v>44159</c:v>
                </c:pt>
                <c:pt idx="187">
                  <c:v>44158</c:v>
                </c:pt>
                <c:pt idx="188">
                  <c:v>44154</c:v>
                </c:pt>
                <c:pt idx="189">
                  <c:v>44153</c:v>
                </c:pt>
                <c:pt idx="190">
                  <c:v>44152</c:v>
                </c:pt>
                <c:pt idx="191">
                  <c:v>44151</c:v>
                </c:pt>
                <c:pt idx="192">
                  <c:v>44148</c:v>
                </c:pt>
                <c:pt idx="193">
                  <c:v>44147</c:v>
                </c:pt>
                <c:pt idx="194">
                  <c:v>44146</c:v>
                </c:pt>
                <c:pt idx="195">
                  <c:v>44145</c:v>
                </c:pt>
                <c:pt idx="196">
                  <c:v>44144</c:v>
                </c:pt>
                <c:pt idx="197">
                  <c:v>44141</c:v>
                </c:pt>
                <c:pt idx="198">
                  <c:v>44140</c:v>
                </c:pt>
                <c:pt idx="199">
                  <c:v>44139</c:v>
                </c:pt>
                <c:pt idx="200">
                  <c:v>44138</c:v>
                </c:pt>
                <c:pt idx="201">
                  <c:v>44134</c:v>
                </c:pt>
                <c:pt idx="202">
                  <c:v>44133</c:v>
                </c:pt>
                <c:pt idx="203">
                  <c:v>44132</c:v>
                </c:pt>
                <c:pt idx="204">
                  <c:v>44131</c:v>
                </c:pt>
                <c:pt idx="205">
                  <c:v>44130</c:v>
                </c:pt>
                <c:pt idx="206">
                  <c:v>44127</c:v>
                </c:pt>
                <c:pt idx="207">
                  <c:v>44126</c:v>
                </c:pt>
                <c:pt idx="208">
                  <c:v>44125</c:v>
                </c:pt>
                <c:pt idx="209">
                  <c:v>44124</c:v>
                </c:pt>
                <c:pt idx="210">
                  <c:v>44123</c:v>
                </c:pt>
                <c:pt idx="211">
                  <c:v>44120</c:v>
                </c:pt>
                <c:pt idx="212">
                  <c:v>44119</c:v>
                </c:pt>
                <c:pt idx="213">
                  <c:v>44118</c:v>
                </c:pt>
                <c:pt idx="214">
                  <c:v>44117</c:v>
                </c:pt>
                <c:pt idx="215">
                  <c:v>44113</c:v>
                </c:pt>
                <c:pt idx="216">
                  <c:v>44112</c:v>
                </c:pt>
                <c:pt idx="217">
                  <c:v>44111</c:v>
                </c:pt>
                <c:pt idx="218">
                  <c:v>44110</c:v>
                </c:pt>
                <c:pt idx="219">
                  <c:v>44109</c:v>
                </c:pt>
                <c:pt idx="220">
                  <c:v>44106</c:v>
                </c:pt>
                <c:pt idx="221">
                  <c:v>44105</c:v>
                </c:pt>
                <c:pt idx="222">
                  <c:v>44104</c:v>
                </c:pt>
                <c:pt idx="223">
                  <c:v>44103</c:v>
                </c:pt>
                <c:pt idx="224">
                  <c:v>44102</c:v>
                </c:pt>
                <c:pt idx="225">
                  <c:v>44099</c:v>
                </c:pt>
                <c:pt idx="226">
                  <c:v>44098</c:v>
                </c:pt>
                <c:pt idx="227">
                  <c:v>44097</c:v>
                </c:pt>
                <c:pt idx="228">
                  <c:v>44096</c:v>
                </c:pt>
                <c:pt idx="229">
                  <c:v>44095</c:v>
                </c:pt>
                <c:pt idx="230">
                  <c:v>44092</c:v>
                </c:pt>
                <c:pt idx="231">
                  <c:v>44091</c:v>
                </c:pt>
                <c:pt idx="232">
                  <c:v>44090</c:v>
                </c:pt>
                <c:pt idx="233">
                  <c:v>44089</c:v>
                </c:pt>
                <c:pt idx="234">
                  <c:v>44088</c:v>
                </c:pt>
                <c:pt idx="235">
                  <c:v>44085</c:v>
                </c:pt>
                <c:pt idx="236">
                  <c:v>44084</c:v>
                </c:pt>
                <c:pt idx="237">
                  <c:v>44083</c:v>
                </c:pt>
                <c:pt idx="238">
                  <c:v>44082</c:v>
                </c:pt>
                <c:pt idx="239">
                  <c:v>44078</c:v>
                </c:pt>
                <c:pt idx="240">
                  <c:v>44077</c:v>
                </c:pt>
                <c:pt idx="241">
                  <c:v>44076</c:v>
                </c:pt>
                <c:pt idx="242">
                  <c:v>44075</c:v>
                </c:pt>
                <c:pt idx="243">
                  <c:v>44074</c:v>
                </c:pt>
                <c:pt idx="244">
                  <c:v>44071</c:v>
                </c:pt>
                <c:pt idx="245">
                  <c:v>44070</c:v>
                </c:pt>
                <c:pt idx="246">
                  <c:v>44069</c:v>
                </c:pt>
                <c:pt idx="247">
                  <c:v>44068</c:v>
                </c:pt>
                <c:pt idx="248">
                  <c:v>44067</c:v>
                </c:pt>
                <c:pt idx="249">
                  <c:v>44064</c:v>
                </c:pt>
                <c:pt idx="250">
                  <c:v>44063</c:v>
                </c:pt>
                <c:pt idx="251">
                  <c:v>44062</c:v>
                </c:pt>
                <c:pt idx="252">
                  <c:v>44061</c:v>
                </c:pt>
                <c:pt idx="253">
                  <c:v>44060</c:v>
                </c:pt>
                <c:pt idx="254">
                  <c:v>44057</c:v>
                </c:pt>
                <c:pt idx="255">
                  <c:v>44056</c:v>
                </c:pt>
                <c:pt idx="256">
                  <c:v>44055</c:v>
                </c:pt>
                <c:pt idx="257">
                  <c:v>44054</c:v>
                </c:pt>
                <c:pt idx="258">
                  <c:v>44053</c:v>
                </c:pt>
                <c:pt idx="259">
                  <c:v>44050</c:v>
                </c:pt>
                <c:pt idx="260">
                  <c:v>44049</c:v>
                </c:pt>
                <c:pt idx="261">
                  <c:v>44048</c:v>
                </c:pt>
                <c:pt idx="262">
                  <c:v>44047</c:v>
                </c:pt>
                <c:pt idx="263">
                  <c:v>44046</c:v>
                </c:pt>
                <c:pt idx="264">
                  <c:v>44043</c:v>
                </c:pt>
                <c:pt idx="265">
                  <c:v>44042</c:v>
                </c:pt>
                <c:pt idx="266">
                  <c:v>44041</c:v>
                </c:pt>
                <c:pt idx="267">
                  <c:v>44040</c:v>
                </c:pt>
                <c:pt idx="268">
                  <c:v>44039</c:v>
                </c:pt>
                <c:pt idx="269">
                  <c:v>44036</c:v>
                </c:pt>
                <c:pt idx="270">
                  <c:v>44035</c:v>
                </c:pt>
                <c:pt idx="271">
                  <c:v>44034</c:v>
                </c:pt>
                <c:pt idx="272">
                  <c:v>44033</c:v>
                </c:pt>
                <c:pt idx="273">
                  <c:v>44032</c:v>
                </c:pt>
                <c:pt idx="274">
                  <c:v>44029</c:v>
                </c:pt>
                <c:pt idx="275">
                  <c:v>44028</c:v>
                </c:pt>
                <c:pt idx="276">
                  <c:v>44027</c:v>
                </c:pt>
                <c:pt idx="277">
                  <c:v>44026</c:v>
                </c:pt>
                <c:pt idx="278">
                  <c:v>44025</c:v>
                </c:pt>
                <c:pt idx="279">
                  <c:v>44022</c:v>
                </c:pt>
                <c:pt idx="280">
                  <c:v>44021</c:v>
                </c:pt>
                <c:pt idx="281">
                  <c:v>44020</c:v>
                </c:pt>
                <c:pt idx="282">
                  <c:v>44019</c:v>
                </c:pt>
                <c:pt idx="283">
                  <c:v>44018</c:v>
                </c:pt>
                <c:pt idx="284">
                  <c:v>44015</c:v>
                </c:pt>
                <c:pt idx="285">
                  <c:v>44014</c:v>
                </c:pt>
                <c:pt idx="286">
                  <c:v>44013</c:v>
                </c:pt>
                <c:pt idx="287">
                  <c:v>44012</c:v>
                </c:pt>
                <c:pt idx="288">
                  <c:v>44011</c:v>
                </c:pt>
                <c:pt idx="289">
                  <c:v>44008</c:v>
                </c:pt>
                <c:pt idx="290">
                  <c:v>44007</c:v>
                </c:pt>
                <c:pt idx="291">
                  <c:v>44006</c:v>
                </c:pt>
                <c:pt idx="292">
                  <c:v>44005</c:v>
                </c:pt>
                <c:pt idx="293">
                  <c:v>44004</c:v>
                </c:pt>
                <c:pt idx="294">
                  <c:v>44001</c:v>
                </c:pt>
                <c:pt idx="295">
                  <c:v>44000</c:v>
                </c:pt>
                <c:pt idx="296">
                  <c:v>43999</c:v>
                </c:pt>
                <c:pt idx="297">
                  <c:v>43998</c:v>
                </c:pt>
                <c:pt idx="298">
                  <c:v>43997</c:v>
                </c:pt>
                <c:pt idx="299">
                  <c:v>43994</c:v>
                </c:pt>
                <c:pt idx="300">
                  <c:v>43992</c:v>
                </c:pt>
                <c:pt idx="301">
                  <c:v>43991</c:v>
                </c:pt>
                <c:pt idx="302">
                  <c:v>43990</c:v>
                </c:pt>
                <c:pt idx="303">
                  <c:v>43987</c:v>
                </c:pt>
                <c:pt idx="304">
                  <c:v>43986</c:v>
                </c:pt>
                <c:pt idx="305">
                  <c:v>43985</c:v>
                </c:pt>
                <c:pt idx="306">
                  <c:v>43984</c:v>
                </c:pt>
                <c:pt idx="307">
                  <c:v>43983</c:v>
                </c:pt>
                <c:pt idx="308">
                  <c:v>43980</c:v>
                </c:pt>
                <c:pt idx="309">
                  <c:v>43979</c:v>
                </c:pt>
                <c:pt idx="310">
                  <c:v>43978</c:v>
                </c:pt>
                <c:pt idx="311">
                  <c:v>43977</c:v>
                </c:pt>
                <c:pt idx="312">
                  <c:v>43976</c:v>
                </c:pt>
                <c:pt idx="313">
                  <c:v>43973</c:v>
                </c:pt>
                <c:pt idx="314">
                  <c:v>43972</c:v>
                </c:pt>
                <c:pt idx="315">
                  <c:v>43971</c:v>
                </c:pt>
                <c:pt idx="316">
                  <c:v>43970</c:v>
                </c:pt>
                <c:pt idx="317">
                  <c:v>43969</c:v>
                </c:pt>
                <c:pt idx="318">
                  <c:v>43966</c:v>
                </c:pt>
                <c:pt idx="319">
                  <c:v>43965</c:v>
                </c:pt>
                <c:pt idx="320">
                  <c:v>43964</c:v>
                </c:pt>
                <c:pt idx="321">
                  <c:v>43963</c:v>
                </c:pt>
                <c:pt idx="322">
                  <c:v>43962</c:v>
                </c:pt>
                <c:pt idx="323">
                  <c:v>43959</c:v>
                </c:pt>
                <c:pt idx="324">
                  <c:v>43958</c:v>
                </c:pt>
                <c:pt idx="325">
                  <c:v>43957</c:v>
                </c:pt>
                <c:pt idx="326">
                  <c:v>43956</c:v>
                </c:pt>
                <c:pt idx="327">
                  <c:v>43955</c:v>
                </c:pt>
                <c:pt idx="328">
                  <c:v>43951</c:v>
                </c:pt>
                <c:pt idx="329">
                  <c:v>43950</c:v>
                </c:pt>
                <c:pt idx="330">
                  <c:v>43949</c:v>
                </c:pt>
                <c:pt idx="331">
                  <c:v>43948</c:v>
                </c:pt>
                <c:pt idx="332">
                  <c:v>43945</c:v>
                </c:pt>
                <c:pt idx="333">
                  <c:v>43944</c:v>
                </c:pt>
                <c:pt idx="334">
                  <c:v>43943</c:v>
                </c:pt>
                <c:pt idx="335">
                  <c:v>43941</c:v>
                </c:pt>
                <c:pt idx="336">
                  <c:v>43938</c:v>
                </c:pt>
                <c:pt idx="337">
                  <c:v>43937</c:v>
                </c:pt>
                <c:pt idx="338">
                  <c:v>43936</c:v>
                </c:pt>
                <c:pt idx="339">
                  <c:v>43935</c:v>
                </c:pt>
                <c:pt idx="340">
                  <c:v>43934</c:v>
                </c:pt>
                <c:pt idx="341">
                  <c:v>43930</c:v>
                </c:pt>
                <c:pt idx="342">
                  <c:v>43929</c:v>
                </c:pt>
                <c:pt idx="343">
                  <c:v>43928</c:v>
                </c:pt>
                <c:pt idx="344">
                  <c:v>43927</c:v>
                </c:pt>
                <c:pt idx="345">
                  <c:v>43924</c:v>
                </c:pt>
                <c:pt idx="346">
                  <c:v>43923</c:v>
                </c:pt>
                <c:pt idx="347">
                  <c:v>43922</c:v>
                </c:pt>
                <c:pt idx="348">
                  <c:v>43921</c:v>
                </c:pt>
                <c:pt idx="349">
                  <c:v>43920</c:v>
                </c:pt>
                <c:pt idx="350">
                  <c:v>43917</c:v>
                </c:pt>
                <c:pt idx="351">
                  <c:v>43916</c:v>
                </c:pt>
                <c:pt idx="352">
                  <c:v>43915</c:v>
                </c:pt>
                <c:pt idx="353">
                  <c:v>43914</c:v>
                </c:pt>
                <c:pt idx="354">
                  <c:v>43913</c:v>
                </c:pt>
                <c:pt idx="355">
                  <c:v>43910</c:v>
                </c:pt>
                <c:pt idx="356">
                  <c:v>43909</c:v>
                </c:pt>
                <c:pt idx="357">
                  <c:v>43908</c:v>
                </c:pt>
                <c:pt idx="358">
                  <c:v>43907</c:v>
                </c:pt>
                <c:pt idx="359">
                  <c:v>43906</c:v>
                </c:pt>
                <c:pt idx="360">
                  <c:v>43903</c:v>
                </c:pt>
                <c:pt idx="361">
                  <c:v>43902</c:v>
                </c:pt>
                <c:pt idx="362">
                  <c:v>43901</c:v>
                </c:pt>
                <c:pt idx="363">
                  <c:v>43900</c:v>
                </c:pt>
                <c:pt idx="364">
                  <c:v>43899</c:v>
                </c:pt>
                <c:pt idx="365">
                  <c:v>43896</c:v>
                </c:pt>
                <c:pt idx="366">
                  <c:v>43895</c:v>
                </c:pt>
                <c:pt idx="367">
                  <c:v>43894</c:v>
                </c:pt>
                <c:pt idx="368">
                  <c:v>43893</c:v>
                </c:pt>
                <c:pt idx="369">
                  <c:v>43892</c:v>
                </c:pt>
                <c:pt idx="370">
                  <c:v>43889</c:v>
                </c:pt>
                <c:pt idx="371">
                  <c:v>43888</c:v>
                </c:pt>
                <c:pt idx="372">
                  <c:v>43882</c:v>
                </c:pt>
                <c:pt idx="373">
                  <c:v>43881</c:v>
                </c:pt>
                <c:pt idx="374">
                  <c:v>43880</c:v>
                </c:pt>
                <c:pt idx="375">
                  <c:v>43879</c:v>
                </c:pt>
                <c:pt idx="376">
                  <c:v>43878</c:v>
                </c:pt>
                <c:pt idx="377">
                  <c:v>43875</c:v>
                </c:pt>
                <c:pt idx="378">
                  <c:v>43874</c:v>
                </c:pt>
                <c:pt idx="379">
                  <c:v>43873</c:v>
                </c:pt>
                <c:pt idx="380">
                  <c:v>43872</c:v>
                </c:pt>
                <c:pt idx="381">
                  <c:v>43871</c:v>
                </c:pt>
                <c:pt idx="382">
                  <c:v>43868</c:v>
                </c:pt>
                <c:pt idx="383">
                  <c:v>43867</c:v>
                </c:pt>
                <c:pt idx="384">
                  <c:v>43866</c:v>
                </c:pt>
                <c:pt idx="385">
                  <c:v>43865</c:v>
                </c:pt>
                <c:pt idx="386">
                  <c:v>43864</c:v>
                </c:pt>
                <c:pt idx="387">
                  <c:v>43861</c:v>
                </c:pt>
                <c:pt idx="388">
                  <c:v>43860</c:v>
                </c:pt>
                <c:pt idx="389">
                  <c:v>43859</c:v>
                </c:pt>
                <c:pt idx="390">
                  <c:v>43858</c:v>
                </c:pt>
                <c:pt idx="391">
                  <c:v>43857</c:v>
                </c:pt>
                <c:pt idx="392">
                  <c:v>43854</c:v>
                </c:pt>
                <c:pt idx="393">
                  <c:v>43853</c:v>
                </c:pt>
                <c:pt idx="394">
                  <c:v>43852</c:v>
                </c:pt>
                <c:pt idx="395">
                  <c:v>43851</c:v>
                </c:pt>
                <c:pt idx="396">
                  <c:v>43850</c:v>
                </c:pt>
                <c:pt idx="397">
                  <c:v>43847</c:v>
                </c:pt>
                <c:pt idx="398">
                  <c:v>43846</c:v>
                </c:pt>
                <c:pt idx="399">
                  <c:v>43845</c:v>
                </c:pt>
                <c:pt idx="400">
                  <c:v>43844</c:v>
                </c:pt>
                <c:pt idx="401">
                  <c:v>43843</c:v>
                </c:pt>
                <c:pt idx="402">
                  <c:v>43840</c:v>
                </c:pt>
                <c:pt idx="403">
                  <c:v>43839</c:v>
                </c:pt>
                <c:pt idx="404">
                  <c:v>43838</c:v>
                </c:pt>
                <c:pt idx="405">
                  <c:v>43837</c:v>
                </c:pt>
                <c:pt idx="406">
                  <c:v>43836</c:v>
                </c:pt>
                <c:pt idx="407">
                  <c:v>43833</c:v>
                </c:pt>
                <c:pt idx="408">
                  <c:v>43832</c:v>
                </c:pt>
                <c:pt idx="409">
                  <c:v>43829</c:v>
                </c:pt>
                <c:pt idx="410">
                  <c:v>43826</c:v>
                </c:pt>
                <c:pt idx="411">
                  <c:v>43825</c:v>
                </c:pt>
                <c:pt idx="412">
                  <c:v>43822</c:v>
                </c:pt>
                <c:pt idx="413">
                  <c:v>43819</c:v>
                </c:pt>
                <c:pt idx="414">
                  <c:v>43818</c:v>
                </c:pt>
                <c:pt idx="415">
                  <c:v>43817</c:v>
                </c:pt>
                <c:pt idx="416">
                  <c:v>43816</c:v>
                </c:pt>
                <c:pt idx="417">
                  <c:v>43815</c:v>
                </c:pt>
                <c:pt idx="418">
                  <c:v>43812</c:v>
                </c:pt>
                <c:pt idx="419">
                  <c:v>43811</c:v>
                </c:pt>
                <c:pt idx="420">
                  <c:v>43810</c:v>
                </c:pt>
                <c:pt idx="421">
                  <c:v>43809</c:v>
                </c:pt>
                <c:pt idx="422">
                  <c:v>43808</c:v>
                </c:pt>
                <c:pt idx="423">
                  <c:v>43805</c:v>
                </c:pt>
                <c:pt idx="424">
                  <c:v>43804</c:v>
                </c:pt>
                <c:pt idx="425">
                  <c:v>43803</c:v>
                </c:pt>
                <c:pt idx="426">
                  <c:v>43802</c:v>
                </c:pt>
                <c:pt idx="427">
                  <c:v>43801</c:v>
                </c:pt>
                <c:pt idx="428">
                  <c:v>43798</c:v>
                </c:pt>
                <c:pt idx="429">
                  <c:v>43797</c:v>
                </c:pt>
                <c:pt idx="430">
                  <c:v>43796</c:v>
                </c:pt>
                <c:pt idx="431">
                  <c:v>43795</c:v>
                </c:pt>
                <c:pt idx="432">
                  <c:v>43794</c:v>
                </c:pt>
                <c:pt idx="433">
                  <c:v>43791</c:v>
                </c:pt>
                <c:pt idx="434">
                  <c:v>43790</c:v>
                </c:pt>
                <c:pt idx="435">
                  <c:v>43788</c:v>
                </c:pt>
                <c:pt idx="436">
                  <c:v>43787</c:v>
                </c:pt>
                <c:pt idx="437">
                  <c:v>43783</c:v>
                </c:pt>
                <c:pt idx="438">
                  <c:v>43782</c:v>
                </c:pt>
                <c:pt idx="439">
                  <c:v>43781</c:v>
                </c:pt>
                <c:pt idx="440">
                  <c:v>43780</c:v>
                </c:pt>
                <c:pt idx="441">
                  <c:v>43777</c:v>
                </c:pt>
                <c:pt idx="442">
                  <c:v>43776</c:v>
                </c:pt>
                <c:pt idx="443">
                  <c:v>43775</c:v>
                </c:pt>
                <c:pt idx="444">
                  <c:v>43774</c:v>
                </c:pt>
                <c:pt idx="445">
                  <c:v>43773</c:v>
                </c:pt>
                <c:pt idx="446">
                  <c:v>43770</c:v>
                </c:pt>
                <c:pt idx="447">
                  <c:v>43769</c:v>
                </c:pt>
                <c:pt idx="448">
                  <c:v>43768</c:v>
                </c:pt>
                <c:pt idx="449">
                  <c:v>43767</c:v>
                </c:pt>
                <c:pt idx="450">
                  <c:v>43766</c:v>
                </c:pt>
                <c:pt idx="451">
                  <c:v>43763</c:v>
                </c:pt>
                <c:pt idx="452">
                  <c:v>43762</c:v>
                </c:pt>
                <c:pt idx="453">
                  <c:v>43761</c:v>
                </c:pt>
                <c:pt idx="454">
                  <c:v>43760</c:v>
                </c:pt>
                <c:pt idx="455">
                  <c:v>43759</c:v>
                </c:pt>
                <c:pt idx="456">
                  <c:v>43756</c:v>
                </c:pt>
                <c:pt idx="457">
                  <c:v>43755</c:v>
                </c:pt>
                <c:pt idx="458">
                  <c:v>43754</c:v>
                </c:pt>
                <c:pt idx="459">
                  <c:v>43753</c:v>
                </c:pt>
                <c:pt idx="460">
                  <c:v>43752</c:v>
                </c:pt>
                <c:pt idx="461">
                  <c:v>43749</c:v>
                </c:pt>
                <c:pt idx="462">
                  <c:v>43748</c:v>
                </c:pt>
                <c:pt idx="463">
                  <c:v>43747</c:v>
                </c:pt>
                <c:pt idx="464">
                  <c:v>43746</c:v>
                </c:pt>
                <c:pt idx="465">
                  <c:v>43745</c:v>
                </c:pt>
                <c:pt idx="466">
                  <c:v>43742</c:v>
                </c:pt>
                <c:pt idx="467">
                  <c:v>43741</c:v>
                </c:pt>
                <c:pt idx="468">
                  <c:v>43740</c:v>
                </c:pt>
                <c:pt idx="469">
                  <c:v>43739</c:v>
                </c:pt>
                <c:pt idx="470">
                  <c:v>43738</c:v>
                </c:pt>
                <c:pt idx="471">
                  <c:v>43735</c:v>
                </c:pt>
                <c:pt idx="472">
                  <c:v>43734</c:v>
                </c:pt>
                <c:pt idx="473">
                  <c:v>43733</c:v>
                </c:pt>
                <c:pt idx="474">
                  <c:v>43732</c:v>
                </c:pt>
                <c:pt idx="475">
                  <c:v>43731</c:v>
                </c:pt>
                <c:pt idx="476">
                  <c:v>43728</c:v>
                </c:pt>
                <c:pt idx="477">
                  <c:v>43727</c:v>
                </c:pt>
                <c:pt idx="478">
                  <c:v>43726</c:v>
                </c:pt>
                <c:pt idx="479">
                  <c:v>43725</c:v>
                </c:pt>
                <c:pt idx="480">
                  <c:v>43724</c:v>
                </c:pt>
                <c:pt idx="481">
                  <c:v>43721</c:v>
                </c:pt>
                <c:pt idx="482">
                  <c:v>43720</c:v>
                </c:pt>
                <c:pt idx="483">
                  <c:v>43719</c:v>
                </c:pt>
                <c:pt idx="484">
                  <c:v>43718</c:v>
                </c:pt>
                <c:pt idx="485">
                  <c:v>43717</c:v>
                </c:pt>
                <c:pt idx="486">
                  <c:v>43714</c:v>
                </c:pt>
                <c:pt idx="487">
                  <c:v>43713</c:v>
                </c:pt>
                <c:pt idx="488">
                  <c:v>43712</c:v>
                </c:pt>
                <c:pt idx="489">
                  <c:v>43711</c:v>
                </c:pt>
                <c:pt idx="490">
                  <c:v>43710</c:v>
                </c:pt>
                <c:pt idx="491">
                  <c:v>43707</c:v>
                </c:pt>
              </c:numCache>
            </c:numRef>
          </c:cat>
          <c:val>
            <c:numRef>
              <c:f>'Retornos da Carteira de Ações'!$J$6:$J$497</c:f>
              <c:numCache>
                <c:formatCode>#,##0.00</c:formatCode>
                <c:ptCount val="492"/>
                <c:pt idx="0">
                  <c:v>100.69000200000001</c:v>
                </c:pt>
                <c:pt idx="1">
                  <c:v>98.230002999999996</c:v>
                </c:pt>
                <c:pt idx="2">
                  <c:v>99.5</c:v>
                </c:pt>
                <c:pt idx="3">
                  <c:v>99.709998999999996</c:v>
                </c:pt>
                <c:pt idx="4">
                  <c:v>96.199996999999996</c:v>
                </c:pt>
                <c:pt idx="5">
                  <c:v>97.550003000000004</c:v>
                </c:pt>
                <c:pt idx="6">
                  <c:v>97.510002</c:v>
                </c:pt>
                <c:pt idx="7">
                  <c:v>103.410004</c:v>
                </c:pt>
                <c:pt idx="8">
                  <c:v>107</c:v>
                </c:pt>
                <c:pt idx="9">
                  <c:v>108.800003</c:v>
                </c:pt>
                <c:pt idx="10">
                  <c:v>108.300003</c:v>
                </c:pt>
                <c:pt idx="11">
                  <c:v>109.199997</c:v>
                </c:pt>
                <c:pt idx="12">
                  <c:v>109.269997</c:v>
                </c:pt>
                <c:pt idx="13">
                  <c:v>110.05999799999999</c:v>
                </c:pt>
                <c:pt idx="14">
                  <c:v>109.010002</c:v>
                </c:pt>
                <c:pt idx="15">
                  <c:v>109.699997</c:v>
                </c:pt>
                <c:pt idx="16">
                  <c:v>109.08000199999999</c:v>
                </c:pt>
                <c:pt idx="17">
                  <c:v>112.519997</c:v>
                </c:pt>
                <c:pt idx="18">
                  <c:v>112.639999</c:v>
                </c:pt>
                <c:pt idx="19">
                  <c:v>108.93</c:v>
                </c:pt>
                <c:pt idx="20">
                  <c:v>108.760002</c:v>
                </c:pt>
                <c:pt idx="21">
                  <c:v>115.57</c:v>
                </c:pt>
                <c:pt idx="22">
                  <c:v>117.300003</c:v>
                </c:pt>
                <c:pt idx="23">
                  <c:v>114.18</c:v>
                </c:pt>
                <c:pt idx="24">
                  <c:v>116.599998</c:v>
                </c:pt>
                <c:pt idx="25">
                  <c:v>114.120003</c:v>
                </c:pt>
                <c:pt idx="26">
                  <c:v>114.699997</c:v>
                </c:pt>
                <c:pt idx="27">
                  <c:v>114.400002</c:v>
                </c:pt>
                <c:pt idx="28">
                  <c:v>113.099998</c:v>
                </c:pt>
                <c:pt idx="29">
                  <c:v>112.160004</c:v>
                </c:pt>
                <c:pt idx="30">
                  <c:v>113.400002</c:v>
                </c:pt>
                <c:pt idx="31">
                  <c:v>115.480003</c:v>
                </c:pt>
                <c:pt idx="32">
                  <c:v>115.120003</c:v>
                </c:pt>
                <c:pt idx="33">
                  <c:v>115.75</c:v>
                </c:pt>
                <c:pt idx="34">
                  <c:v>115.07</c:v>
                </c:pt>
                <c:pt idx="35">
                  <c:v>113.660004</c:v>
                </c:pt>
                <c:pt idx="36">
                  <c:v>114.099998</c:v>
                </c:pt>
                <c:pt idx="37">
                  <c:v>113.769997</c:v>
                </c:pt>
                <c:pt idx="38">
                  <c:v>113.16999800000001</c:v>
                </c:pt>
                <c:pt idx="39">
                  <c:v>113.58000199999999</c:v>
                </c:pt>
                <c:pt idx="40">
                  <c:v>111.279999</c:v>
                </c:pt>
                <c:pt idx="41">
                  <c:v>113.25</c:v>
                </c:pt>
                <c:pt idx="42">
                  <c:v>112.510002</c:v>
                </c:pt>
                <c:pt idx="43">
                  <c:v>110.599998</c:v>
                </c:pt>
                <c:pt idx="44">
                  <c:v>112.400002</c:v>
                </c:pt>
                <c:pt idx="45">
                  <c:v>111.029999</c:v>
                </c:pt>
                <c:pt idx="46">
                  <c:v>113.07</c:v>
                </c:pt>
                <c:pt idx="47">
                  <c:v>111.400002</c:v>
                </c:pt>
                <c:pt idx="48">
                  <c:v>110.110001</c:v>
                </c:pt>
                <c:pt idx="49">
                  <c:v>109.089996</c:v>
                </c:pt>
                <c:pt idx="50">
                  <c:v>105.900002</c:v>
                </c:pt>
                <c:pt idx="51">
                  <c:v>108.150002</c:v>
                </c:pt>
                <c:pt idx="52">
                  <c:v>111.5</c:v>
                </c:pt>
                <c:pt idx="53">
                  <c:v>113.720001</c:v>
                </c:pt>
                <c:pt idx="54">
                  <c:v>114.339996</c:v>
                </c:pt>
                <c:pt idx="55">
                  <c:v>111.83000199999999</c:v>
                </c:pt>
                <c:pt idx="56">
                  <c:v>112.199997</c:v>
                </c:pt>
                <c:pt idx="57">
                  <c:v>109.91999800000001</c:v>
                </c:pt>
                <c:pt idx="58">
                  <c:v>111.800003</c:v>
                </c:pt>
                <c:pt idx="59">
                  <c:v>112.900002</c:v>
                </c:pt>
                <c:pt idx="60">
                  <c:v>114.800003</c:v>
                </c:pt>
                <c:pt idx="61">
                  <c:v>113.199997</c:v>
                </c:pt>
                <c:pt idx="62">
                  <c:v>114.779999</c:v>
                </c:pt>
                <c:pt idx="63">
                  <c:v>111.589996</c:v>
                </c:pt>
                <c:pt idx="64">
                  <c:v>110.989998</c:v>
                </c:pt>
                <c:pt idx="65">
                  <c:v>110.199997</c:v>
                </c:pt>
                <c:pt idx="66">
                  <c:v>107.050003</c:v>
                </c:pt>
                <c:pt idx="67">
                  <c:v>109.779999</c:v>
                </c:pt>
                <c:pt idx="68">
                  <c:v>109.400002</c:v>
                </c:pt>
                <c:pt idx="69">
                  <c:v>111.110001</c:v>
                </c:pt>
                <c:pt idx="70">
                  <c:v>112.25</c:v>
                </c:pt>
                <c:pt idx="71">
                  <c:v>114.599998</c:v>
                </c:pt>
                <c:pt idx="72">
                  <c:v>113.459999</c:v>
                </c:pt>
                <c:pt idx="73">
                  <c:v>110.55999799999999</c:v>
                </c:pt>
                <c:pt idx="74">
                  <c:v>112.489998</c:v>
                </c:pt>
                <c:pt idx="75">
                  <c:v>114.33000199999999</c:v>
                </c:pt>
                <c:pt idx="76">
                  <c:v>118.720001</c:v>
                </c:pt>
                <c:pt idx="77">
                  <c:v>114.69000200000001</c:v>
                </c:pt>
                <c:pt idx="78">
                  <c:v>115.449997</c:v>
                </c:pt>
                <c:pt idx="79">
                  <c:v>115.050003</c:v>
                </c:pt>
                <c:pt idx="80">
                  <c:v>110.709999</c:v>
                </c:pt>
                <c:pt idx="81">
                  <c:v>110.099998</c:v>
                </c:pt>
                <c:pt idx="82">
                  <c:v>108.459999</c:v>
                </c:pt>
                <c:pt idx="83">
                  <c:v>109.019997</c:v>
                </c:pt>
                <c:pt idx="84">
                  <c:v>111.949997</c:v>
                </c:pt>
                <c:pt idx="85">
                  <c:v>111.91999800000001</c:v>
                </c:pt>
                <c:pt idx="86">
                  <c:v>110.120003</c:v>
                </c:pt>
                <c:pt idx="87">
                  <c:v>108.57</c:v>
                </c:pt>
                <c:pt idx="88">
                  <c:v>107.989998</c:v>
                </c:pt>
                <c:pt idx="89">
                  <c:v>106.230003</c:v>
                </c:pt>
                <c:pt idx="90">
                  <c:v>106.160004</c:v>
                </c:pt>
                <c:pt idx="91">
                  <c:v>107.730003</c:v>
                </c:pt>
                <c:pt idx="92">
                  <c:v>108.66999800000001</c:v>
                </c:pt>
                <c:pt idx="93">
                  <c:v>108.209999</c:v>
                </c:pt>
                <c:pt idx="94">
                  <c:v>107</c:v>
                </c:pt>
                <c:pt idx="95">
                  <c:v>103.58000199999999</c:v>
                </c:pt>
                <c:pt idx="96">
                  <c:v>103.400002</c:v>
                </c:pt>
                <c:pt idx="97">
                  <c:v>103</c:v>
                </c:pt>
                <c:pt idx="98">
                  <c:v>104.5</c:v>
                </c:pt>
                <c:pt idx="99">
                  <c:v>104.55999799999999</c:v>
                </c:pt>
                <c:pt idx="100">
                  <c:v>102.050003</c:v>
                </c:pt>
                <c:pt idx="101">
                  <c:v>103.389999</c:v>
                </c:pt>
                <c:pt idx="102">
                  <c:v>97.389999000000003</c:v>
                </c:pt>
                <c:pt idx="103">
                  <c:v>97.970000999999996</c:v>
                </c:pt>
                <c:pt idx="104">
                  <c:v>97.07</c:v>
                </c:pt>
                <c:pt idx="105">
                  <c:v>97.980002999999996</c:v>
                </c:pt>
                <c:pt idx="106">
                  <c:v>95.529999000000004</c:v>
                </c:pt>
                <c:pt idx="107">
                  <c:v>92.440002000000007</c:v>
                </c:pt>
                <c:pt idx="108">
                  <c:v>93.150002000000001</c:v>
                </c:pt>
                <c:pt idx="109">
                  <c:v>91.059997999999993</c:v>
                </c:pt>
                <c:pt idx="110">
                  <c:v>93.209998999999996</c:v>
                </c:pt>
                <c:pt idx="111">
                  <c:v>94.779999000000004</c:v>
                </c:pt>
                <c:pt idx="112">
                  <c:v>96.160004000000001</c:v>
                </c:pt>
                <c:pt idx="113">
                  <c:v>97.900002000000001</c:v>
                </c:pt>
                <c:pt idx="114">
                  <c:v>96.510002</c:v>
                </c:pt>
                <c:pt idx="115">
                  <c:v>96.82</c:v>
                </c:pt>
                <c:pt idx="116">
                  <c:v>97.400002000000001</c:v>
                </c:pt>
                <c:pt idx="117">
                  <c:v>99.699996999999996</c:v>
                </c:pt>
                <c:pt idx="118">
                  <c:v>97.150002000000001</c:v>
                </c:pt>
                <c:pt idx="119">
                  <c:v>98.669998000000007</c:v>
                </c:pt>
                <c:pt idx="120">
                  <c:v>99.669998000000007</c:v>
                </c:pt>
                <c:pt idx="121">
                  <c:v>100.209999</c:v>
                </c:pt>
                <c:pt idx="122">
                  <c:v>98.860000999999997</c:v>
                </c:pt>
                <c:pt idx="123">
                  <c:v>100.349998</c:v>
                </c:pt>
                <c:pt idx="124">
                  <c:v>101.599998</c:v>
                </c:pt>
                <c:pt idx="125">
                  <c:v>98.57</c:v>
                </c:pt>
                <c:pt idx="126">
                  <c:v>94.519997000000004</c:v>
                </c:pt>
                <c:pt idx="127">
                  <c:v>95.709998999999996</c:v>
                </c:pt>
                <c:pt idx="128">
                  <c:v>97.93</c:v>
                </c:pt>
                <c:pt idx="129">
                  <c:v>96.949996999999996</c:v>
                </c:pt>
                <c:pt idx="130">
                  <c:v>95.349997999999999</c:v>
                </c:pt>
                <c:pt idx="131">
                  <c:v>97.769997000000004</c:v>
                </c:pt>
                <c:pt idx="132">
                  <c:v>97.400002000000001</c:v>
                </c:pt>
                <c:pt idx="133">
                  <c:v>93.889999000000003</c:v>
                </c:pt>
                <c:pt idx="134">
                  <c:v>93.099997999999999</c:v>
                </c:pt>
                <c:pt idx="135">
                  <c:v>94.699996999999996</c:v>
                </c:pt>
                <c:pt idx="136">
                  <c:v>94.25</c:v>
                </c:pt>
                <c:pt idx="137">
                  <c:v>94.010002</c:v>
                </c:pt>
                <c:pt idx="138">
                  <c:v>92.690002000000007</c:v>
                </c:pt>
                <c:pt idx="139">
                  <c:v>89.290001000000004</c:v>
                </c:pt>
                <c:pt idx="140">
                  <c:v>90.43</c:v>
                </c:pt>
                <c:pt idx="141">
                  <c:v>87.660004000000001</c:v>
                </c:pt>
                <c:pt idx="142">
                  <c:v>91.269997000000004</c:v>
                </c:pt>
                <c:pt idx="143">
                  <c:v>87.949996999999996</c:v>
                </c:pt>
                <c:pt idx="144">
                  <c:v>91.099997999999999</c:v>
                </c:pt>
                <c:pt idx="145">
                  <c:v>89.199996999999996</c:v>
                </c:pt>
                <c:pt idx="146">
                  <c:v>91.75</c:v>
                </c:pt>
                <c:pt idx="147">
                  <c:v>93.169998000000007</c:v>
                </c:pt>
                <c:pt idx="148">
                  <c:v>93.360000999999997</c:v>
                </c:pt>
                <c:pt idx="149">
                  <c:v>92.32</c:v>
                </c:pt>
                <c:pt idx="150">
                  <c:v>94.059997999999993</c:v>
                </c:pt>
                <c:pt idx="151">
                  <c:v>94.309997999999993</c:v>
                </c:pt>
                <c:pt idx="152">
                  <c:v>93.550003000000004</c:v>
                </c:pt>
                <c:pt idx="153">
                  <c:v>97.800003000000004</c:v>
                </c:pt>
                <c:pt idx="154">
                  <c:v>96.220000999999996</c:v>
                </c:pt>
                <c:pt idx="155">
                  <c:v>99.190002000000007</c:v>
                </c:pt>
                <c:pt idx="156">
                  <c:v>101.980003</c:v>
                </c:pt>
                <c:pt idx="157">
                  <c:v>102</c:v>
                </c:pt>
                <c:pt idx="158">
                  <c:v>102.32</c:v>
                </c:pt>
                <c:pt idx="159">
                  <c:v>96.050003000000004</c:v>
                </c:pt>
                <c:pt idx="160">
                  <c:v>93</c:v>
                </c:pt>
                <c:pt idx="161">
                  <c:v>91.459998999999996</c:v>
                </c:pt>
                <c:pt idx="162">
                  <c:v>87.449996999999996</c:v>
                </c:pt>
                <c:pt idx="163">
                  <c:v>87.07</c:v>
                </c:pt>
                <c:pt idx="164">
                  <c:v>87.309997999999993</c:v>
                </c:pt>
                <c:pt idx="165">
                  <c:v>87.360000999999997</c:v>
                </c:pt>
                <c:pt idx="166">
                  <c:v>86.940002000000007</c:v>
                </c:pt>
                <c:pt idx="167">
                  <c:v>86.860000999999997</c:v>
                </c:pt>
                <c:pt idx="168">
                  <c:v>87.800003000000004</c:v>
                </c:pt>
                <c:pt idx="169">
                  <c:v>87.199996999999996</c:v>
                </c:pt>
                <c:pt idx="170">
                  <c:v>86.220000999999996</c:v>
                </c:pt>
                <c:pt idx="171">
                  <c:v>84.5</c:v>
                </c:pt>
                <c:pt idx="172">
                  <c:v>83.550003000000004</c:v>
                </c:pt>
                <c:pt idx="173">
                  <c:v>84.860000999999997</c:v>
                </c:pt>
                <c:pt idx="174">
                  <c:v>85</c:v>
                </c:pt>
                <c:pt idx="175">
                  <c:v>82.699996999999996</c:v>
                </c:pt>
                <c:pt idx="176">
                  <c:v>82.900002000000001</c:v>
                </c:pt>
                <c:pt idx="177">
                  <c:v>82.949996999999996</c:v>
                </c:pt>
                <c:pt idx="178">
                  <c:v>81.980002999999996</c:v>
                </c:pt>
                <c:pt idx="179">
                  <c:v>78.959998999999996</c:v>
                </c:pt>
                <c:pt idx="180">
                  <c:v>79.839995999999999</c:v>
                </c:pt>
                <c:pt idx="181">
                  <c:v>81.25</c:v>
                </c:pt>
                <c:pt idx="182">
                  <c:v>78</c:v>
                </c:pt>
                <c:pt idx="183">
                  <c:v>78.440002000000007</c:v>
                </c:pt>
                <c:pt idx="184">
                  <c:v>76.569999999999993</c:v>
                </c:pt>
                <c:pt idx="185">
                  <c:v>75.5</c:v>
                </c:pt>
                <c:pt idx="186">
                  <c:v>74.800003000000004</c:v>
                </c:pt>
                <c:pt idx="187">
                  <c:v>71.290001000000004</c:v>
                </c:pt>
                <c:pt idx="188">
                  <c:v>67.720000999999996</c:v>
                </c:pt>
                <c:pt idx="189">
                  <c:v>66.449996999999996</c:v>
                </c:pt>
                <c:pt idx="190">
                  <c:v>66.970000999999996</c:v>
                </c:pt>
                <c:pt idx="191">
                  <c:v>64.919998000000007</c:v>
                </c:pt>
                <c:pt idx="192">
                  <c:v>63.25</c:v>
                </c:pt>
                <c:pt idx="193">
                  <c:v>62.669998</c:v>
                </c:pt>
                <c:pt idx="194">
                  <c:v>63.599997999999999</c:v>
                </c:pt>
                <c:pt idx="195">
                  <c:v>63.16</c:v>
                </c:pt>
                <c:pt idx="196">
                  <c:v>63.189999</c:v>
                </c:pt>
                <c:pt idx="197">
                  <c:v>63.189999</c:v>
                </c:pt>
                <c:pt idx="198">
                  <c:v>62.549999</c:v>
                </c:pt>
                <c:pt idx="199">
                  <c:v>61.580002</c:v>
                </c:pt>
                <c:pt idx="200">
                  <c:v>63.34</c:v>
                </c:pt>
                <c:pt idx="201">
                  <c:v>60.549999</c:v>
                </c:pt>
                <c:pt idx="202">
                  <c:v>62.02</c:v>
                </c:pt>
                <c:pt idx="203">
                  <c:v>60.259998000000003</c:v>
                </c:pt>
                <c:pt idx="204">
                  <c:v>62.529998999999997</c:v>
                </c:pt>
                <c:pt idx="205">
                  <c:v>62.5</c:v>
                </c:pt>
                <c:pt idx="206">
                  <c:v>63.450001</c:v>
                </c:pt>
                <c:pt idx="207">
                  <c:v>63.099997999999999</c:v>
                </c:pt>
                <c:pt idx="208">
                  <c:v>62.849997999999999</c:v>
                </c:pt>
                <c:pt idx="209">
                  <c:v>61.84</c:v>
                </c:pt>
                <c:pt idx="210">
                  <c:v>61.950001</c:v>
                </c:pt>
                <c:pt idx="211">
                  <c:v>62.240001999999997</c:v>
                </c:pt>
                <c:pt idx="212">
                  <c:v>62.470001000000003</c:v>
                </c:pt>
                <c:pt idx="213">
                  <c:v>63</c:v>
                </c:pt>
                <c:pt idx="214">
                  <c:v>62.139999000000003</c:v>
                </c:pt>
                <c:pt idx="215">
                  <c:v>61.599997999999999</c:v>
                </c:pt>
                <c:pt idx="216">
                  <c:v>61.290000999999997</c:v>
                </c:pt>
                <c:pt idx="217">
                  <c:v>60.169998</c:v>
                </c:pt>
                <c:pt idx="218">
                  <c:v>58.619999</c:v>
                </c:pt>
                <c:pt idx="219">
                  <c:v>59.59</c:v>
                </c:pt>
                <c:pt idx="220">
                  <c:v>58.32</c:v>
                </c:pt>
                <c:pt idx="221">
                  <c:v>58.860000999999997</c:v>
                </c:pt>
                <c:pt idx="222">
                  <c:v>59.110000999999997</c:v>
                </c:pt>
                <c:pt idx="223">
                  <c:v>58.349997999999999</c:v>
                </c:pt>
                <c:pt idx="224">
                  <c:v>58.779998999999997</c:v>
                </c:pt>
                <c:pt idx="225">
                  <c:v>59.25</c:v>
                </c:pt>
                <c:pt idx="226">
                  <c:v>58.66</c:v>
                </c:pt>
                <c:pt idx="227">
                  <c:v>59.099997999999999</c:v>
                </c:pt>
                <c:pt idx="228">
                  <c:v>57.810001</c:v>
                </c:pt>
                <c:pt idx="229">
                  <c:v>60</c:v>
                </c:pt>
                <c:pt idx="230">
                  <c:v>61.66</c:v>
                </c:pt>
                <c:pt idx="231">
                  <c:v>62.080002</c:v>
                </c:pt>
                <c:pt idx="232">
                  <c:v>60.970001000000003</c:v>
                </c:pt>
                <c:pt idx="233">
                  <c:v>62.599997999999999</c:v>
                </c:pt>
                <c:pt idx="234">
                  <c:v>61.91</c:v>
                </c:pt>
                <c:pt idx="235">
                  <c:v>61.950001</c:v>
                </c:pt>
                <c:pt idx="236">
                  <c:v>58.529998999999997</c:v>
                </c:pt>
                <c:pt idx="237">
                  <c:v>60</c:v>
                </c:pt>
                <c:pt idx="238">
                  <c:v>59.27</c:v>
                </c:pt>
                <c:pt idx="239">
                  <c:v>60.490001999999997</c:v>
                </c:pt>
                <c:pt idx="240">
                  <c:v>59.32</c:v>
                </c:pt>
                <c:pt idx="241">
                  <c:v>61.32</c:v>
                </c:pt>
                <c:pt idx="242">
                  <c:v>61.759998000000003</c:v>
                </c:pt>
                <c:pt idx="243">
                  <c:v>59.68</c:v>
                </c:pt>
                <c:pt idx="244">
                  <c:v>61.099997999999999</c:v>
                </c:pt>
                <c:pt idx="245">
                  <c:v>60.790000999999997</c:v>
                </c:pt>
                <c:pt idx="246">
                  <c:v>61.75</c:v>
                </c:pt>
                <c:pt idx="247">
                  <c:v>61.619999</c:v>
                </c:pt>
                <c:pt idx="248">
                  <c:v>62.959999000000003</c:v>
                </c:pt>
                <c:pt idx="249">
                  <c:v>62.200001</c:v>
                </c:pt>
                <c:pt idx="250">
                  <c:v>62.950001</c:v>
                </c:pt>
                <c:pt idx="251">
                  <c:v>62.389999000000003</c:v>
                </c:pt>
                <c:pt idx="252">
                  <c:v>63.060001</c:v>
                </c:pt>
                <c:pt idx="253">
                  <c:v>62.23</c:v>
                </c:pt>
                <c:pt idx="254">
                  <c:v>61.349997999999999</c:v>
                </c:pt>
                <c:pt idx="255">
                  <c:v>60.349997999999999</c:v>
                </c:pt>
                <c:pt idx="256">
                  <c:v>61.5</c:v>
                </c:pt>
                <c:pt idx="257">
                  <c:v>60.279998999999997</c:v>
                </c:pt>
                <c:pt idx="258">
                  <c:v>62.200001</c:v>
                </c:pt>
                <c:pt idx="259">
                  <c:v>60.450001</c:v>
                </c:pt>
                <c:pt idx="260">
                  <c:v>61.830002</c:v>
                </c:pt>
                <c:pt idx="261">
                  <c:v>62.189999</c:v>
                </c:pt>
                <c:pt idx="262">
                  <c:v>60.700001</c:v>
                </c:pt>
                <c:pt idx="263">
                  <c:v>60.259998000000003</c:v>
                </c:pt>
                <c:pt idx="264">
                  <c:v>60.709999000000003</c:v>
                </c:pt>
                <c:pt idx="265">
                  <c:v>61.27</c:v>
                </c:pt>
                <c:pt idx="266">
                  <c:v>62.950001</c:v>
                </c:pt>
                <c:pt idx="267">
                  <c:v>60.34</c:v>
                </c:pt>
                <c:pt idx="268">
                  <c:v>61.369999</c:v>
                </c:pt>
                <c:pt idx="269">
                  <c:v>58.599997999999999</c:v>
                </c:pt>
                <c:pt idx="270">
                  <c:v>58.849997999999999</c:v>
                </c:pt>
                <c:pt idx="271">
                  <c:v>59.240001999999997</c:v>
                </c:pt>
                <c:pt idx="272">
                  <c:v>59.700001</c:v>
                </c:pt>
                <c:pt idx="273">
                  <c:v>60.799999</c:v>
                </c:pt>
                <c:pt idx="274">
                  <c:v>61.040000999999997</c:v>
                </c:pt>
                <c:pt idx="275">
                  <c:v>60.119999</c:v>
                </c:pt>
                <c:pt idx="276">
                  <c:v>61.790000999999997</c:v>
                </c:pt>
                <c:pt idx="277">
                  <c:v>61.700001</c:v>
                </c:pt>
                <c:pt idx="278">
                  <c:v>57.650002000000001</c:v>
                </c:pt>
                <c:pt idx="279">
                  <c:v>56.970001000000003</c:v>
                </c:pt>
                <c:pt idx="280">
                  <c:v>56.419998</c:v>
                </c:pt>
                <c:pt idx="281">
                  <c:v>57.32</c:v>
                </c:pt>
                <c:pt idx="282">
                  <c:v>56.369999</c:v>
                </c:pt>
                <c:pt idx="283">
                  <c:v>56.57</c:v>
                </c:pt>
                <c:pt idx="284">
                  <c:v>55.259998000000003</c:v>
                </c:pt>
                <c:pt idx="285">
                  <c:v>55.490001999999997</c:v>
                </c:pt>
                <c:pt idx="286">
                  <c:v>54.540000999999997</c:v>
                </c:pt>
                <c:pt idx="287">
                  <c:v>55.919998</c:v>
                </c:pt>
                <c:pt idx="288">
                  <c:v>55.630001</c:v>
                </c:pt>
                <c:pt idx="289">
                  <c:v>55.619999</c:v>
                </c:pt>
                <c:pt idx="290">
                  <c:v>56</c:v>
                </c:pt>
                <c:pt idx="291">
                  <c:v>55.389999000000003</c:v>
                </c:pt>
                <c:pt idx="292">
                  <c:v>55.59</c:v>
                </c:pt>
                <c:pt idx="293">
                  <c:v>55</c:v>
                </c:pt>
                <c:pt idx="294">
                  <c:v>55.169998</c:v>
                </c:pt>
                <c:pt idx="295">
                  <c:v>56.169998</c:v>
                </c:pt>
                <c:pt idx="296">
                  <c:v>56.200001</c:v>
                </c:pt>
                <c:pt idx="297">
                  <c:v>55.389999000000003</c:v>
                </c:pt>
                <c:pt idx="298">
                  <c:v>53.880001</c:v>
                </c:pt>
                <c:pt idx="299">
                  <c:v>53.400002000000001</c:v>
                </c:pt>
                <c:pt idx="300">
                  <c:v>54.200001</c:v>
                </c:pt>
                <c:pt idx="301">
                  <c:v>54.990001999999997</c:v>
                </c:pt>
                <c:pt idx="302">
                  <c:v>54.779998999999997</c:v>
                </c:pt>
                <c:pt idx="303">
                  <c:v>54.610000999999997</c:v>
                </c:pt>
                <c:pt idx="304">
                  <c:v>55.66</c:v>
                </c:pt>
                <c:pt idx="305">
                  <c:v>53.66</c:v>
                </c:pt>
                <c:pt idx="306">
                  <c:v>53.419998</c:v>
                </c:pt>
                <c:pt idx="307">
                  <c:v>53.419998</c:v>
                </c:pt>
                <c:pt idx="308">
                  <c:v>53</c:v>
                </c:pt>
                <c:pt idx="309">
                  <c:v>50.09</c:v>
                </c:pt>
                <c:pt idx="310">
                  <c:v>50.639999000000003</c:v>
                </c:pt>
                <c:pt idx="311">
                  <c:v>49.200001</c:v>
                </c:pt>
                <c:pt idx="312">
                  <c:v>50.099997999999999</c:v>
                </c:pt>
                <c:pt idx="313">
                  <c:v>50.27</c:v>
                </c:pt>
                <c:pt idx="314">
                  <c:v>51.130001</c:v>
                </c:pt>
                <c:pt idx="315">
                  <c:v>52.5</c:v>
                </c:pt>
                <c:pt idx="316">
                  <c:v>52.299999</c:v>
                </c:pt>
                <c:pt idx="317">
                  <c:v>51.259998000000003</c:v>
                </c:pt>
                <c:pt idx="318">
                  <c:v>48.049999</c:v>
                </c:pt>
                <c:pt idx="319">
                  <c:v>48.09</c:v>
                </c:pt>
                <c:pt idx="320">
                  <c:v>48.540000999999997</c:v>
                </c:pt>
                <c:pt idx="321">
                  <c:v>47.459999000000003</c:v>
                </c:pt>
                <c:pt idx="322">
                  <c:v>47.73</c:v>
                </c:pt>
                <c:pt idx="323">
                  <c:v>48.849997999999999</c:v>
                </c:pt>
                <c:pt idx="324">
                  <c:v>46.049999</c:v>
                </c:pt>
                <c:pt idx="325">
                  <c:v>44.330002</c:v>
                </c:pt>
                <c:pt idx="326">
                  <c:v>43.700001</c:v>
                </c:pt>
                <c:pt idx="327">
                  <c:v>43.93</c:v>
                </c:pt>
                <c:pt idx="328">
                  <c:v>44.860000999999997</c:v>
                </c:pt>
                <c:pt idx="329">
                  <c:v>46.73</c:v>
                </c:pt>
                <c:pt idx="330">
                  <c:v>44.610000999999997</c:v>
                </c:pt>
                <c:pt idx="331">
                  <c:v>44.549999</c:v>
                </c:pt>
                <c:pt idx="332">
                  <c:v>43.759998000000003</c:v>
                </c:pt>
                <c:pt idx="333">
                  <c:v>43.509998000000003</c:v>
                </c:pt>
                <c:pt idx="334">
                  <c:v>42.900002000000001</c:v>
                </c:pt>
                <c:pt idx="335">
                  <c:v>42.459999000000003</c:v>
                </c:pt>
                <c:pt idx="336">
                  <c:v>44</c:v>
                </c:pt>
                <c:pt idx="337">
                  <c:v>42.759998000000003</c:v>
                </c:pt>
                <c:pt idx="338">
                  <c:v>43.189999</c:v>
                </c:pt>
                <c:pt idx="339">
                  <c:v>44.529998999999997</c:v>
                </c:pt>
                <c:pt idx="340">
                  <c:v>44.57</c:v>
                </c:pt>
                <c:pt idx="341">
                  <c:v>43.279998999999997</c:v>
                </c:pt>
                <c:pt idx="342">
                  <c:v>43.509998000000003</c:v>
                </c:pt>
                <c:pt idx="343">
                  <c:v>43.779998999999997</c:v>
                </c:pt>
                <c:pt idx="344">
                  <c:v>43.130001</c:v>
                </c:pt>
                <c:pt idx="345">
                  <c:v>40.5</c:v>
                </c:pt>
                <c:pt idx="346">
                  <c:v>42.779998999999997</c:v>
                </c:pt>
                <c:pt idx="347">
                  <c:v>43.369999</c:v>
                </c:pt>
                <c:pt idx="348">
                  <c:v>43.220001000000003</c:v>
                </c:pt>
                <c:pt idx="349">
                  <c:v>41.77</c:v>
                </c:pt>
                <c:pt idx="350">
                  <c:v>40.099997999999999</c:v>
                </c:pt>
                <c:pt idx="351">
                  <c:v>42</c:v>
                </c:pt>
                <c:pt idx="352">
                  <c:v>40.849997999999999</c:v>
                </c:pt>
                <c:pt idx="353">
                  <c:v>37.639999000000003</c:v>
                </c:pt>
                <c:pt idx="354">
                  <c:v>34.099997999999999</c:v>
                </c:pt>
                <c:pt idx="355">
                  <c:v>35.189999</c:v>
                </c:pt>
                <c:pt idx="356">
                  <c:v>36.400002000000001</c:v>
                </c:pt>
                <c:pt idx="357">
                  <c:v>38.650002000000001</c:v>
                </c:pt>
                <c:pt idx="358">
                  <c:v>41.509998000000003</c:v>
                </c:pt>
                <c:pt idx="359">
                  <c:v>39.040000999999997</c:v>
                </c:pt>
                <c:pt idx="360">
                  <c:v>42.900002000000001</c:v>
                </c:pt>
                <c:pt idx="361">
                  <c:v>35.349997999999999</c:v>
                </c:pt>
                <c:pt idx="362">
                  <c:v>40.740001999999997</c:v>
                </c:pt>
                <c:pt idx="363">
                  <c:v>44.810001</c:v>
                </c:pt>
                <c:pt idx="364">
                  <c:v>37.830002</c:v>
                </c:pt>
                <c:pt idx="365">
                  <c:v>44.610000999999997</c:v>
                </c:pt>
                <c:pt idx="366">
                  <c:v>46.849997999999999</c:v>
                </c:pt>
                <c:pt idx="367">
                  <c:v>48.57</c:v>
                </c:pt>
                <c:pt idx="368">
                  <c:v>46.349997999999999</c:v>
                </c:pt>
                <c:pt idx="369">
                  <c:v>46.360000999999997</c:v>
                </c:pt>
                <c:pt idx="370">
                  <c:v>44.310001</c:v>
                </c:pt>
                <c:pt idx="371">
                  <c:v>44.470001000000003</c:v>
                </c:pt>
                <c:pt idx="372">
                  <c:v>50.130001</c:v>
                </c:pt>
                <c:pt idx="373">
                  <c:v>52.200001</c:v>
                </c:pt>
                <c:pt idx="374">
                  <c:v>52.810001</c:v>
                </c:pt>
                <c:pt idx="375">
                  <c:v>52.799999</c:v>
                </c:pt>
                <c:pt idx="376">
                  <c:v>53.41</c:v>
                </c:pt>
                <c:pt idx="377">
                  <c:v>51</c:v>
                </c:pt>
                <c:pt idx="378">
                  <c:v>52.139999000000003</c:v>
                </c:pt>
                <c:pt idx="379">
                  <c:v>53.07</c:v>
                </c:pt>
                <c:pt idx="380">
                  <c:v>52.049999</c:v>
                </c:pt>
                <c:pt idx="381">
                  <c:v>50.189999</c:v>
                </c:pt>
                <c:pt idx="382">
                  <c:v>52.099997999999999</c:v>
                </c:pt>
                <c:pt idx="383">
                  <c:v>53.279998999999997</c:v>
                </c:pt>
                <c:pt idx="384">
                  <c:v>52.990001999999997</c:v>
                </c:pt>
                <c:pt idx="385">
                  <c:v>52.27</c:v>
                </c:pt>
                <c:pt idx="386">
                  <c:v>50.91</c:v>
                </c:pt>
                <c:pt idx="387">
                  <c:v>50.27</c:v>
                </c:pt>
                <c:pt idx="388">
                  <c:v>51.5</c:v>
                </c:pt>
                <c:pt idx="389">
                  <c:v>50.75</c:v>
                </c:pt>
                <c:pt idx="390">
                  <c:v>51.200001</c:v>
                </c:pt>
                <c:pt idx="391">
                  <c:v>50.509998000000003</c:v>
                </c:pt>
                <c:pt idx="392">
                  <c:v>53.799999</c:v>
                </c:pt>
                <c:pt idx="393">
                  <c:v>55.5</c:v>
                </c:pt>
                <c:pt idx="394">
                  <c:v>56.299999</c:v>
                </c:pt>
                <c:pt idx="395">
                  <c:v>56.029998999999997</c:v>
                </c:pt>
                <c:pt idx="396">
                  <c:v>57.360000999999997</c:v>
                </c:pt>
                <c:pt idx="397">
                  <c:v>57</c:v>
                </c:pt>
                <c:pt idx="398">
                  <c:v>55.169998</c:v>
                </c:pt>
                <c:pt idx="399">
                  <c:v>55.459999000000003</c:v>
                </c:pt>
                <c:pt idx="400">
                  <c:v>55.639999000000003</c:v>
                </c:pt>
                <c:pt idx="401">
                  <c:v>55.299999</c:v>
                </c:pt>
                <c:pt idx="402">
                  <c:v>53.360000999999997</c:v>
                </c:pt>
                <c:pt idx="403">
                  <c:v>53.299999</c:v>
                </c:pt>
                <c:pt idx="404">
                  <c:v>54.009998000000003</c:v>
                </c:pt>
                <c:pt idx="405">
                  <c:v>54</c:v>
                </c:pt>
                <c:pt idx="406">
                  <c:v>53.610000999999997</c:v>
                </c:pt>
                <c:pt idx="407">
                  <c:v>53.93</c:v>
                </c:pt>
                <c:pt idx="408">
                  <c:v>54.330002</c:v>
                </c:pt>
                <c:pt idx="409">
                  <c:v>53.299999</c:v>
                </c:pt>
                <c:pt idx="410">
                  <c:v>53.599997999999999</c:v>
                </c:pt>
                <c:pt idx="411">
                  <c:v>54.790000999999997</c:v>
                </c:pt>
                <c:pt idx="412">
                  <c:v>54.580002</c:v>
                </c:pt>
                <c:pt idx="413">
                  <c:v>54.790000999999997</c:v>
                </c:pt>
                <c:pt idx="414">
                  <c:v>54</c:v>
                </c:pt>
                <c:pt idx="415">
                  <c:v>53.470001000000003</c:v>
                </c:pt>
                <c:pt idx="416">
                  <c:v>53.419998</c:v>
                </c:pt>
                <c:pt idx="417">
                  <c:v>53.34</c:v>
                </c:pt>
                <c:pt idx="418">
                  <c:v>53.759998000000003</c:v>
                </c:pt>
                <c:pt idx="419">
                  <c:v>52.950001</c:v>
                </c:pt>
                <c:pt idx="420">
                  <c:v>51.830002</c:v>
                </c:pt>
                <c:pt idx="421">
                  <c:v>51.200001</c:v>
                </c:pt>
                <c:pt idx="422">
                  <c:v>51.439999</c:v>
                </c:pt>
                <c:pt idx="423">
                  <c:v>51.349997999999999</c:v>
                </c:pt>
                <c:pt idx="424">
                  <c:v>50.950001</c:v>
                </c:pt>
                <c:pt idx="425">
                  <c:v>50.919998</c:v>
                </c:pt>
                <c:pt idx="426">
                  <c:v>50.419998</c:v>
                </c:pt>
                <c:pt idx="427">
                  <c:v>51.34</c:v>
                </c:pt>
                <c:pt idx="428">
                  <c:v>49.98</c:v>
                </c:pt>
                <c:pt idx="429">
                  <c:v>50.369999</c:v>
                </c:pt>
                <c:pt idx="430">
                  <c:v>50.580002</c:v>
                </c:pt>
                <c:pt idx="431">
                  <c:v>51.220001000000003</c:v>
                </c:pt>
                <c:pt idx="432">
                  <c:v>50.860000999999997</c:v>
                </c:pt>
                <c:pt idx="433">
                  <c:v>50.029998999999997</c:v>
                </c:pt>
                <c:pt idx="434">
                  <c:v>48.419998</c:v>
                </c:pt>
                <c:pt idx="435">
                  <c:v>48.169998</c:v>
                </c:pt>
                <c:pt idx="436">
                  <c:v>47.610000999999997</c:v>
                </c:pt>
                <c:pt idx="437">
                  <c:v>47</c:v>
                </c:pt>
                <c:pt idx="438">
                  <c:v>47.119999</c:v>
                </c:pt>
                <c:pt idx="439">
                  <c:v>47.900002000000001</c:v>
                </c:pt>
                <c:pt idx="440">
                  <c:v>48.130001</c:v>
                </c:pt>
                <c:pt idx="441">
                  <c:v>49.18</c:v>
                </c:pt>
                <c:pt idx="442">
                  <c:v>50.110000999999997</c:v>
                </c:pt>
                <c:pt idx="443">
                  <c:v>49.689999</c:v>
                </c:pt>
                <c:pt idx="444">
                  <c:v>49.869999</c:v>
                </c:pt>
                <c:pt idx="445">
                  <c:v>49.82</c:v>
                </c:pt>
                <c:pt idx="446">
                  <c:v>48.439999</c:v>
                </c:pt>
                <c:pt idx="447">
                  <c:v>47.200001</c:v>
                </c:pt>
                <c:pt idx="448">
                  <c:v>48.59</c:v>
                </c:pt>
                <c:pt idx="449">
                  <c:v>48.650002000000001</c:v>
                </c:pt>
                <c:pt idx="450">
                  <c:v>48.700001</c:v>
                </c:pt>
                <c:pt idx="451">
                  <c:v>48.560001</c:v>
                </c:pt>
                <c:pt idx="452">
                  <c:v>46.75</c:v>
                </c:pt>
                <c:pt idx="453">
                  <c:v>47.110000999999997</c:v>
                </c:pt>
                <c:pt idx="454">
                  <c:v>47.299999</c:v>
                </c:pt>
                <c:pt idx="455">
                  <c:v>47.209999000000003</c:v>
                </c:pt>
                <c:pt idx="456">
                  <c:v>46.029998999999997</c:v>
                </c:pt>
                <c:pt idx="457">
                  <c:v>46.709999000000003</c:v>
                </c:pt>
                <c:pt idx="458">
                  <c:v>46.799999</c:v>
                </c:pt>
                <c:pt idx="459">
                  <c:v>47.91</c:v>
                </c:pt>
                <c:pt idx="460">
                  <c:v>47.990001999999997</c:v>
                </c:pt>
                <c:pt idx="461">
                  <c:v>48.639999000000003</c:v>
                </c:pt>
                <c:pt idx="462">
                  <c:v>47.240001999999997</c:v>
                </c:pt>
                <c:pt idx="463">
                  <c:v>45.669998</c:v>
                </c:pt>
                <c:pt idx="464">
                  <c:v>45.32</c:v>
                </c:pt>
                <c:pt idx="465">
                  <c:v>46.040000999999997</c:v>
                </c:pt>
                <c:pt idx="466">
                  <c:v>46.59</c:v>
                </c:pt>
                <c:pt idx="467">
                  <c:v>45.439999</c:v>
                </c:pt>
                <c:pt idx="468">
                  <c:v>45.099997999999999</c:v>
                </c:pt>
                <c:pt idx="469">
                  <c:v>47.709999000000003</c:v>
                </c:pt>
                <c:pt idx="470">
                  <c:v>47.75</c:v>
                </c:pt>
                <c:pt idx="471">
                  <c:v>47.66</c:v>
                </c:pt>
                <c:pt idx="472">
                  <c:v>47.860000999999997</c:v>
                </c:pt>
                <c:pt idx="473">
                  <c:v>47.860000999999997</c:v>
                </c:pt>
                <c:pt idx="474">
                  <c:v>46.93</c:v>
                </c:pt>
                <c:pt idx="475">
                  <c:v>48.099997999999999</c:v>
                </c:pt>
                <c:pt idx="476">
                  <c:v>48.419998</c:v>
                </c:pt>
                <c:pt idx="477">
                  <c:v>48.32</c:v>
                </c:pt>
                <c:pt idx="478">
                  <c:v>48.400002000000001</c:v>
                </c:pt>
                <c:pt idx="479">
                  <c:v>48.900002000000001</c:v>
                </c:pt>
                <c:pt idx="480">
                  <c:v>48.59</c:v>
                </c:pt>
                <c:pt idx="481">
                  <c:v>49.790000999999997</c:v>
                </c:pt>
                <c:pt idx="482">
                  <c:v>49.689999</c:v>
                </c:pt>
                <c:pt idx="483">
                  <c:v>47.950001</c:v>
                </c:pt>
                <c:pt idx="484">
                  <c:v>48.240001999999997</c:v>
                </c:pt>
                <c:pt idx="485">
                  <c:v>47.889999000000003</c:v>
                </c:pt>
                <c:pt idx="486">
                  <c:v>46.450001</c:v>
                </c:pt>
                <c:pt idx="487">
                  <c:v>46.52</c:v>
                </c:pt>
                <c:pt idx="488">
                  <c:v>46.52</c:v>
                </c:pt>
                <c:pt idx="489">
                  <c:v>45.52</c:v>
                </c:pt>
                <c:pt idx="490">
                  <c:v>46.009998000000003</c:v>
                </c:pt>
                <c:pt idx="491">
                  <c:v>45.57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B5-AE49-B97D-1C9180F02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66992"/>
        <c:axId val="188868704"/>
      </c:lineChart>
      <c:dateAx>
        <c:axId val="1888669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88868704"/>
        <c:crosses val="autoZero"/>
        <c:auto val="1"/>
        <c:lblOffset val="100"/>
        <c:baseTimeUnit val="days"/>
      </c:dateAx>
      <c:valAx>
        <c:axId val="1888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8886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 de Retornos do Itau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de Retornos do Itau</a:t>
          </a:r>
        </a:p>
      </cx:txPr>
    </cx:title>
    <cx:plotArea>
      <cx:plotAreaRegion>
        <cx:series layoutId="clusteredColumn" uniqueId="{1A4A2DE8-EF45-A143-A740-46FE7DA7D702}">
          <cx:dataPt idx="4">
            <cx:spPr>
              <a:solidFill>
                <a:srgbClr val="70AD47">
                  <a:lumMod val="60000"/>
                  <a:lumOff val="40000"/>
                </a:srgbClr>
              </a:solidFill>
            </cx:spPr>
          </cx:dataPt>
          <cx:dataLabels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pt-BR" sz="900" b="0" i="0" u="none" strike="noStrike" baseline="0">
                      <a:solidFill>
                        <a:srgbClr val="FF0000"/>
                      </a:solidFill>
                      <a:latin typeface="Calibri" panose="020F0502020204030204"/>
                    </a:rPr>
                    <a:t>70</a:t>
                  </a:r>
                </a:p>
              </cx:txPr>
            </cx:dataLabel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/>
            </a:pPr>
            <a:endParaRPr lang="pt-BR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Histograma de Retornos da Carteira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de Retornos da Carteira</a:t>
          </a:r>
        </a:p>
      </cx:txPr>
    </cx:title>
    <cx:plotArea>
      <cx:plotAreaRegion>
        <cx:series layoutId="clusteredColumn" uniqueId="{9780EA85-2648-A743-8361-3612B439C360}">
          <cx:dataPt idx="17"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89851</xdr:colOff>
      <xdr:row>6</xdr:row>
      <xdr:rowOff>92788</xdr:rowOff>
    </xdr:from>
    <xdr:to>
      <xdr:col>8</xdr:col>
      <xdr:colOff>630680</xdr:colOff>
      <xdr:row>20</xdr:row>
      <xdr:rowOff>82075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010610A-803E-81C2-11E5-47E65FC0B4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6851" y="1311988"/>
              <a:ext cx="5112829" cy="2834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55757</xdr:colOff>
      <xdr:row>0</xdr:row>
      <xdr:rowOff>92927</xdr:rowOff>
    </xdr:from>
    <xdr:to>
      <xdr:col>2</xdr:col>
      <xdr:colOff>749610</xdr:colOff>
      <xdr:row>0</xdr:row>
      <xdr:rowOff>740229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45F912-7D99-4B44-93A8-5E47BB076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57" y="92927"/>
          <a:ext cx="2624253" cy="647302"/>
        </a:xfrm>
        <a:prstGeom prst="rect">
          <a:avLst/>
        </a:prstGeom>
      </xdr:spPr>
    </xdr:pic>
    <xdr:clientData/>
  </xdr:twoCellAnchor>
  <xdr:twoCellAnchor>
    <xdr:from>
      <xdr:col>1</xdr:col>
      <xdr:colOff>215900</xdr:colOff>
      <xdr:row>438</xdr:row>
      <xdr:rowOff>88900</xdr:rowOff>
    </xdr:from>
    <xdr:to>
      <xdr:col>11</xdr:col>
      <xdr:colOff>38100</xdr:colOff>
      <xdr:row>461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4998FD-AB23-C3DB-E877-167887FA5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55757</xdr:colOff>
      <xdr:row>0</xdr:row>
      <xdr:rowOff>92927</xdr:rowOff>
    </xdr:from>
    <xdr:to>
      <xdr:col>2</xdr:col>
      <xdr:colOff>749610</xdr:colOff>
      <xdr:row>0</xdr:row>
      <xdr:rowOff>740229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F963A6-F556-A14F-B149-3775B3850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57" y="92927"/>
          <a:ext cx="2624253" cy="647302"/>
        </a:xfrm>
        <a:prstGeom prst="rect">
          <a:avLst/>
        </a:prstGeom>
      </xdr:spPr>
    </xdr:pic>
    <xdr:clientData/>
  </xdr:twoCellAnchor>
  <xdr:twoCellAnchor>
    <xdr:from>
      <xdr:col>24</xdr:col>
      <xdr:colOff>513184</xdr:colOff>
      <xdr:row>0</xdr:row>
      <xdr:rowOff>455645</xdr:rowOff>
    </xdr:from>
    <xdr:to>
      <xdr:col>30</xdr:col>
      <xdr:colOff>134776</xdr:colOff>
      <xdr:row>11</xdr:row>
      <xdr:rowOff>166396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B411FA7-5861-1993-AEB8-08054F0C6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71784" y="455645"/>
              <a:ext cx="4574592" cy="2746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_retornos_acoes" connectionId="1" xr16:uid="{393D03D4-4DDF-534D-B705-55FA6405361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_retornos_acoes" connectionId="2" xr16:uid="{5164E5DE-6481-0A42-A75A-4FDF7A2B469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hyperlink" Target="https://br.financas.yahoo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3.xml"/><Relationship Id="rId1" Type="http://schemas.openxmlformats.org/officeDocument/2006/relationships/hyperlink" Target="https://br.financas.yaho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89BD-D1E0-5447-A58D-FE73C908FBF9}">
  <dimension ref="A1:G253"/>
  <sheetViews>
    <sheetView zoomScale="110" zoomScaleNormal="110" workbookViewId="0">
      <selection activeCell="A5" sqref="A5"/>
    </sheetView>
  </sheetViews>
  <sheetFormatPr baseColWidth="10" defaultRowHeight="16" x14ac:dyDescent="0.2"/>
  <cols>
    <col min="1" max="1" width="20.1640625" customWidth="1"/>
    <col min="2" max="2" width="21" bestFit="1" customWidth="1"/>
    <col min="4" max="4" width="16.33203125" customWidth="1"/>
    <col min="6" max="6" width="27.5" customWidth="1"/>
  </cols>
  <sheetData>
    <row r="1" spans="1:7" x14ac:dyDescent="0.2">
      <c r="A1" s="34" t="s">
        <v>282</v>
      </c>
      <c r="B1" s="16" t="s">
        <v>267</v>
      </c>
      <c r="C1" s="17" t="s">
        <v>268</v>
      </c>
      <c r="D1" s="18" t="s">
        <v>14</v>
      </c>
    </row>
    <row r="2" spans="1:7" x14ac:dyDescent="0.2">
      <c r="B2" s="19" t="s">
        <v>266</v>
      </c>
      <c r="C2" s="20">
        <v>7.91</v>
      </c>
      <c r="D2" s="25">
        <f>(C2-C3)/C3</f>
        <v>-3.7783375314861772E-3</v>
      </c>
      <c r="F2" s="26" t="s">
        <v>269</v>
      </c>
    </row>
    <row r="3" spans="1:7" x14ac:dyDescent="0.2">
      <c r="B3" s="21" t="s">
        <v>265</v>
      </c>
      <c r="C3" s="22">
        <v>7.94</v>
      </c>
      <c r="D3" s="25">
        <f t="shared" ref="D3:D66" si="0">(C3-C4)/C4</f>
        <v>1.1464968152866338E-2</v>
      </c>
      <c r="F3" s="11">
        <f>_xlfn.STDEV.S(D2:D252)</f>
        <v>1.5801203304903984E-2</v>
      </c>
    </row>
    <row r="4" spans="1:7" x14ac:dyDescent="0.2">
      <c r="B4" s="19" t="s">
        <v>264</v>
      </c>
      <c r="C4" s="20">
        <v>7.85</v>
      </c>
      <c r="D4" s="25">
        <f t="shared" si="0"/>
        <v>1.9123164604619099E-2</v>
      </c>
    </row>
    <row r="5" spans="1:7" x14ac:dyDescent="0.2">
      <c r="B5" s="21" t="s">
        <v>263</v>
      </c>
      <c r="C5" s="22">
        <v>7.7027000000000001</v>
      </c>
      <c r="D5" s="25">
        <f t="shared" si="0"/>
        <v>-1.5189909669593073E-2</v>
      </c>
      <c r="F5" s="26" t="s">
        <v>270</v>
      </c>
      <c r="G5" s="26" t="s">
        <v>271</v>
      </c>
    </row>
    <row r="6" spans="1:7" x14ac:dyDescent="0.2">
      <c r="B6" s="19" t="s">
        <v>262</v>
      </c>
      <c r="C6" s="20">
        <v>7.8215079999999997</v>
      </c>
      <c r="D6" s="25">
        <f t="shared" si="0"/>
        <v>-1.2499946341866216E-2</v>
      </c>
      <c r="F6" s="27">
        <f>AVERAGE(D2:D252)</f>
        <v>-5.0700071354759174E-4</v>
      </c>
      <c r="G6" s="12">
        <f>MEDIAN(D2:D252)</f>
        <v>-9.2155433426713816E-4</v>
      </c>
    </row>
    <row r="7" spans="1:7" x14ac:dyDescent="0.2">
      <c r="B7" s="21" t="s">
        <v>261</v>
      </c>
      <c r="C7" s="22">
        <v>7.9205139999999998</v>
      </c>
      <c r="D7" s="25">
        <f t="shared" si="0"/>
        <v>1.1378030617227468E-2</v>
      </c>
    </row>
    <row r="8" spans="1:7" x14ac:dyDescent="0.2">
      <c r="B8" s="19" t="s">
        <v>260</v>
      </c>
      <c r="C8" s="20">
        <v>7.8314079999999997</v>
      </c>
      <c r="D8" s="25">
        <f t="shared" si="0"/>
        <v>6.361295852365151E-3</v>
      </c>
    </row>
    <row r="9" spans="1:7" x14ac:dyDescent="0.2">
      <c r="B9" s="21" t="s">
        <v>259</v>
      </c>
      <c r="C9" s="22">
        <v>7.7819050000000001</v>
      </c>
      <c r="D9" s="25">
        <f t="shared" si="0"/>
        <v>-2.238811313954308E-2</v>
      </c>
    </row>
    <row r="10" spans="1:7" x14ac:dyDescent="0.2">
      <c r="B10" s="19" t="s">
        <v>258</v>
      </c>
      <c r="C10" s="20">
        <v>7.9601170000000003</v>
      </c>
      <c r="D10" s="25">
        <f t="shared" si="0"/>
        <v>7.5188150740320122E-3</v>
      </c>
    </row>
    <row r="11" spans="1:7" x14ac:dyDescent="0.2">
      <c r="B11" s="21" t="s">
        <v>257</v>
      </c>
      <c r="C11" s="22">
        <v>7.9007129999999997</v>
      </c>
      <c r="D11" s="25">
        <f t="shared" si="0"/>
        <v>3.7735940147967588E-3</v>
      </c>
    </row>
    <row r="12" spans="1:7" x14ac:dyDescent="0.2">
      <c r="B12" s="19" t="s">
        <v>256</v>
      </c>
      <c r="C12" s="20">
        <v>7.8710110000000002</v>
      </c>
      <c r="D12" s="25">
        <f t="shared" si="0"/>
        <v>0</v>
      </c>
    </row>
    <row r="13" spans="1:7" x14ac:dyDescent="0.2">
      <c r="B13" s="21" t="s">
        <v>255</v>
      </c>
      <c r="C13" s="22">
        <v>7.8710110000000002</v>
      </c>
      <c r="D13" s="25">
        <f t="shared" si="0"/>
        <v>-1.4869800538635479E-2</v>
      </c>
    </row>
    <row r="14" spans="1:7" x14ac:dyDescent="0.2">
      <c r="B14" s="19" t="s">
        <v>254</v>
      </c>
      <c r="C14" s="20">
        <v>7.9898179999999996</v>
      </c>
      <c r="D14" s="25">
        <f t="shared" si="0"/>
        <v>-1.7052497727727909E-2</v>
      </c>
    </row>
    <row r="15" spans="1:7" x14ac:dyDescent="0.2">
      <c r="B15" s="21" t="s">
        <v>253</v>
      </c>
      <c r="C15" s="22">
        <v>8.1284279999999995</v>
      </c>
      <c r="D15" s="25">
        <f t="shared" si="0"/>
        <v>-1.0843278633623983E-2</v>
      </c>
    </row>
    <row r="16" spans="1:7" x14ac:dyDescent="0.2">
      <c r="B16" s="19" t="s">
        <v>252</v>
      </c>
      <c r="C16" s="20">
        <v>8.2175329999999995</v>
      </c>
      <c r="D16" s="25">
        <f t="shared" si="0"/>
        <v>2.0910092812685147E-2</v>
      </c>
    </row>
    <row r="17" spans="2:4" x14ac:dyDescent="0.2">
      <c r="B17" s="21" t="s">
        <v>251</v>
      </c>
      <c r="C17" s="22">
        <v>8.0492229999999996</v>
      </c>
      <c r="D17" s="25">
        <f t="shared" si="0"/>
        <v>-3.676355910762508E-3</v>
      </c>
    </row>
    <row r="18" spans="2:4" x14ac:dyDescent="0.2">
      <c r="B18" s="19" t="s">
        <v>250</v>
      </c>
      <c r="C18" s="20">
        <v>8.0789240000000007</v>
      </c>
      <c r="D18" s="25">
        <f t="shared" si="0"/>
        <v>2.1276606503187679E-2</v>
      </c>
    </row>
    <row r="19" spans="2:4" x14ac:dyDescent="0.2">
      <c r="B19" s="21" t="s">
        <v>249</v>
      </c>
      <c r="C19" s="22">
        <v>7.9106129999999997</v>
      </c>
      <c r="D19" s="25">
        <f t="shared" si="0"/>
        <v>2.5093741936823852E-3</v>
      </c>
    </row>
    <row r="20" spans="2:4" x14ac:dyDescent="0.2">
      <c r="B20" s="19" t="s">
        <v>248</v>
      </c>
      <c r="C20" s="20">
        <v>7.8908120000000004</v>
      </c>
      <c r="D20" s="25">
        <f t="shared" si="0"/>
        <v>-2.2085821294597779E-2</v>
      </c>
    </row>
    <row r="21" spans="2:4" x14ac:dyDescent="0.2">
      <c r="B21" s="21" t="s">
        <v>247</v>
      </c>
      <c r="C21" s="22">
        <v>8.0690229999999996</v>
      </c>
      <c r="D21" s="25">
        <f t="shared" si="0"/>
        <v>-6.8811652823678729E-3</v>
      </c>
    </row>
    <row r="22" spans="2:4" x14ac:dyDescent="0.2">
      <c r="B22" s="19" t="s">
        <v>246</v>
      </c>
      <c r="C22" s="20">
        <v>8.1249319999999994</v>
      </c>
      <c r="D22" s="25">
        <f t="shared" si="0"/>
        <v>-2.4242827554733413E-3</v>
      </c>
    </row>
    <row r="23" spans="2:4" x14ac:dyDescent="0.2">
      <c r="B23" s="21" t="s">
        <v>245</v>
      </c>
      <c r="C23" s="22">
        <v>8.1446769999999997</v>
      </c>
      <c r="D23" s="25">
        <f t="shared" si="0"/>
        <v>-8.4134192490840903E-3</v>
      </c>
    </row>
    <row r="24" spans="2:4" x14ac:dyDescent="0.2">
      <c r="B24" s="19" t="s">
        <v>244</v>
      </c>
      <c r="C24" s="20">
        <v>8.2137829999999994</v>
      </c>
      <c r="D24" s="25">
        <f t="shared" si="0"/>
        <v>-2.803760767868213E-2</v>
      </c>
    </row>
    <row r="25" spans="2:4" x14ac:dyDescent="0.2">
      <c r="B25" s="21" t="s">
        <v>243</v>
      </c>
      <c r="C25" s="22">
        <v>8.4507209999999997</v>
      </c>
      <c r="D25" s="25">
        <f t="shared" si="0"/>
        <v>0</v>
      </c>
    </row>
    <row r="26" spans="2:4" x14ac:dyDescent="0.2">
      <c r="B26" s="19" t="s">
        <v>242</v>
      </c>
      <c r="C26" s="20">
        <v>8.4507209999999997</v>
      </c>
      <c r="D26" s="25">
        <f t="shared" si="0"/>
        <v>-2.0594729904811062E-2</v>
      </c>
    </row>
    <row r="27" spans="2:4" x14ac:dyDescent="0.2">
      <c r="B27" s="21" t="s">
        <v>241</v>
      </c>
      <c r="C27" s="22">
        <v>8.6284209999999995</v>
      </c>
      <c r="D27" s="25">
        <f t="shared" si="0"/>
        <v>-2.2832584060878303E-3</v>
      </c>
    </row>
    <row r="28" spans="2:4" x14ac:dyDescent="0.2">
      <c r="B28" s="19" t="s">
        <v>240</v>
      </c>
      <c r="C28" s="20">
        <v>8.6481670000000008</v>
      </c>
      <c r="D28" s="25">
        <f t="shared" si="0"/>
        <v>2.2884836055173216E-3</v>
      </c>
    </row>
    <row r="29" spans="2:4" x14ac:dyDescent="0.2">
      <c r="B29" s="21" t="s">
        <v>239</v>
      </c>
      <c r="C29" s="22">
        <v>8.6284209999999995</v>
      </c>
      <c r="D29" s="25">
        <f t="shared" si="0"/>
        <v>6.9123235480420056E-3</v>
      </c>
    </row>
    <row r="30" spans="2:4" x14ac:dyDescent="0.2">
      <c r="B30" s="19" t="s">
        <v>238</v>
      </c>
      <c r="C30" s="20">
        <v>8.5691880000000005</v>
      </c>
      <c r="D30" s="25">
        <f t="shared" si="0"/>
        <v>-6.8648713362501647E-3</v>
      </c>
    </row>
    <row r="31" spans="2:4" x14ac:dyDescent="0.2">
      <c r="B31" s="21" t="s">
        <v>237</v>
      </c>
      <c r="C31" s="22">
        <v>8.6284209999999995</v>
      </c>
      <c r="D31" s="25">
        <f t="shared" si="0"/>
        <v>2.4618865248412114E-2</v>
      </c>
    </row>
    <row r="32" spans="2:4" x14ac:dyDescent="0.2">
      <c r="B32" s="19" t="s">
        <v>236</v>
      </c>
      <c r="C32" s="20">
        <v>8.4211030000000004</v>
      </c>
      <c r="D32" s="25">
        <f t="shared" si="0"/>
        <v>-1.0440831995096567E-2</v>
      </c>
    </row>
    <row r="33" spans="2:4" x14ac:dyDescent="0.2">
      <c r="B33" s="21" t="s">
        <v>235</v>
      </c>
      <c r="C33" s="22">
        <v>8.5099540000000005</v>
      </c>
      <c r="D33" s="25">
        <f t="shared" si="0"/>
        <v>-2.5988729793162878E-2</v>
      </c>
    </row>
    <row r="34" spans="2:4" x14ac:dyDescent="0.2">
      <c r="B34" s="19" t="s">
        <v>234</v>
      </c>
      <c r="C34" s="20">
        <v>8.7370180000000008</v>
      </c>
      <c r="D34" s="25">
        <f t="shared" si="0"/>
        <v>8.4558926669965465E-2</v>
      </c>
    </row>
    <row r="35" spans="2:4" x14ac:dyDescent="0.2">
      <c r="B35" s="21" t="s">
        <v>233</v>
      </c>
      <c r="C35" s="22">
        <v>8.0558259999999997</v>
      </c>
      <c r="D35" s="25">
        <f t="shared" si="0"/>
        <v>-1.0909088230263769E-2</v>
      </c>
    </row>
    <row r="36" spans="2:4" x14ac:dyDescent="0.2">
      <c r="B36" s="19" t="s">
        <v>232</v>
      </c>
      <c r="C36" s="20">
        <v>8.1446769999999997</v>
      </c>
      <c r="D36" s="25">
        <f t="shared" si="0"/>
        <v>1.2135509087187288E-3</v>
      </c>
    </row>
    <row r="37" spans="2:4" x14ac:dyDescent="0.2">
      <c r="B37" s="21" t="s">
        <v>231</v>
      </c>
      <c r="C37" s="22">
        <v>8.1348050000000001</v>
      </c>
      <c r="D37" s="25">
        <f t="shared" si="0"/>
        <v>-9.6153014999299756E-3</v>
      </c>
    </row>
    <row r="38" spans="2:4" x14ac:dyDescent="0.2">
      <c r="B38" s="19" t="s">
        <v>230</v>
      </c>
      <c r="C38" s="20">
        <v>8.2137829999999994</v>
      </c>
      <c r="D38" s="25">
        <f t="shared" si="0"/>
        <v>4.8308759141767674E-3</v>
      </c>
    </row>
    <row r="39" spans="2:4" x14ac:dyDescent="0.2">
      <c r="B39" s="21" t="s">
        <v>229</v>
      </c>
      <c r="C39" s="22">
        <v>8.1742939999999997</v>
      </c>
      <c r="D39" s="25">
        <f t="shared" si="0"/>
        <v>-2.9308393449171768E-2</v>
      </c>
    </row>
    <row r="40" spans="2:4" x14ac:dyDescent="0.2">
      <c r="B40" s="19" t="s">
        <v>228</v>
      </c>
      <c r="C40" s="20">
        <v>8.4211030000000004</v>
      </c>
      <c r="D40" s="25">
        <f t="shared" si="0"/>
        <v>3.529410643120897E-3</v>
      </c>
    </row>
    <row r="41" spans="2:4" x14ac:dyDescent="0.2">
      <c r="B41" s="21" t="s">
        <v>227</v>
      </c>
      <c r="C41" s="22">
        <v>8.3914860000000004</v>
      </c>
      <c r="D41" s="25">
        <f t="shared" si="0"/>
        <v>9.5012250816751617E-3</v>
      </c>
    </row>
    <row r="42" spans="2:4" x14ac:dyDescent="0.2">
      <c r="B42" s="19" t="s">
        <v>226</v>
      </c>
      <c r="C42" s="20">
        <v>8.3125070000000001</v>
      </c>
      <c r="D42" s="25">
        <f t="shared" si="0"/>
        <v>-2.3201888047808525E-2</v>
      </c>
    </row>
    <row r="43" spans="2:4" x14ac:dyDescent="0.2">
      <c r="B43" s="21" t="s">
        <v>225</v>
      </c>
      <c r="C43" s="22">
        <v>8.5099540000000005</v>
      </c>
      <c r="D43" s="25">
        <f t="shared" si="0"/>
        <v>4.6620822660955403E-3</v>
      </c>
    </row>
    <row r="44" spans="2:4" x14ac:dyDescent="0.2">
      <c r="B44" s="19" t="s">
        <v>224</v>
      </c>
      <c r="C44" s="20">
        <v>8.4704639999999998</v>
      </c>
      <c r="D44" s="25">
        <f t="shared" si="0"/>
        <v>2.3362503625430383E-3</v>
      </c>
    </row>
    <row r="45" spans="2:4" x14ac:dyDescent="0.2">
      <c r="B45" s="21" t="s">
        <v>223</v>
      </c>
      <c r="C45" s="22">
        <v>8.4507209999999997</v>
      </c>
      <c r="D45" s="25">
        <f t="shared" si="0"/>
        <v>1.9047692548309764E-2</v>
      </c>
    </row>
    <row r="46" spans="2:4" x14ac:dyDescent="0.2">
      <c r="B46" s="19" t="s">
        <v>222</v>
      </c>
      <c r="C46" s="20">
        <v>8.2927630000000008</v>
      </c>
      <c r="D46" s="25">
        <f t="shared" si="0"/>
        <v>-2.0978897968281195E-2</v>
      </c>
    </row>
    <row r="47" spans="2:4" x14ac:dyDescent="0.2">
      <c r="B47" s="21" t="s">
        <v>221</v>
      </c>
      <c r="C47" s="22">
        <v>8.4704639999999998</v>
      </c>
      <c r="D47" s="25">
        <f t="shared" si="0"/>
        <v>-1.2658263259611235E-2</v>
      </c>
    </row>
    <row r="48" spans="2:4" x14ac:dyDescent="0.2">
      <c r="B48" s="19" t="s">
        <v>220</v>
      </c>
      <c r="C48" s="20">
        <v>8.5790600000000001</v>
      </c>
      <c r="D48" s="25">
        <f t="shared" si="0"/>
        <v>1.1520344751450964E-3</v>
      </c>
    </row>
    <row r="49" spans="2:4" x14ac:dyDescent="0.2">
      <c r="B49" s="21" t="s">
        <v>219</v>
      </c>
      <c r="C49" s="22">
        <v>8.5691880000000005</v>
      </c>
      <c r="D49" s="25">
        <f t="shared" si="0"/>
        <v>8.1301578184961639E-3</v>
      </c>
    </row>
    <row r="50" spans="2:4" x14ac:dyDescent="0.2">
      <c r="B50" s="19" t="s">
        <v>218</v>
      </c>
      <c r="C50" s="20">
        <v>8.5000809999999998</v>
      </c>
      <c r="D50" s="25">
        <f t="shared" si="0"/>
        <v>1.5330265870655195E-2</v>
      </c>
    </row>
    <row r="51" spans="2:4" x14ac:dyDescent="0.2">
      <c r="B51" s="21" t="s">
        <v>217</v>
      </c>
      <c r="C51" s="22">
        <v>8.3717400000000008</v>
      </c>
      <c r="D51" s="25">
        <f t="shared" si="0"/>
        <v>-1.7381340886539146E-2</v>
      </c>
    </row>
    <row r="52" spans="2:4" x14ac:dyDescent="0.2">
      <c r="B52" s="19" t="s">
        <v>216</v>
      </c>
      <c r="C52" s="20">
        <v>8.5198260000000001</v>
      </c>
      <c r="D52" s="25">
        <f t="shared" si="0"/>
        <v>-8.0459363282885075E-3</v>
      </c>
    </row>
    <row r="53" spans="2:4" x14ac:dyDescent="0.2">
      <c r="B53" s="21" t="s">
        <v>215</v>
      </c>
      <c r="C53" s="22">
        <v>8.5889319999999998</v>
      </c>
      <c r="D53" s="25">
        <f t="shared" si="0"/>
        <v>-1.0238905490031269E-2</v>
      </c>
    </row>
    <row r="54" spans="2:4" x14ac:dyDescent="0.2">
      <c r="B54" s="19" t="s">
        <v>214</v>
      </c>
      <c r="C54" s="20">
        <v>8.6777829999999998</v>
      </c>
      <c r="D54" s="25">
        <f t="shared" si="0"/>
        <v>8.0273649450008956E-3</v>
      </c>
    </row>
    <row r="55" spans="2:4" x14ac:dyDescent="0.2">
      <c r="B55" s="21" t="s">
        <v>213</v>
      </c>
      <c r="C55" s="22">
        <v>8.6086779999999994</v>
      </c>
      <c r="D55" s="25">
        <f t="shared" si="0"/>
        <v>2.1077396149318351E-2</v>
      </c>
    </row>
    <row r="56" spans="2:4" x14ac:dyDescent="0.2">
      <c r="B56" s="19" t="s">
        <v>212</v>
      </c>
      <c r="C56" s="20">
        <v>8.4309750000000001</v>
      </c>
      <c r="D56" s="25">
        <f t="shared" si="0"/>
        <v>7.0755900207124514E-3</v>
      </c>
    </row>
    <row r="57" spans="2:4" x14ac:dyDescent="0.2">
      <c r="B57" s="21" t="s">
        <v>211</v>
      </c>
      <c r="C57" s="22">
        <v>8.3717400000000008</v>
      </c>
      <c r="D57" s="25">
        <f t="shared" si="0"/>
        <v>1.6786362202647256E-2</v>
      </c>
    </row>
    <row r="58" spans="2:4" x14ac:dyDescent="0.2">
      <c r="B58" s="19" t="s">
        <v>210</v>
      </c>
      <c r="C58" s="20">
        <v>8.2335290000000008</v>
      </c>
      <c r="D58" s="25">
        <f t="shared" si="0"/>
        <v>1.4598534749153458E-2</v>
      </c>
    </row>
    <row r="59" spans="2:4" x14ac:dyDescent="0.2">
      <c r="B59" s="21" t="s">
        <v>209</v>
      </c>
      <c r="C59" s="22">
        <v>8.1150610000000007</v>
      </c>
      <c r="D59" s="25">
        <f t="shared" si="0"/>
        <v>8.58903742178997E-3</v>
      </c>
    </row>
    <row r="60" spans="2:4" x14ac:dyDescent="0.2">
      <c r="B60" s="19" t="s">
        <v>208</v>
      </c>
      <c r="C60" s="20">
        <v>8.0459540000000001</v>
      </c>
      <c r="D60" s="25">
        <f t="shared" si="0"/>
        <v>-2.5119492002687028E-2</v>
      </c>
    </row>
    <row r="61" spans="2:4" x14ac:dyDescent="0.2">
      <c r="B61" s="21" t="s">
        <v>207</v>
      </c>
      <c r="C61" s="22">
        <v>8.2532720000000008</v>
      </c>
      <c r="D61" s="25">
        <f t="shared" si="0"/>
        <v>-1.7626553037431034E-2</v>
      </c>
    </row>
    <row r="62" spans="2:4" x14ac:dyDescent="0.2">
      <c r="B62" s="19" t="s">
        <v>206</v>
      </c>
      <c r="C62" s="20">
        <v>8.4013589999999994</v>
      </c>
      <c r="D62" s="25">
        <f t="shared" si="0"/>
        <v>-4.6782035025632399E-3</v>
      </c>
    </row>
    <row r="63" spans="2:4" x14ac:dyDescent="0.2">
      <c r="B63" s="21" t="s">
        <v>205</v>
      </c>
      <c r="C63" s="22">
        <v>8.4408469999999998</v>
      </c>
      <c r="D63" s="25">
        <f t="shared" si="0"/>
        <v>2.0286309059160675E-2</v>
      </c>
    </row>
    <row r="64" spans="2:4" x14ac:dyDescent="0.2">
      <c r="B64" s="19" t="s">
        <v>204</v>
      </c>
      <c r="C64" s="20">
        <v>8.2730180000000004</v>
      </c>
      <c r="D64" s="25">
        <f t="shared" si="0"/>
        <v>-1.062573450983267E-2</v>
      </c>
    </row>
    <row r="65" spans="2:4" x14ac:dyDescent="0.2">
      <c r="B65" s="21" t="s">
        <v>203</v>
      </c>
      <c r="C65" s="22">
        <v>8.3618690000000004</v>
      </c>
      <c r="D65" s="25">
        <f t="shared" si="0"/>
        <v>-1.2820431088544776E-2</v>
      </c>
    </row>
    <row r="66" spans="2:4" x14ac:dyDescent="0.2">
      <c r="B66" s="19" t="s">
        <v>202</v>
      </c>
      <c r="C66" s="20">
        <v>8.4704639999999998</v>
      </c>
      <c r="D66" s="25">
        <f t="shared" si="0"/>
        <v>1.6587592405990521E-2</v>
      </c>
    </row>
    <row r="67" spans="2:4" x14ac:dyDescent="0.2">
      <c r="B67" s="21" t="s">
        <v>201</v>
      </c>
      <c r="C67" s="22">
        <v>8.3322520000000004</v>
      </c>
      <c r="D67" s="25">
        <f t="shared" ref="D67:D130" si="1">(C67-C68)/C68</f>
        <v>4.7618628435419728E-3</v>
      </c>
    </row>
    <row r="68" spans="2:4" x14ac:dyDescent="0.2">
      <c r="B68" s="19" t="s">
        <v>200</v>
      </c>
      <c r="C68" s="20">
        <v>8.2927630000000008</v>
      </c>
      <c r="D68" s="25">
        <f t="shared" si="1"/>
        <v>1.1919752646721961E-3</v>
      </c>
    </row>
    <row r="69" spans="2:4" x14ac:dyDescent="0.2">
      <c r="B69" s="21" t="s">
        <v>199</v>
      </c>
      <c r="C69" s="22">
        <v>8.2828900000000001</v>
      </c>
      <c r="D69" s="25">
        <f t="shared" si="1"/>
        <v>9.626870692908374E-3</v>
      </c>
    </row>
    <row r="70" spans="2:4" x14ac:dyDescent="0.2">
      <c r="B70" s="19" t="s">
        <v>198</v>
      </c>
      <c r="C70" s="20">
        <v>8.2039120000000008</v>
      </c>
      <c r="D70" s="25">
        <f t="shared" si="1"/>
        <v>3.2298167751761635E-2</v>
      </c>
    </row>
    <row r="71" spans="2:4" x14ac:dyDescent="0.2">
      <c r="B71" s="21" t="s">
        <v>197</v>
      </c>
      <c r="C71" s="22">
        <v>7.9472310000000004</v>
      </c>
      <c r="D71" s="25">
        <f t="shared" si="1"/>
        <v>7.5095119216592081E-3</v>
      </c>
    </row>
    <row r="72" spans="2:4" x14ac:dyDescent="0.2">
      <c r="B72" s="19" t="s">
        <v>196</v>
      </c>
      <c r="C72" s="20">
        <v>7.8879960000000002</v>
      </c>
      <c r="D72" s="25">
        <f t="shared" si="1"/>
        <v>0</v>
      </c>
    </row>
    <row r="73" spans="2:4" x14ac:dyDescent="0.2">
      <c r="B73" s="21" t="s">
        <v>195</v>
      </c>
      <c r="C73" s="22">
        <v>7.8879960000000002</v>
      </c>
      <c r="D73" s="25">
        <f t="shared" si="1"/>
        <v>1.9132517268930175E-2</v>
      </c>
    </row>
    <row r="74" spans="2:4" x14ac:dyDescent="0.2">
      <c r="B74" s="19" t="s">
        <v>194</v>
      </c>
      <c r="C74" s="20">
        <v>7.7399120000000003</v>
      </c>
      <c r="D74" s="25">
        <f t="shared" si="1"/>
        <v>-3.329209998321344E-2</v>
      </c>
    </row>
    <row r="75" spans="2:4" x14ac:dyDescent="0.2">
      <c r="B75" s="21" t="s">
        <v>193</v>
      </c>
      <c r="C75" s="22">
        <v>8.0064639999999994</v>
      </c>
      <c r="D75" s="25">
        <f t="shared" si="1"/>
        <v>-7.3440628022445461E-3</v>
      </c>
    </row>
    <row r="76" spans="2:4" x14ac:dyDescent="0.2">
      <c r="B76" s="19" t="s">
        <v>192</v>
      </c>
      <c r="C76" s="20">
        <v>8.0656990000000004</v>
      </c>
      <c r="D76" s="25">
        <f t="shared" si="1"/>
        <v>-1.7715318032283894E-3</v>
      </c>
    </row>
    <row r="77" spans="2:4" x14ac:dyDescent="0.2">
      <c r="B77" s="21" t="s">
        <v>191</v>
      </c>
      <c r="C77" s="22">
        <v>8.0800129999999992</v>
      </c>
      <c r="D77" s="25">
        <f t="shared" si="1"/>
        <v>-2.7874686029896123E-2</v>
      </c>
    </row>
    <row r="78" spans="2:4" x14ac:dyDescent="0.2">
      <c r="B78" s="19" t="s">
        <v>190</v>
      </c>
      <c r="C78" s="20">
        <v>8.3116990000000008</v>
      </c>
      <c r="D78" s="25">
        <f t="shared" si="1"/>
        <v>-3.4721477043959778E-3</v>
      </c>
    </row>
    <row r="79" spans="2:4" x14ac:dyDescent="0.2">
      <c r="B79" s="21" t="s">
        <v>189</v>
      </c>
      <c r="C79" s="22">
        <v>8.3406590000000005</v>
      </c>
      <c r="D79" s="25">
        <f t="shared" si="1"/>
        <v>6.9929774429663633E-3</v>
      </c>
    </row>
    <row r="80" spans="2:4" x14ac:dyDescent="0.2">
      <c r="B80" s="19" t="s">
        <v>188</v>
      </c>
      <c r="C80" s="20">
        <v>8.2827380000000002</v>
      </c>
      <c r="D80" s="25">
        <f t="shared" si="1"/>
        <v>-2.1664734463283552E-2</v>
      </c>
    </row>
    <row r="81" spans="2:4" x14ac:dyDescent="0.2">
      <c r="B81" s="21" t="s">
        <v>187</v>
      </c>
      <c r="C81" s="22">
        <v>8.4661550000000005</v>
      </c>
      <c r="D81" s="25">
        <f t="shared" si="1"/>
        <v>4.5820013906786635E-3</v>
      </c>
    </row>
    <row r="82" spans="2:4" x14ac:dyDescent="0.2">
      <c r="B82" s="19" t="s">
        <v>186</v>
      </c>
      <c r="C82" s="20">
        <v>8.4275400000000005</v>
      </c>
      <c r="D82" s="25">
        <f t="shared" si="1"/>
        <v>-1.4280034841277793E-2</v>
      </c>
    </row>
    <row r="83" spans="2:4" x14ac:dyDescent="0.2">
      <c r="B83" s="21" t="s">
        <v>185</v>
      </c>
      <c r="C83" s="22">
        <v>8.5496289999999995</v>
      </c>
      <c r="D83" s="25">
        <f t="shared" si="1"/>
        <v>1.0238950194476371E-2</v>
      </c>
    </row>
    <row r="84" spans="2:4" x14ac:dyDescent="0.2">
      <c r="B84" s="19" t="s">
        <v>184</v>
      </c>
      <c r="C84" s="20">
        <v>8.4629770000000004</v>
      </c>
      <c r="D84" s="25">
        <f t="shared" si="1"/>
        <v>3.4245527735403988E-3</v>
      </c>
    </row>
    <row r="85" spans="2:4" x14ac:dyDescent="0.2">
      <c r="B85" s="21" t="s">
        <v>183</v>
      </c>
      <c r="C85" s="22">
        <v>8.434094</v>
      </c>
      <c r="D85" s="25">
        <f t="shared" si="1"/>
        <v>-7.9275515233212593E-3</v>
      </c>
    </row>
    <row r="86" spans="2:4" x14ac:dyDescent="0.2">
      <c r="B86" s="19" t="s">
        <v>182</v>
      </c>
      <c r="C86" s="20">
        <v>8.5014900000000004</v>
      </c>
      <c r="D86" s="25">
        <f t="shared" si="1"/>
        <v>-2.2148255910250322E-2</v>
      </c>
    </row>
    <row r="87" spans="2:4" x14ac:dyDescent="0.2">
      <c r="B87" s="21" t="s">
        <v>181</v>
      </c>
      <c r="C87" s="22">
        <v>8.6940480000000004</v>
      </c>
      <c r="D87" s="25">
        <f t="shared" si="1"/>
        <v>3.3180674422965822E-2</v>
      </c>
    </row>
    <row r="88" spans="2:4" x14ac:dyDescent="0.2">
      <c r="B88" s="19" t="s">
        <v>180</v>
      </c>
      <c r="C88" s="20">
        <v>8.4148379999999996</v>
      </c>
      <c r="D88" s="25">
        <f t="shared" si="1"/>
        <v>-6.8182091790886003E-3</v>
      </c>
    </row>
    <row r="89" spans="2:4" x14ac:dyDescent="0.2">
      <c r="B89" s="21" t="s">
        <v>179</v>
      </c>
      <c r="C89" s="22">
        <v>8.4726060000000007</v>
      </c>
      <c r="D89" s="25">
        <f t="shared" si="1"/>
        <v>-7.8918014304913148E-3</v>
      </c>
    </row>
    <row r="90" spans="2:4" x14ac:dyDescent="0.2">
      <c r="B90" s="19" t="s">
        <v>178</v>
      </c>
      <c r="C90" s="20">
        <v>8.5400019999999994</v>
      </c>
      <c r="D90" s="25">
        <f t="shared" si="1"/>
        <v>1.302748505051788E-3</v>
      </c>
    </row>
    <row r="91" spans="2:4" x14ac:dyDescent="0.2">
      <c r="B91" s="21" t="s">
        <v>177</v>
      </c>
      <c r="C91" s="22">
        <v>8.5288909999999998</v>
      </c>
      <c r="D91" s="25">
        <f t="shared" si="1"/>
        <v>9.0601246144250969E-3</v>
      </c>
    </row>
    <row r="92" spans="2:4" x14ac:dyDescent="0.2">
      <c r="B92" s="19" t="s">
        <v>176</v>
      </c>
      <c r="C92" s="20">
        <v>8.4523119999999992</v>
      </c>
      <c r="D92" s="25">
        <f t="shared" si="1"/>
        <v>4.5506174632513963E-3</v>
      </c>
    </row>
    <row r="93" spans="2:4" x14ac:dyDescent="0.2">
      <c r="B93" s="21" t="s">
        <v>175</v>
      </c>
      <c r="C93" s="22">
        <v>8.4140230000000003</v>
      </c>
      <c r="D93" s="25">
        <f t="shared" si="1"/>
        <v>-1.7877063149958603E-2</v>
      </c>
    </row>
    <row r="94" spans="2:4" x14ac:dyDescent="0.2">
      <c r="B94" s="19" t="s">
        <v>174</v>
      </c>
      <c r="C94" s="20">
        <v>8.5671789999999994</v>
      </c>
      <c r="D94" s="25">
        <f t="shared" si="1"/>
        <v>1.2443446400352443E-2</v>
      </c>
    </row>
    <row r="95" spans="2:4" x14ac:dyDescent="0.2">
      <c r="B95" s="21" t="s">
        <v>173</v>
      </c>
      <c r="C95" s="22">
        <v>8.4618839999999995</v>
      </c>
      <c r="D95" s="25">
        <f t="shared" si="1"/>
        <v>-1.9758019860887606E-2</v>
      </c>
    </row>
    <row r="96" spans="2:4" x14ac:dyDescent="0.2">
      <c r="B96" s="19" t="s">
        <v>172</v>
      </c>
      <c r="C96" s="20">
        <v>8.6324439999999996</v>
      </c>
      <c r="D96" s="25">
        <f t="shared" si="1"/>
        <v>-2.4582158003235401E-2</v>
      </c>
    </row>
    <row r="97" spans="2:4" x14ac:dyDescent="0.2">
      <c r="B97" s="21" t="s">
        <v>171</v>
      </c>
      <c r="C97" s="22">
        <v>8.8499960000000009</v>
      </c>
      <c r="D97" s="25">
        <f t="shared" si="1"/>
        <v>-4.1470343999661104E-2</v>
      </c>
    </row>
    <row r="98" spans="2:4" x14ac:dyDescent="0.2">
      <c r="B98" s="19" t="s">
        <v>170</v>
      </c>
      <c r="C98" s="20">
        <v>9.2328869999999998</v>
      </c>
      <c r="D98" s="25">
        <f t="shared" si="1"/>
        <v>2.8356276570092537E-3</v>
      </c>
    </row>
    <row r="99" spans="2:4" x14ac:dyDescent="0.2">
      <c r="B99" s="21" t="s">
        <v>169</v>
      </c>
      <c r="C99" s="22">
        <v>9.2067800000000002</v>
      </c>
      <c r="D99" s="25">
        <f t="shared" si="1"/>
        <v>-1.7641581375567199E-2</v>
      </c>
    </row>
    <row r="100" spans="2:4" x14ac:dyDescent="0.2">
      <c r="B100" s="19" t="s">
        <v>168</v>
      </c>
      <c r="C100" s="20">
        <v>9.3721189999999996</v>
      </c>
      <c r="D100" s="25">
        <f t="shared" si="1"/>
        <v>2.7932766624656322E-3</v>
      </c>
    </row>
    <row r="101" spans="2:4" x14ac:dyDescent="0.2">
      <c r="B101" s="21" t="s">
        <v>167</v>
      </c>
      <c r="C101" s="22">
        <v>9.3460129999999992</v>
      </c>
      <c r="D101" s="25">
        <f t="shared" si="1"/>
        <v>-1.8589363564741833E-3</v>
      </c>
    </row>
    <row r="102" spans="2:4" x14ac:dyDescent="0.2">
      <c r="B102" s="19" t="s">
        <v>166</v>
      </c>
      <c r="C102" s="20">
        <v>9.3634190000000004</v>
      </c>
      <c r="D102" s="25">
        <f t="shared" si="1"/>
        <v>1.862398436638291E-3</v>
      </c>
    </row>
    <row r="103" spans="2:4" x14ac:dyDescent="0.2">
      <c r="B103" s="21" t="s">
        <v>165</v>
      </c>
      <c r="C103" s="22">
        <v>9.3460129999999992</v>
      </c>
      <c r="D103" s="25">
        <f t="shared" si="1"/>
        <v>3.269241521293257E-2</v>
      </c>
    </row>
    <row r="104" spans="2:4" x14ac:dyDescent="0.2">
      <c r="B104" s="19" t="s">
        <v>164</v>
      </c>
      <c r="C104" s="20">
        <v>9.0501419999999992</v>
      </c>
      <c r="D104" s="25">
        <f t="shared" si="1"/>
        <v>9.6223589113321342E-4</v>
      </c>
    </row>
    <row r="105" spans="2:4" x14ac:dyDescent="0.2">
      <c r="B105" s="21" t="s">
        <v>163</v>
      </c>
      <c r="C105" s="22">
        <v>9.041442</v>
      </c>
      <c r="D105" s="25">
        <f t="shared" si="1"/>
        <v>2.5666500324950575E-2</v>
      </c>
    </row>
    <row r="106" spans="2:4" x14ac:dyDescent="0.2">
      <c r="B106" s="19" t="s">
        <v>162</v>
      </c>
      <c r="C106" s="20">
        <v>8.8151869999999999</v>
      </c>
      <c r="D106" s="25">
        <f t="shared" si="1"/>
        <v>-2.5961471101779328E-2</v>
      </c>
    </row>
    <row r="107" spans="2:4" x14ac:dyDescent="0.2">
      <c r="B107" s="21" t="s">
        <v>161</v>
      </c>
      <c r="C107" s="22">
        <v>9.0501419999999992</v>
      </c>
      <c r="D107" s="25">
        <f t="shared" si="1"/>
        <v>-5.7363170590120941E-3</v>
      </c>
    </row>
    <row r="108" spans="2:4" x14ac:dyDescent="0.2">
      <c r="B108" s="19" t="s">
        <v>160</v>
      </c>
      <c r="C108" s="20">
        <v>9.1023560000000003</v>
      </c>
      <c r="D108" s="25">
        <f t="shared" si="1"/>
        <v>-3.8603086404887868E-2</v>
      </c>
    </row>
    <row r="109" spans="2:4" x14ac:dyDescent="0.2">
      <c r="B109" s="21" t="s">
        <v>159</v>
      </c>
      <c r="C109" s="22">
        <v>9.4678439999999995</v>
      </c>
      <c r="D109" s="25">
        <f t="shared" si="1"/>
        <v>2.6415344706913937E-2</v>
      </c>
    </row>
    <row r="110" spans="2:4" x14ac:dyDescent="0.2">
      <c r="B110" s="19" t="s">
        <v>158</v>
      </c>
      <c r="C110" s="20">
        <v>9.2241839999999993</v>
      </c>
      <c r="D110" s="25">
        <f t="shared" si="1"/>
        <v>2.0211598990514931E-2</v>
      </c>
    </row>
    <row r="111" spans="2:4" x14ac:dyDescent="0.2">
      <c r="B111" s="21" t="s">
        <v>157</v>
      </c>
      <c r="C111" s="22">
        <v>9.041442</v>
      </c>
      <c r="D111" s="25">
        <f t="shared" si="1"/>
        <v>9.7183290486708533E-3</v>
      </c>
    </row>
    <row r="112" spans="2:4" x14ac:dyDescent="0.2">
      <c r="B112" s="19" t="s">
        <v>156</v>
      </c>
      <c r="C112" s="20">
        <v>8.9544200000000007</v>
      </c>
      <c r="D112" s="25">
        <f t="shared" si="1"/>
        <v>1.9821581733544848E-2</v>
      </c>
    </row>
    <row r="113" spans="2:4" x14ac:dyDescent="0.2">
      <c r="B113" s="21" t="s">
        <v>155</v>
      </c>
      <c r="C113" s="22">
        <v>8.7803789999999999</v>
      </c>
      <c r="D113" s="25">
        <f t="shared" si="1"/>
        <v>1.1021966670646902E-2</v>
      </c>
    </row>
    <row r="114" spans="2:4" x14ac:dyDescent="0.2">
      <c r="B114" s="19" t="s">
        <v>154</v>
      </c>
      <c r="C114" s="20">
        <v>8.6846569999999996</v>
      </c>
      <c r="D114" s="25">
        <f t="shared" si="1"/>
        <v>-3.9918738124270822E-3</v>
      </c>
    </row>
    <row r="115" spans="2:4" x14ac:dyDescent="0.2">
      <c r="B115" s="21" t="s">
        <v>153</v>
      </c>
      <c r="C115" s="22">
        <v>8.7194640000000003</v>
      </c>
      <c r="D115" s="25">
        <f t="shared" si="1"/>
        <v>-5.9526802109379903E-3</v>
      </c>
    </row>
    <row r="116" spans="2:4" x14ac:dyDescent="0.2">
      <c r="B116" s="19" t="s">
        <v>152</v>
      </c>
      <c r="C116" s="20">
        <v>8.7716790000000007</v>
      </c>
      <c r="D116" s="25">
        <f t="shared" si="1"/>
        <v>-1.273263591799288E-2</v>
      </c>
    </row>
    <row r="117" spans="2:4" x14ac:dyDescent="0.2">
      <c r="B117" s="21" t="s">
        <v>151</v>
      </c>
      <c r="C117" s="22">
        <v>8.8848059999999993</v>
      </c>
      <c r="D117" s="25">
        <f t="shared" si="1"/>
        <v>-1.9549080458569146E-3</v>
      </c>
    </row>
    <row r="118" spans="2:4" x14ac:dyDescent="0.2">
      <c r="B118" s="19" t="s">
        <v>150</v>
      </c>
      <c r="C118" s="20">
        <v>8.9022089999999992</v>
      </c>
      <c r="D118" s="25">
        <f t="shared" si="1"/>
        <v>-6.7960687363099181E-3</v>
      </c>
    </row>
    <row r="119" spans="2:4" x14ac:dyDescent="0.2">
      <c r="B119" s="21" t="s">
        <v>149</v>
      </c>
      <c r="C119" s="22">
        <v>8.9631229999999995</v>
      </c>
      <c r="D119" s="25">
        <f t="shared" si="1"/>
        <v>-4.8308840828755056E-3</v>
      </c>
    </row>
    <row r="120" spans="2:4" x14ac:dyDescent="0.2">
      <c r="B120" s="19" t="s">
        <v>148</v>
      </c>
      <c r="C120" s="20">
        <v>9.0066330000000008</v>
      </c>
      <c r="D120" s="25">
        <f t="shared" si="1"/>
        <v>2.9068446755025046E-3</v>
      </c>
    </row>
    <row r="121" spans="2:4" x14ac:dyDescent="0.2">
      <c r="B121" s="21" t="s">
        <v>147</v>
      </c>
      <c r="C121" s="22">
        <v>8.9805279999999996</v>
      </c>
      <c r="D121" s="25">
        <f t="shared" si="1"/>
        <v>-9.5968612462818785E-3</v>
      </c>
    </row>
    <row r="122" spans="2:4" x14ac:dyDescent="0.2">
      <c r="B122" s="19" t="s">
        <v>146</v>
      </c>
      <c r="C122" s="20">
        <v>9.0675480000000004</v>
      </c>
      <c r="D122" s="25">
        <f t="shared" si="1"/>
        <v>7.091466671138888E-2</v>
      </c>
    </row>
    <row r="123" spans="2:4" x14ac:dyDescent="0.2">
      <c r="B123" s="21" t="s">
        <v>145</v>
      </c>
      <c r="C123" s="22">
        <v>8.4671059999999994</v>
      </c>
      <c r="D123" s="25">
        <f t="shared" si="1"/>
        <v>1.2487145269219933E-2</v>
      </c>
    </row>
    <row r="124" spans="2:4" x14ac:dyDescent="0.2">
      <c r="B124" s="19" t="s">
        <v>144</v>
      </c>
      <c r="C124" s="20">
        <v>8.3626799999999992</v>
      </c>
      <c r="D124" s="25">
        <f t="shared" si="1"/>
        <v>1.2644923170815033E-2</v>
      </c>
    </row>
    <row r="125" spans="2:4" x14ac:dyDescent="0.2">
      <c r="B125" s="21" t="s">
        <v>143</v>
      </c>
      <c r="C125" s="22">
        <v>8.2582550000000001</v>
      </c>
      <c r="D125" s="25">
        <f t="shared" si="1"/>
        <v>3.1709816790289839E-3</v>
      </c>
    </row>
    <row r="126" spans="2:4" x14ac:dyDescent="0.2">
      <c r="B126" s="19" t="s">
        <v>142</v>
      </c>
      <c r="C126" s="20">
        <v>8.232151</v>
      </c>
      <c r="D126" s="25">
        <f t="shared" si="1"/>
        <v>-1.0460176861372456E-2</v>
      </c>
    </row>
    <row r="127" spans="2:4" x14ac:dyDescent="0.2">
      <c r="B127" s="21" t="s">
        <v>141</v>
      </c>
      <c r="C127" s="22">
        <v>8.3191710000000008</v>
      </c>
      <c r="D127" s="25">
        <f t="shared" si="1"/>
        <v>-2.0491776256144203E-2</v>
      </c>
    </row>
    <row r="128" spans="2:4" x14ac:dyDescent="0.2">
      <c r="B128" s="19" t="s">
        <v>140</v>
      </c>
      <c r="C128" s="20">
        <v>8.4932119999999998</v>
      </c>
      <c r="D128" s="25">
        <f t="shared" si="1"/>
        <v>-2.3022864122241388E-2</v>
      </c>
    </row>
    <row r="129" spans="2:4" x14ac:dyDescent="0.2">
      <c r="B129" s="21" t="s">
        <v>139</v>
      </c>
      <c r="C129" s="22">
        <v>8.6933579999999999</v>
      </c>
      <c r="D129" s="25">
        <f t="shared" si="1"/>
        <v>2.1472121233983392E-2</v>
      </c>
    </row>
    <row r="130" spans="2:4" x14ac:dyDescent="0.2">
      <c r="B130" s="19" t="s">
        <v>138</v>
      </c>
      <c r="C130" s="20">
        <v>8.5106169999999999</v>
      </c>
      <c r="D130" s="25">
        <f t="shared" si="1"/>
        <v>-5.0863174098675001E-3</v>
      </c>
    </row>
    <row r="131" spans="2:4" x14ac:dyDescent="0.2">
      <c r="B131" s="21" t="s">
        <v>137</v>
      </c>
      <c r="C131" s="22">
        <v>8.5541260000000001</v>
      </c>
      <c r="D131" s="25">
        <f t="shared" ref="D131:D194" si="2">(C131-C132)/C132</f>
        <v>2.8242597729990083E-2</v>
      </c>
    </row>
    <row r="132" spans="2:4" x14ac:dyDescent="0.2">
      <c r="B132" s="19" t="s">
        <v>136</v>
      </c>
      <c r="C132" s="20">
        <v>8.3191710000000008</v>
      </c>
      <c r="D132" s="25">
        <f t="shared" si="2"/>
        <v>3.0172448487173497E-2</v>
      </c>
    </row>
    <row r="133" spans="2:4" x14ac:dyDescent="0.2">
      <c r="B133" s="21" t="s">
        <v>135</v>
      </c>
      <c r="C133" s="22">
        <v>8.0755130000000008</v>
      </c>
      <c r="D133" s="25">
        <f t="shared" si="2"/>
        <v>-7.4867005521341316E-3</v>
      </c>
    </row>
    <row r="134" spans="2:4" x14ac:dyDescent="0.2">
      <c r="B134" s="19" t="s">
        <v>134</v>
      </c>
      <c r="C134" s="20">
        <v>8.1364280000000004</v>
      </c>
      <c r="D134" s="25">
        <f t="shared" si="2"/>
        <v>-1.0682458190656393E-3</v>
      </c>
    </row>
    <row r="135" spans="2:4" x14ac:dyDescent="0.2">
      <c r="B135" s="21" t="s">
        <v>133</v>
      </c>
      <c r="C135" s="22">
        <v>8.1451290000000007</v>
      </c>
      <c r="D135" s="25">
        <f t="shared" si="2"/>
        <v>-1.0672283985281941E-3</v>
      </c>
    </row>
    <row r="136" spans="2:4" x14ac:dyDescent="0.2">
      <c r="B136" s="19" t="s">
        <v>132</v>
      </c>
      <c r="C136" s="20">
        <v>8.1538310000000003</v>
      </c>
      <c r="D136" s="25">
        <f t="shared" si="2"/>
        <v>-1.3684116174790723E-2</v>
      </c>
    </row>
    <row r="137" spans="2:4" x14ac:dyDescent="0.2">
      <c r="B137" s="21" t="s">
        <v>131</v>
      </c>
      <c r="C137" s="22">
        <v>8.2669569999999997</v>
      </c>
      <c r="D137" s="25">
        <f t="shared" si="2"/>
        <v>1.822066522043346E-2</v>
      </c>
    </row>
    <row r="138" spans="2:4" x14ac:dyDescent="0.2">
      <c r="B138" s="19" t="s">
        <v>130</v>
      </c>
      <c r="C138" s="20">
        <v>8.1190230000000003</v>
      </c>
      <c r="D138" s="25">
        <f t="shared" si="2"/>
        <v>6.4725709419212879E-3</v>
      </c>
    </row>
    <row r="139" spans="2:4" x14ac:dyDescent="0.2">
      <c r="B139" s="21" t="s">
        <v>129</v>
      </c>
      <c r="C139" s="22">
        <v>8.0668100000000003</v>
      </c>
      <c r="D139" s="25">
        <f t="shared" si="2"/>
        <v>2.162147119924236E-3</v>
      </c>
    </row>
    <row r="140" spans="2:4" x14ac:dyDescent="0.2">
      <c r="B140" s="19" t="s">
        <v>128</v>
      </c>
      <c r="C140" s="20">
        <v>8.0494059999999994</v>
      </c>
      <c r="D140" s="25">
        <f t="shared" si="2"/>
        <v>-1.700319186130941E-2</v>
      </c>
    </row>
    <row r="141" spans="2:4" x14ac:dyDescent="0.2">
      <c r="B141" s="21" t="s">
        <v>127</v>
      </c>
      <c r="C141" s="22">
        <v>8.1886390000000002</v>
      </c>
      <c r="D141" s="25">
        <f t="shared" si="2"/>
        <v>1.182799870899433E-2</v>
      </c>
    </row>
    <row r="142" spans="2:4" x14ac:dyDescent="0.2">
      <c r="B142" s="19" t="s">
        <v>126</v>
      </c>
      <c r="C142" s="20">
        <v>8.0929160000000007</v>
      </c>
      <c r="D142" s="25">
        <f t="shared" si="2"/>
        <v>1.5283862790608213E-2</v>
      </c>
    </row>
    <row r="143" spans="2:4" x14ac:dyDescent="0.2">
      <c r="B143" s="21" t="s">
        <v>125</v>
      </c>
      <c r="C143" s="22">
        <v>7.9710869999999998</v>
      </c>
      <c r="D143" s="25">
        <f t="shared" si="2"/>
        <v>3.6738013903456204E-3</v>
      </c>
    </row>
    <row r="144" spans="2:4" x14ac:dyDescent="0.2">
      <c r="B144" s="19" t="s">
        <v>124</v>
      </c>
      <c r="C144" s="20">
        <v>7.94191</v>
      </c>
      <c r="D144" s="25">
        <f t="shared" si="2"/>
        <v>-2.0342735904623644E-2</v>
      </c>
    </row>
    <row r="145" spans="2:4" x14ac:dyDescent="0.2">
      <c r="B145" s="21" t="s">
        <v>123</v>
      </c>
      <c r="C145" s="22">
        <v>8.1068250000000006</v>
      </c>
      <c r="D145" s="25">
        <f t="shared" si="2"/>
        <v>5.3820788605142477E-3</v>
      </c>
    </row>
    <row r="146" spans="2:4" x14ac:dyDescent="0.2">
      <c r="B146" s="19" t="s">
        <v>122</v>
      </c>
      <c r="C146" s="20">
        <v>8.0634270000000008</v>
      </c>
      <c r="D146" s="25">
        <f t="shared" si="2"/>
        <v>-6.4170991207570995E-3</v>
      </c>
    </row>
    <row r="147" spans="2:4" x14ac:dyDescent="0.2">
      <c r="B147" s="21" t="s">
        <v>121</v>
      </c>
      <c r="C147" s="22">
        <v>8.1155050000000006</v>
      </c>
      <c r="D147" s="25">
        <f t="shared" si="2"/>
        <v>-3.1980428277590114E-3</v>
      </c>
    </row>
    <row r="148" spans="2:4" x14ac:dyDescent="0.2">
      <c r="B148" s="19" t="s">
        <v>120</v>
      </c>
      <c r="C148" s="20">
        <v>8.1415419999999994</v>
      </c>
      <c r="D148" s="25">
        <f t="shared" si="2"/>
        <v>9.6875683254773175E-3</v>
      </c>
    </row>
    <row r="149" spans="2:4" x14ac:dyDescent="0.2">
      <c r="B149" s="21" t="s">
        <v>119</v>
      </c>
      <c r="C149" s="22">
        <v>8.0634270000000008</v>
      </c>
      <c r="D149" s="25">
        <f t="shared" si="2"/>
        <v>-3.2188774883285293E-3</v>
      </c>
    </row>
    <row r="150" spans="2:4" x14ac:dyDescent="0.2">
      <c r="B150" s="19" t="s">
        <v>118</v>
      </c>
      <c r="C150" s="20">
        <v>8.0894659999999998</v>
      </c>
      <c r="D150" s="25">
        <f t="shared" si="2"/>
        <v>0</v>
      </c>
    </row>
    <row r="151" spans="2:4" x14ac:dyDescent="0.2">
      <c r="B151" s="21" t="s">
        <v>117</v>
      </c>
      <c r="C151" s="22">
        <v>8.0894659999999998</v>
      </c>
      <c r="D151" s="25">
        <f t="shared" si="2"/>
        <v>-8.5105804052334772E-3</v>
      </c>
    </row>
    <row r="152" spans="2:4" x14ac:dyDescent="0.2">
      <c r="B152" s="19" t="s">
        <v>116</v>
      </c>
      <c r="C152" s="20">
        <v>8.1589030000000005</v>
      </c>
      <c r="D152" s="25">
        <f t="shared" si="2"/>
        <v>-4.2689167356815575E-3</v>
      </c>
    </row>
    <row r="153" spans="2:4" x14ac:dyDescent="0.2">
      <c r="B153" s="21" t="s">
        <v>115</v>
      </c>
      <c r="C153" s="22">
        <v>8.1938820000000003</v>
      </c>
      <c r="D153" s="25">
        <f t="shared" si="2"/>
        <v>0</v>
      </c>
    </row>
    <row r="154" spans="2:4" x14ac:dyDescent="0.2">
      <c r="B154" s="19" t="s">
        <v>114</v>
      </c>
      <c r="C154" s="20">
        <v>8.1938820000000003</v>
      </c>
      <c r="D154" s="25">
        <f t="shared" si="2"/>
        <v>1.0538460861822254E-3</v>
      </c>
    </row>
    <row r="155" spans="2:4" x14ac:dyDescent="0.2">
      <c r="B155" s="21" t="s">
        <v>113</v>
      </c>
      <c r="C155" s="22">
        <v>8.1852560000000008</v>
      </c>
      <c r="D155" s="25">
        <f t="shared" si="2"/>
        <v>4.2328594099565698E-3</v>
      </c>
    </row>
    <row r="156" spans="2:4" x14ac:dyDescent="0.2">
      <c r="B156" s="19" t="s">
        <v>112</v>
      </c>
      <c r="C156" s="20">
        <v>8.1507550000000002</v>
      </c>
      <c r="D156" s="25">
        <f t="shared" si="2"/>
        <v>1.0591821723331491E-3</v>
      </c>
    </row>
    <row r="157" spans="2:4" x14ac:dyDescent="0.2">
      <c r="B157" s="21" t="s">
        <v>111</v>
      </c>
      <c r="C157" s="22">
        <v>8.1421309999999991</v>
      </c>
      <c r="D157" s="25">
        <f t="shared" si="2"/>
        <v>1.2875452657977744E-2</v>
      </c>
    </row>
    <row r="158" spans="2:4" x14ac:dyDescent="0.2">
      <c r="B158" s="19" t="s">
        <v>110</v>
      </c>
      <c r="C158" s="20">
        <v>8.0386299999999995</v>
      </c>
      <c r="D158" s="25">
        <f t="shared" si="2"/>
        <v>-3.2087516323070038E-3</v>
      </c>
    </row>
    <row r="159" spans="2:4" x14ac:dyDescent="0.2">
      <c r="B159" s="21" t="s">
        <v>109</v>
      </c>
      <c r="C159" s="22">
        <v>8.0645070000000008</v>
      </c>
      <c r="D159" s="25">
        <f t="shared" si="2"/>
        <v>5.3766316240637883E-3</v>
      </c>
    </row>
    <row r="160" spans="2:4" x14ac:dyDescent="0.2">
      <c r="B160" s="19" t="s">
        <v>108</v>
      </c>
      <c r="C160" s="20">
        <v>8.0213789999999996</v>
      </c>
      <c r="D160" s="25">
        <f t="shared" si="2"/>
        <v>1.8619758613381204E-2</v>
      </c>
    </row>
    <row r="161" spans="2:4" x14ac:dyDescent="0.2">
      <c r="B161" s="21" t="s">
        <v>107</v>
      </c>
      <c r="C161" s="22">
        <v>7.8747530000000001</v>
      </c>
      <c r="D161" s="25">
        <f t="shared" si="2"/>
        <v>1.3318706771754852E-2</v>
      </c>
    </row>
    <row r="162" spans="2:4" x14ac:dyDescent="0.2">
      <c r="B162" s="19" t="s">
        <v>106</v>
      </c>
      <c r="C162" s="20">
        <v>7.7712500000000002</v>
      </c>
      <c r="D162" s="25">
        <f t="shared" si="2"/>
        <v>1.3498357014341194E-2</v>
      </c>
    </row>
    <row r="163" spans="2:4" x14ac:dyDescent="0.2">
      <c r="B163" s="21" t="s">
        <v>105</v>
      </c>
      <c r="C163" s="22">
        <v>7.6677479999999996</v>
      </c>
      <c r="D163" s="25">
        <f t="shared" si="2"/>
        <v>2.3014855016099501E-2</v>
      </c>
    </row>
    <row r="164" spans="2:4" x14ac:dyDescent="0.2">
      <c r="B164" s="19" t="s">
        <v>104</v>
      </c>
      <c r="C164" s="20">
        <v>7.4952459999999999</v>
      </c>
      <c r="D164" s="25">
        <f t="shared" si="2"/>
        <v>8.1206530847210186E-3</v>
      </c>
    </row>
    <row r="165" spans="2:4" x14ac:dyDescent="0.2">
      <c r="B165" s="21" t="s">
        <v>103</v>
      </c>
      <c r="C165" s="22">
        <v>7.4348700000000001</v>
      </c>
      <c r="D165" s="25">
        <f t="shared" si="2"/>
        <v>9.3676659196627165E-3</v>
      </c>
    </row>
    <row r="166" spans="2:4" x14ac:dyDescent="0.2">
      <c r="B166" s="19" t="s">
        <v>102</v>
      </c>
      <c r="C166" s="20">
        <v>7.365869</v>
      </c>
      <c r="D166" s="25">
        <f t="shared" si="2"/>
        <v>-1.0428703183114977E-2</v>
      </c>
    </row>
    <row r="167" spans="2:4" x14ac:dyDescent="0.2">
      <c r="B167" s="21" t="s">
        <v>101</v>
      </c>
      <c r="C167" s="22">
        <v>7.4434950000000004</v>
      </c>
      <c r="D167" s="25">
        <f t="shared" si="2"/>
        <v>-2.3121015394574891E-3</v>
      </c>
    </row>
    <row r="168" spans="2:4" x14ac:dyDescent="0.2">
      <c r="B168" s="19" t="s">
        <v>100</v>
      </c>
      <c r="C168" s="20">
        <v>7.4607450000000002</v>
      </c>
      <c r="D168" s="25">
        <f t="shared" si="2"/>
        <v>1.0513984672331628E-2</v>
      </c>
    </row>
    <row r="169" spans="2:4" x14ac:dyDescent="0.2">
      <c r="B169" s="21" t="s">
        <v>99</v>
      </c>
      <c r="C169" s="22">
        <v>7.3831189999999998</v>
      </c>
      <c r="D169" s="25">
        <f t="shared" si="2"/>
        <v>4.6948963737126724E-3</v>
      </c>
    </row>
    <row r="170" spans="2:4" x14ac:dyDescent="0.2">
      <c r="B170" s="19" t="s">
        <v>98</v>
      </c>
      <c r="C170" s="20">
        <v>7.3486180000000001</v>
      </c>
      <c r="D170" s="25">
        <f t="shared" si="2"/>
        <v>-2.3420183008956452E-3</v>
      </c>
    </row>
    <row r="171" spans="2:4" x14ac:dyDescent="0.2">
      <c r="B171" s="21" t="s">
        <v>97</v>
      </c>
      <c r="C171" s="22">
        <v>7.365869</v>
      </c>
      <c r="D171" s="25">
        <f t="shared" si="2"/>
        <v>8.2644662037181828E-3</v>
      </c>
    </row>
    <row r="172" spans="2:4" x14ac:dyDescent="0.2">
      <c r="B172" s="19" t="s">
        <v>96</v>
      </c>
      <c r="C172" s="20">
        <v>7.3054930000000002</v>
      </c>
      <c r="D172" s="25">
        <f t="shared" si="2"/>
        <v>-1.0513984672331509E-2</v>
      </c>
    </row>
    <row r="173" spans="2:4" x14ac:dyDescent="0.2">
      <c r="B173" s="21" t="s">
        <v>95</v>
      </c>
      <c r="C173" s="22">
        <v>7.3831189999999998</v>
      </c>
      <c r="D173" s="25">
        <f t="shared" si="2"/>
        <v>1.1820276863991491E-2</v>
      </c>
    </row>
    <row r="174" spans="2:4" x14ac:dyDescent="0.2">
      <c r="B174" s="19" t="s">
        <v>94</v>
      </c>
      <c r="C174" s="20">
        <v>7.2968679999999999</v>
      </c>
      <c r="D174" s="25">
        <f t="shared" si="2"/>
        <v>-1.513376849812538E-2</v>
      </c>
    </row>
    <row r="175" spans="2:4" x14ac:dyDescent="0.2">
      <c r="B175" s="21" t="s">
        <v>93</v>
      </c>
      <c r="C175" s="22">
        <v>7.4089939999999999</v>
      </c>
      <c r="D175" s="25">
        <f t="shared" si="2"/>
        <v>1.8979803581134484E-2</v>
      </c>
    </row>
    <row r="176" spans="2:4" x14ac:dyDescent="0.2">
      <c r="B176" s="19" t="s">
        <v>92</v>
      </c>
      <c r="C176" s="20">
        <v>7.2709919999999997</v>
      </c>
      <c r="D176" s="25">
        <f t="shared" si="2"/>
        <v>9.5808228585678723E-3</v>
      </c>
    </row>
    <row r="177" spans="2:4" x14ac:dyDescent="0.2">
      <c r="B177" s="21" t="s">
        <v>91</v>
      </c>
      <c r="C177" s="22">
        <v>7.2019909999999996</v>
      </c>
      <c r="D177" s="25">
        <f t="shared" si="2"/>
        <v>3.0864275283759967E-2</v>
      </c>
    </row>
    <row r="178" spans="2:4" x14ac:dyDescent="0.2">
      <c r="B178" s="19" t="s">
        <v>90</v>
      </c>
      <c r="C178" s="20">
        <v>6.9863619999999997</v>
      </c>
      <c r="D178" s="25">
        <f t="shared" si="2"/>
        <v>-2.463157230418058E-3</v>
      </c>
    </row>
    <row r="179" spans="2:4" x14ac:dyDescent="0.2">
      <c r="B179" s="21" t="s">
        <v>89</v>
      </c>
      <c r="C179" s="22">
        <v>7.0036129999999996</v>
      </c>
      <c r="D179" s="25">
        <f t="shared" si="2"/>
        <v>-9.7560816976580509E-3</v>
      </c>
    </row>
    <row r="180" spans="2:4" x14ac:dyDescent="0.2">
      <c r="B180" s="19" t="s">
        <v>88</v>
      </c>
      <c r="C180" s="20">
        <v>7.0726139999999997</v>
      </c>
      <c r="D180" s="25">
        <f t="shared" si="2"/>
        <v>-2.433050901963797E-3</v>
      </c>
    </row>
    <row r="181" spans="2:4" x14ac:dyDescent="0.2">
      <c r="B181" s="21" t="s">
        <v>87</v>
      </c>
      <c r="C181" s="22">
        <v>7.0898640000000004</v>
      </c>
      <c r="D181" s="25">
        <f t="shared" si="2"/>
        <v>-2.0262168501280473E-2</v>
      </c>
    </row>
    <row r="182" spans="2:4" x14ac:dyDescent="0.2">
      <c r="B182" s="19" t="s">
        <v>86</v>
      </c>
      <c r="C182" s="20">
        <v>7.236491</v>
      </c>
      <c r="D182" s="25">
        <f t="shared" si="2"/>
        <v>5.995107158456814E-3</v>
      </c>
    </row>
    <row r="183" spans="2:4" x14ac:dyDescent="0.2">
      <c r="B183" s="21" t="s">
        <v>85</v>
      </c>
      <c r="C183" s="22">
        <v>7.1933660000000001</v>
      </c>
      <c r="D183" s="25">
        <f t="shared" si="2"/>
        <v>1.0909055136921869E-2</v>
      </c>
    </row>
    <row r="184" spans="2:4" x14ac:dyDescent="0.2">
      <c r="B184" s="19" t="s">
        <v>84</v>
      </c>
      <c r="C184" s="20">
        <v>7.1157399999999997</v>
      </c>
      <c r="D184" s="25">
        <f t="shared" si="2"/>
        <v>-1.2104940174309155E-3</v>
      </c>
    </row>
    <row r="185" spans="2:4" x14ac:dyDescent="0.2">
      <c r="B185" s="21" t="s">
        <v>83</v>
      </c>
      <c r="C185" s="22">
        <v>7.1243639999999999</v>
      </c>
      <c r="D185" s="25">
        <f t="shared" si="2"/>
        <v>1.2119610890786042E-3</v>
      </c>
    </row>
    <row r="186" spans="2:4" x14ac:dyDescent="0.2">
      <c r="B186" s="19" t="s">
        <v>82</v>
      </c>
      <c r="C186" s="20">
        <v>7.1157399999999997</v>
      </c>
      <c r="D186" s="25">
        <f t="shared" si="2"/>
        <v>-8.4133267095079321E-3</v>
      </c>
    </row>
    <row r="187" spans="2:4" x14ac:dyDescent="0.2">
      <c r="B187" s="21" t="s">
        <v>81</v>
      </c>
      <c r="C187" s="22">
        <v>7.1761150000000002</v>
      </c>
      <c r="D187" s="25">
        <f t="shared" si="2"/>
        <v>-2.3981818803603078E-3</v>
      </c>
    </row>
    <row r="188" spans="2:4" x14ac:dyDescent="0.2">
      <c r="B188" s="19" t="s">
        <v>80</v>
      </c>
      <c r="C188" s="20">
        <v>7.1933660000000001</v>
      </c>
      <c r="D188" s="25">
        <f t="shared" si="2"/>
        <v>-2.3419232679810061E-2</v>
      </c>
    </row>
    <row r="189" spans="2:4" x14ac:dyDescent="0.2">
      <c r="B189" s="21" t="s">
        <v>79</v>
      </c>
      <c r="C189" s="22">
        <v>7.365869</v>
      </c>
      <c r="D189" s="25">
        <f t="shared" si="2"/>
        <v>-1.0428703183114977E-2</v>
      </c>
    </row>
    <row r="190" spans="2:4" x14ac:dyDescent="0.2">
      <c r="B190" s="19" t="s">
        <v>78</v>
      </c>
      <c r="C190" s="20">
        <v>7.4434950000000004</v>
      </c>
      <c r="D190" s="25">
        <f t="shared" si="2"/>
        <v>-1.2585873979156167E-2</v>
      </c>
    </row>
    <row r="191" spans="2:4" x14ac:dyDescent="0.2">
      <c r="B191" s="21" t="s">
        <v>77</v>
      </c>
      <c r="C191" s="22">
        <v>7.5383719999999999</v>
      </c>
      <c r="D191" s="25">
        <f t="shared" si="2"/>
        <v>1.2746297270301039E-2</v>
      </c>
    </row>
    <row r="192" spans="2:4" x14ac:dyDescent="0.2">
      <c r="B192" s="19" t="s">
        <v>76</v>
      </c>
      <c r="C192" s="20">
        <v>7.4434950000000004</v>
      </c>
      <c r="D192" s="25">
        <f t="shared" si="2"/>
        <v>-4.6136692236796693E-3</v>
      </c>
    </row>
    <row r="193" spans="2:4" x14ac:dyDescent="0.2">
      <c r="B193" s="21" t="s">
        <v>75</v>
      </c>
      <c r="C193" s="22">
        <v>7.4779960000000001</v>
      </c>
      <c r="D193" s="25">
        <f t="shared" si="2"/>
        <v>-2.1444611811790155E-2</v>
      </c>
    </row>
    <row r="194" spans="2:4" x14ac:dyDescent="0.2">
      <c r="B194" s="19" t="s">
        <v>74</v>
      </c>
      <c r="C194" s="20">
        <v>7.6418730000000004</v>
      </c>
      <c r="D194" s="25">
        <f t="shared" si="2"/>
        <v>4.5353381608443577E-3</v>
      </c>
    </row>
    <row r="195" spans="2:4" x14ac:dyDescent="0.2">
      <c r="B195" s="21" t="s">
        <v>73</v>
      </c>
      <c r="C195" s="22">
        <v>7.6073709999999997</v>
      </c>
      <c r="D195" s="25">
        <f t="shared" ref="D195:D253" si="3">(C195-C196)/C196</f>
        <v>-8.9890096548188459E-3</v>
      </c>
    </row>
    <row r="196" spans="2:4" x14ac:dyDescent="0.2">
      <c r="B196" s="19" t="s">
        <v>72</v>
      </c>
      <c r="C196" s="20">
        <v>7.676374</v>
      </c>
      <c r="D196" s="25">
        <f t="shared" si="3"/>
        <v>3.1286243894836981E-2</v>
      </c>
    </row>
    <row r="197" spans="2:4" x14ac:dyDescent="0.2">
      <c r="B197" s="21" t="s">
        <v>71</v>
      </c>
      <c r="C197" s="22">
        <v>7.4434950000000004</v>
      </c>
      <c r="D197" s="25">
        <f t="shared" si="3"/>
        <v>-1.8202603232237144E-2</v>
      </c>
    </row>
    <row r="198" spans="2:4" x14ac:dyDescent="0.2">
      <c r="B198" s="19" t="s">
        <v>70</v>
      </c>
      <c r="C198" s="20">
        <v>7.5814979999999998</v>
      </c>
      <c r="D198" s="25">
        <f t="shared" si="3"/>
        <v>8.0276597065783023E-3</v>
      </c>
    </row>
    <row r="199" spans="2:4" x14ac:dyDescent="0.2">
      <c r="B199" s="21" t="s">
        <v>69</v>
      </c>
      <c r="C199" s="22">
        <v>7.5211209999999999</v>
      </c>
      <c r="D199" s="25">
        <f t="shared" si="3"/>
        <v>-3.4285164587340568E-3</v>
      </c>
    </row>
    <row r="200" spans="2:4" x14ac:dyDescent="0.2">
      <c r="B200" s="19" t="s">
        <v>68</v>
      </c>
      <c r="C200" s="20">
        <v>7.546996</v>
      </c>
      <c r="D200" s="25">
        <f t="shared" si="3"/>
        <v>-1.574803971126849E-2</v>
      </c>
    </row>
    <row r="201" spans="2:4" x14ac:dyDescent="0.2">
      <c r="B201" s="21" t="s">
        <v>67</v>
      </c>
      <c r="C201" s="22">
        <v>7.6677479999999996</v>
      </c>
      <c r="D201" s="25">
        <f t="shared" si="3"/>
        <v>-1.9845583535728087E-2</v>
      </c>
    </row>
    <row r="202" spans="2:4" x14ac:dyDescent="0.2">
      <c r="B202" s="19" t="s">
        <v>66</v>
      </c>
      <c r="C202" s="20">
        <v>7.8230000000000004</v>
      </c>
      <c r="D202" s="25">
        <f t="shared" si="3"/>
        <v>-1.4130584913059921E-2</v>
      </c>
    </row>
    <row r="203" spans="2:4" x14ac:dyDescent="0.2">
      <c r="B203" s="21" t="s">
        <v>65</v>
      </c>
      <c r="C203" s="22">
        <v>7.9351279999999997</v>
      </c>
      <c r="D203" s="25">
        <f t="shared" si="3"/>
        <v>-1.3933571136990203E-2</v>
      </c>
    </row>
    <row r="204" spans="2:4" x14ac:dyDescent="0.2">
      <c r="B204" s="19" t="s">
        <v>64</v>
      </c>
      <c r="C204" s="20">
        <v>8.0472549999999998</v>
      </c>
      <c r="D204" s="25">
        <f t="shared" si="3"/>
        <v>-1.0604406021216525E-2</v>
      </c>
    </row>
    <row r="205" spans="2:4" x14ac:dyDescent="0.2">
      <c r="B205" s="21" t="s">
        <v>63</v>
      </c>
      <c r="C205" s="22">
        <v>8.1335060000000006</v>
      </c>
      <c r="D205" s="25">
        <f t="shared" si="3"/>
        <v>4.2600299987504402E-3</v>
      </c>
    </row>
    <row r="206" spans="2:4" x14ac:dyDescent="0.2">
      <c r="B206" s="19" t="s">
        <v>62</v>
      </c>
      <c r="C206" s="20">
        <v>8.0990040000000008</v>
      </c>
      <c r="D206" s="25">
        <f t="shared" si="3"/>
        <v>-1.4690700139833776E-2</v>
      </c>
    </row>
    <row r="207" spans="2:4" x14ac:dyDescent="0.2">
      <c r="B207" s="21" t="s">
        <v>61</v>
      </c>
      <c r="C207" s="22">
        <v>8.2197580000000006</v>
      </c>
      <c r="D207" s="25">
        <f t="shared" si="3"/>
        <v>4.2151400029516251E-3</v>
      </c>
    </row>
    <row r="208" spans="2:4" x14ac:dyDescent="0.2">
      <c r="B208" s="19" t="s">
        <v>60</v>
      </c>
      <c r="C208" s="20">
        <v>8.1852560000000008</v>
      </c>
      <c r="D208" s="25">
        <f t="shared" si="3"/>
        <v>-7.9937328010155125E-3</v>
      </c>
    </row>
    <row r="209" spans="2:4" x14ac:dyDescent="0.2">
      <c r="B209" s="21" t="s">
        <v>59</v>
      </c>
      <c r="C209" s="22">
        <v>8.2512139999999992</v>
      </c>
      <c r="D209" s="25">
        <f t="shared" si="3"/>
        <v>1.5889873548322164E-2</v>
      </c>
    </row>
    <row r="210" spans="2:4" x14ac:dyDescent="0.2">
      <c r="B210" s="19" t="s">
        <v>58</v>
      </c>
      <c r="C210" s="20">
        <v>8.1221540000000001</v>
      </c>
      <c r="D210" s="25">
        <f t="shared" si="3"/>
        <v>-2.1142932192604463E-3</v>
      </c>
    </row>
    <row r="211" spans="2:4" x14ac:dyDescent="0.2">
      <c r="B211" s="21" t="s">
        <v>57</v>
      </c>
      <c r="C211" s="22">
        <v>8.1393629999999995</v>
      </c>
      <c r="D211" s="25">
        <f t="shared" si="3"/>
        <v>0</v>
      </c>
    </row>
    <row r="212" spans="2:4" x14ac:dyDescent="0.2">
      <c r="B212" s="19" t="s">
        <v>56</v>
      </c>
      <c r="C212" s="20">
        <v>8.1393629999999995</v>
      </c>
      <c r="D212" s="25">
        <f t="shared" si="3"/>
        <v>4.2465433139890181E-3</v>
      </c>
    </row>
    <row r="213" spans="2:4" x14ac:dyDescent="0.2">
      <c r="B213" s="21" t="s">
        <v>55</v>
      </c>
      <c r="C213" s="22">
        <v>8.1049450000000007</v>
      </c>
      <c r="D213" s="25">
        <f t="shared" si="3"/>
        <v>-1.6701507981271357E-2</v>
      </c>
    </row>
    <row r="214" spans="2:4" x14ac:dyDescent="0.2">
      <c r="B214" s="19" t="s">
        <v>54</v>
      </c>
      <c r="C214" s="20">
        <v>8.2426089999999999</v>
      </c>
      <c r="D214" s="25">
        <f t="shared" si="3"/>
        <v>9.4835700990572244E-3</v>
      </c>
    </row>
    <row r="215" spans="2:4" x14ac:dyDescent="0.2">
      <c r="B215" s="21" t="s">
        <v>53</v>
      </c>
      <c r="C215" s="22">
        <v>8.1651740000000004</v>
      </c>
      <c r="D215" s="25">
        <f t="shared" si="3"/>
        <v>1.2806990886171717E-2</v>
      </c>
    </row>
    <row r="216" spans="2:4" x14ac:dyDescent="0.2">
      <c r="B216" s="19" t="s">
        <v>52</v>
      </c>
      <c r="C216" s="20">
        <v>8.0619250000000005</v>
      </c>
      <c r="D216" s="25">
        <f t="shared" si="3"/>
        <v>1.2972755905848243E-2</v>
      </c>
    </row>
    <row r="217" spans="2:4" x14ac:dyDescent="0.2">
      <c r="B217" s="21" t="s">
        <v>51</v>
      </c>
      <c r="C217" s="22">
        <v>7.9586790000000001</v>
      </c>
      <c r="D217" s="25">
        <f t="shared" si="3"/>
        <v>7.6254201773765283E-3</v>
      </c>
    </row>
    <row r="218" spans="2:4" x14ac:dyDescent="0.2">
      <c r="B218" s="19" t="s">
        <v>50</v>
      </c>
      <c r="C218" s="20">
        <v>7.8984500000000004</v>
      </c>
      <c r="D218" s="25">
        <f t="shared" si="3"/>
        <v>-1.502174610308527E-2</v>
      </c>
    </row>
    <row r="219" spans="2:4" x14ac:dyDescent="0.2">
      <c r="B219" s="21" t="s">
        <v>49</v>
      </c>
      <c r="C219" s="22">
        <v>8.0189079999999997</v>
      </c>
      <c r="D219" s="25">
        <f t="shared" si="3"/>
        <v>8.6582841870402518E-3</v>
      </c>
    </row>
    <row r="220" spans="2:4" x14ac:dyDescent="0.2">
      <c r="B220" s="19" t="s">
        <v>48</v>
      </c>
      <c r="C220" s="20">
        <v>7.9500739999999999</v>
      </c>
      <c r="D220" s="25">
        <f t="shared" si="3"/>
        <v>1.0940692540064705E-2</v>
      </c>
    </row>
    <row r="221" spans="2:4" x14ac:dyDescent="0.2">
      <c r="B221" s="21" t="s">
        <v>47</v>
      </c>
      <c r="C221" s="22">
        <v>7.8640359999999996</v>
      </c>
      <c r="D221" s="25">
        <f t="shared" si="3"/>
        <v>8.8300447300673022E-3</v>
      </c>
    </row>
    <row r="222" spans="2:4" x14ac:dyDescent="0.2">
      <c r="B222" s="19" t="s">
        <v>46</v>
      </c>
      <c r="C222" s="20">
        <v>7.795204</v>
      </c>
      <c r="D222" s="25">
        <f t="shared" si="3"/>
        <v>1.6835060755446277E-2</v>
      </c>
    </row>
    <row r="223" spans="2:4" x14ac:dyDescent="0.2">
      <c r="B223" s="21" t="s">
        <v>45</v>
      </c>
      <c r="C223" s="22">
        <v>7.6661440000000001</v>
      </c>
      <c r="D223" s="25">
        <f t="shared" si="3"/>
        <v>2.1789185099112131E-2</v>
      </c>
    </row>
    <row r="224" spans="2:4" x14ac:dyDescent="0.2">
      <c r="B224" s="19" t="s">
        <v>44</v>
      </c>
      <c r="C224" s="20">
        <v>7.5026669999999998</v>
      </c>
      <c r="D224" s="25">
        <f t="shared" si="3"/>
        <v>-6.8338634513996112E-3</v>
      </c>
    </row>
    <row r="225" spans="2:4" x14ac:dyDescent="0.2">
      <c r="B225" s="21" t="s">
        <v>43</v>
      </c>
      <c r="C225" s="22">
        <v>7.5542920000000002</v>
      </c>
      <c r="D225" s="25">
        <f t="shared" si="3"/>
        <v>-1.3483181282761799E-2</v>
      </c>
    </row>
    <row r="226" spans="2:4" x14ac:dyDescent="0.2">
      <c r="B226" s="19" t="s">
        <v>42</v>
      </c>
      <c r="C226" s="20">
        <v>7.65754</v>
      </c>
      <c r="D226" s="25">
        <f t="shared" si="3"/>
        <v>3.3823274862950824E-3</v>
      </c>
    </row>
    <row r="227" spans="2:4" x14ac:dyDescent="0.2">
      <c r="B227" s="21" t="s">
        <v>41</v>
      </c>
      <c r="C227" s="22">
        <v>7.6317269999999997</v>
      </c>
      <c r="D227" s="25">
        <f t="shared" si="3"/>
        <v>-2.5274793064643426E-2</v>
      </c>
    </row>
    <row r="228" spans="2:4" x14ac:dyDescent="0.2">
      <c r="B228" s="19" t="s">
        <v>40</v>
      </c>
      <c r="C228" s="20">
        <v>7.8296190000000001</v>
      </c>
      <c r="D228" s="25">
        <f t="shared" si="3"/>
        <v>-3.2860064220529574E-3</v>
      </c>
    </row>
    <row r="229" spans="2:4" x14ac:dyDescent="0.2">
      <c r="B229" s="21" t="s">
        <v>39</v>
      </c>
      <c r="C229" s="22">
        <v>7.8554320000000004</v>
      </c>
      <c r="D229" s="25">
        <f t="shared" si="3"/>
        <v>-2.1855444134481774E-3</v>
      </c>
    </row>
    <row r="230" spans="2:4" x14ac:dyDescent="0.2">
      <c r="B230" s="19" t="s">
        <v>38</v>
      </c>
      <c r="C230" s="20">
        <v>7.8726380000000002</v>
      </c>
      <c r="D230" s="25">
        <f t="shared" si="3"/>
        <v>-6.5149268121304045E-3</v>
      </c>
    </row>
    <row r="231" spans="2:4" x14ac:dyDescent="0.2">
      <c r="B231" s="21" t="s">
        <v>37</v>
      </c>
      <c r="C231" s="22">
        <v>7.924264</v>
      </c>
      <c r="D231" s="25">
        <f t="shared" si="3"/>
        <v>-1.4973421701013517E-2</v>
      </c>
    </row>
    <row r="232" spans="2:4" x14ac:dyDescent="0.2">
      <c r="B232" s="19" t="s">
        <v>36</v>
      </c>
      <c r="C232" s="20">
        <v>8.0447209999999991</v>
      </c>
      <c r="D232" s="25">
        <f t="shared" si="3"/>
        <v>-5.3189154595616904E-3</v>
      </c>
    </row>
    <row r="233" spans="2:4" x14ac:dyDescent="0.2">
      <c r="B233" s="21" t="s">
        <v>35</v>
      </c>
      <c r="C233" s="22">
        <v>8.0877389999999991</v>
      </c>
      <c r="D233" s="25">
        <f t="shared" si="3"/>
        <v>-6.342511078569704E-3</v>
      </c>
    </row>
    <row r="234" spans="2:4" x14ac:dyDescent="0.2">
      <c r="B234" s="19" t="s">
        <v>34</v>
      </c>
      <c r="C234" s="20">
        <v>8.1393629999999995</v>
      </c>
      <c r="D234" s="25">
        <f t="shared" si="3"/>
        <v>-4.2510001201073497E-2</v>
      </c>
    </row>
    <row r="235" spans="2:4" x14ac:dyDescent="0.2">
      <c r="B235" s="21" t="s">
        <v>33</v>
      </c>
      <c r="C235" s="22">
        <v>8.5007289999999998</v>
      </c>
      <c r="D235" s="25">
        <f t="shared" si="3"/>
        <v>-3.0273702985336168E-3</v>
      </c>
    </row>
    <row r="236" spans="2:4" x14ac:dyDescent="0.2">
      <c r="B236" s="19" t="s">
        <v>32</v>
      </c>
      <c r="C236" s="20">
        <v>8.5265419999999992</v>
      </c>
      <c r="D236" s="25">
        <f t="shared" si="3"/>
        <v>-1.4910574677532637E-2</v>
      </c>
    </row>
    <row r="237" spans="2:4" x14ac:dyDescent="0.2">
      <c r="B237" s="21" t="s">
        <v>31</v>
      </c>
      <c r="C237" s="22">
        <v>8.655602</v>
      </c>
      <c r="D237" s="25">
        <f t="shared" si="3"/>
        <v>9.952589315411198E-4</v>
      </c>
    </row>
    <row r="238" spans="2:4" x14ac:dyDescent="0.2">
      <c r="B238" s="19" t="s">
        <v>30</v>
      </c>
      <c r="C238" s="20">
        <v>8.6469959999999997</v>
      </c>
      <c r="D238" s="25">
        <f t="shared" si="3"/>
        <v>-1.0826914534696617E-2</v>
      </c>
    </row>
    <row r="239" spans="2:4" x14ac:dyDescent="0.2">
      <c r="B239" s="21" t="s">
        <v>29</v>
      </c>
      <c r="C239" s="22">
        <v>8.7416409999999996</v>
      </c>
      <c r="D239" s="25">
        <f t="shared" si="3"/>
        <v>5.940725540666391E-3</v>
      </c>
    </row>
    <row r="240" spans="2:4" x14ac:dyDescent="0.2">
      <c r="B240" s="19" t="s">
        <v>28</v>
      </c>
      <c r="C240" s="20">
        <v>8.690016</v>
      </c>
      <c r="D240" s="25">
        <f t="shared" si="3"/>
        <v>9.9085241183058154E-4</v>
      </c>
    </row>
    <row r="241" spans="2:4" x14ac:dyDescent="0.2">
      <c r="B241" s="21" t="s">
        <v>27</v>
      </c>
      <c r="C241" s="22">
        <v>8.6814140000000002</v>
      </c>
      <c r="D241" s="25">
        <f t="shared" si="3"/>
        <v>9.9206600859468334E-4</v>
      </c>
    </row>
    <row r="242" spans="2:4" x14ac:dyDescent="0.2">
      <c r="B242" s="19" t="s">
        <v>26</v>
      </c>
      <c r="C242" s="20">
        <v>8.6728100000000001</v>
      </c>
      <c r="D242" s="25">
        <f t="shared" si="3"/>
        <v>-9.8232073845311383E-3</v>
      </c>
    </row>
    <row r="243" spans="2:4" x14ac:dyDescent="0.2">
      <c r="B243" s="21" t="s">
        <v>25</v>
      </c>
      <c r="C243" s="22">
        <v>8.7588500000000007</v>
      </c>
      <c r="D243" s="25">
        <f t="shared" si="3"/>
        <v>-8.763185972745835E-3</v>
      </c>
    </row>
    <row r="244" spans="2:4" x14ac:dyDescent="0.2">
      <c r="B244" s="19" t="s">
        <v>24</v>
      </c>
      <c r="C244" s="20">
        <v>8.8362839999999991</v>
      </c>
      <c r="D244" s="25">
        <f t="shared" si="3"/>
        <v>0</v>
      </c>
    </row>
    <row r="245" spans="2:4" x14ac:dyDescent="0.2">
      <c r="B245" s="21" t="s">
        <v>23</v>
      </c>
      <c r="C245" s="22">
        <v>8.8362839999999991</v>
      </c>
      <c r="D245" s="25">
        <f t="shared" si="3"/>
        <v>-8.6871708654941045E-3</v>
      </c>
    </row>
    <row r="246" spans="2:4" x14ac:dyDescent="0.2">
      <c r="B246" s="19" t="s">
        <v>22</v>
      </c>
      <c r="C246" s="20">
        <v>8.9137190000000004</v>
      </c>
      <c r="D246" s="25">
        <f t="shared" si="3"/>
        <v>-7.6629670498984809E-3</v>
      </c>
    </row>
    <row r="247" spans="2:4" x14ac:dyDescent="0.2">
      <c r="B247" s="21" t="s">
        <v>21</v>
      </c>
      <c r="C247" s="22">
        <v>8.9825520000000001</v>
      </c>
      <c r="D247" s="25">
        <f t="shared" si="3"/>
        <v>-2.6119365362012134E-2</v>
      </c>
    </row>
    <row r="248" spans="2:4" x14ac:dyDescent="0.2">
      <c r="B248" s="19" t="s">
        <v>20</v>
      </c>
      <c r="C248" s="20">
        <v>9.2234630000000006</v>
      </c>
      <c r="D248" s="25">
        <f t="shared" si="3"/>
        <v>-6.4875058853206789E-3</v>
      </c>
    </row>
    <row r="249" spans="2:4" x14ac:dyDescent="0.2">
      <c r="B249" s="21" t="s">
        <v>19</v>
      </c>
      <c r="C249" s="22">
        <v>9.2836909999999992</v>
      </c>
      <c r="D249" s="25">
        <f t="shared" si="3"/>
        <v>3.7209402899144469E-3</v>
      </c>
    </row>
    <row r="250" spans="2:4" x14ac:dyDescent="0.2">
      <c r="B250" s="19" t="s">
        <v>18</v>
      </c>
      <c r="C250" s="20">
        <v>9.2492750000000008</v>
      </c>
      <c r="D250" s="25">
        <f t="shared" si="3"/>
        <v>-8.3027116094074472E-3</v>
      </c>
    </row>
    <row r="251" spans="2:4" x14ac:dyDescent="0.2">
      <c r="B251" s="21" t="s">
        <v>17</v>
      </c>
      <c r="C251" s="22">
        <v>9.3267120000000006</v>
      </c>
      <c r="D251" s="25">
        <f t="shared" si="3"/>
        <v>-9.2155433426713816E-4</v>
      </c>
    </row>
    <row r="252" spans="2:4" x14ac:dyDescent="0.2">
      <c r="B252" s="19" t="s">
        <v>16</v>
      </c>
      <c r="C252" s="20">
        <v>9.3353149999999996</v>
      </c>
      <c r="D252" s="25">
        <f t="shared" si="3"/>
        <v>7.428060894300508E-3</v>
      </c>
    </row>
    <row r="253" spans="2:4" x14ac:dyDescent="0.2">
      <c r="B253" s="23" t="s">
        <v>15</v>
      </c>
      <c r="C253" s="24">
        <v>9.2664829999999991</v>
      </c>
      <c r="D253" s="25" t="e">
        <f t="shared" si="3"/>
        <v>#DIV/0!</v>
      </c>
    </row>
  </sheetData>
  <conditionalFormatting sqref="D2:D2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{1399C543-F2D0-0347-ACB6-07961F797830}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99C543-F2D0-0347-ACB6-07961F7978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D2:D253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17C6-79A5-3F41-A14A-51E410616D08}">
  <dimension ref="A1:Y497"/>
  <sheetViews>
    <sheetView topLeftCell="F1" zoomScaleNormal="100" workbookViewId="0">
      <selection activeCell="Y5" sqref="Y5"/>
    </sheetView>
  </sheetViews>
  <sheetFormatPr baseColWidth="10" defaultRowHeight="16" x14ac:dyDescent="0.2"/>
  <cols>
    <col min="1" max="1" width="15.1640625" customWidth="1"/>
    <col min="2" max="2" width="10.1640625" bestFit="1" customWidth="1"/>
    <col min="3" max="3" width="16.1640625" customWidth="1"/>
    <col min="4" max="4" width="13.1640625" customWidth="1"/>
    <col min="6" max="6" width="15.33203125" customWidth="1"/>
    <col min="7" max="9" width="13.83203125" customWidth="1"/>
    <col min="10" max="10" width="16.1640625" customWidth="1"/>
    <col min="11" max="15" width="13.83203125" customWidth="1"/>
    <col min="16" max="16" width="15.5" bestFit="1" customWidth="1"/>
    <col min="21" max="21" width="18.33203125" customWidth="1"/>
    <col min="22" max="22" width="26.83203125" bestFit="1" customWidth="1"/>
    <col min="24" max="24" width="18.83203125" customWidth="1"/>
    <col min="25" max="25" width="18.33203125" customWidth="1"/>
  </cols>
  <sheetData>
    <row r="1" spans="1:25" ht="79" customHeight="1" x14ac:dyDescent="0.2">
      <c r="A1" s="4"/>
      <c r="B1" s="4"/>
      <c r="C1" s="4"/>
      <c r="D1" s="47" t="s">
        <v>13</v>
      </c>
      <c r="E1" s="47"/>
      <c r="F1" s="47"/>
      <c r="G1" s="47"/>
      <c r="H1" s="4"/>
      <c r="I1" s="4"/>
      <c r="J1" s="4"/>
      <c r="K1" s="4"/>
      <c r="L1" s="4"/>
      <c r="M1" s="4"/>
      <c r="N1" s="4"/>
      <c r="O1" s="4"/>
    </row>
    <row r="2" spans="1:25" x14ac:dyDescent="0.2">
      <c r="A2" s="4" t="s">
        <v>12</v>
      </c>
      <c r="B2" s="6" t="s">
        <v>11</v>
      </c>
      <c r="C2" s="4"/>
      <c r="D2" s="4"/>
      <c r="E2" s="4"/>
      <c r="F2" s="4"/>
      <c r="G2" s="4"/>
      <c r="H2" s="4"/>
      <c r="I2" s="4"/>
      <c r="J2" s="4"/>
      <c r="K2" s="4"/>
      <c r="L2" s="29" t="s">
        <v>272</v>
      </c>
      <c r="M2" s="4"/>
      <c r="N2" s="4"/>
      <c r="O2" s="4"/>
      <c r="V2" s="29"/>
    </row>
    <row r="3" spans="1:2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V3" s="30"/>
    </row>
    <row r="4" spans="1:25" x14ac:dyDescent="0.2">
      <c r="A4" s="5" t="s">
        <v>10</v>
      </c>
      <c r="B4" s="10"/>
      <c r="C4" s="10"/>
      <c r="D4" s="10"/>
      <c r="E4" s="10"/>
      <c r="F4" s="10"/>
      <c r="G4" s="10"/>
      <c r="H4" s="10"/>
      <c r="I4" s="10"/>
      <c r="J4" s="10"/>
      <c r="K4" s="34" t="s">
        <v>269</v>
      </c>
      <c r="L4" s="11">
        <f>_xlfn.STDEV.S(L6:L496)</f>
        <v>3.0045982356159188E-2</v>
      </c>
      <c r="M4" s="11">
        <f>_xlfn.STDEV.S(M6:M496)</f>
        <v>2.9321309282964135E-2</v>
      </c>
      <c r="N4" s="35">
        <f>_xlfn.STDEV.S(N6:N496)</f>
        <v>2.4450549084905807E-2</v>
      </c>
      <c r="O4" s="11">
        <f>_xlfn.STDEV.S(O6:O496)</f>
        <v>3.7241515700467548E-2</v>
      </c>
      <c r="P4" s="11">
        <f t="shared" ref="P4:T4" si="0">_xlfn.STDEV.S(P6:P496)</f>
        <v>4.4136992385906425E-2</v>
      </c>
      <c r="Q4" s="11">
        <f t="shared" si="0"/>
        <v>3.3549716989815188E-2</v>
      </c>
      <c r="R4" s="11">
        <f t="shared" si="0"/>
        <v>3.5736885701066541E-2</v>
      </c>
      <c r="S4" s="11">
        <f t="shared" si="0"/>
        <v>2.8871642414367103E-2</v>
      </c>
      <c r="T4" s="11">
        <f t="shared" si="0"/>
        <v>2.8569164632221849E-2</v>
      </c>
      <c r="U4" s="35">
        <f>_xlfn.STDEV.S(U6:U496)</f>
        <v>2.3600739824123335E-2</v>
      </c>
      <c r="V4" s="35">
        <f>_xlfn.STDEV.S(V6:V496)</f>
        <v>2.3229683885344202E-2</v>
      </c>
      <c r="Y4" s="34" t="s">
        <v>274</v>
      </c>
    </row>
    <row r="5" spans="1:25" x14ac:dyDescent="0.2">
      <c r="A5" s="2" t="s">
        <v>9</v>
      </c>
      <c r="B5" s="7" t="s">
        <v>6</v>
      </c>
      <c r="C5" s="7" t="s">
        <v>8</v>
      </c>
      <c r="D5" s="7" t="s">
        <v>4</v>
      </c>
      <c r="E5" s="7" t="s">
        <v>5</v>
      </c>
      <c r="F5" s="28" t="s">
        <v>1</v>
      </c>
      <c r="G5" s="7" t="s">
        <v>3</v>
      </c>
      <c r="H5" s="7" t="s">
        <v>0</v>
      </c>
      <c r="I5" s="7" t="s">
        <v>7</v>
      </c>
      <c r="J5" s="7" t="s">
        <v>2</v>
      </c>
      <c r="L5" s="7" t="s">
        <v>6</v>
      </c>
      <c r="M5" s="7" t="s">
        <v>8</v>
      </c>
      <c r="N5" s="7" t="s">
        <v>4</v>
      </c>
      <c r="O5" s="7" t="s">
        <v>5</v>
      </c>
      <c r="P5" s="28" t="s">
        <v>1</v>
      </c>
      <c r="Q5" s="7" t="s">
        <v>3</v>
      </c>
      <c r="R5" s="7" t="s">
        <v>0</v>
      </c>
      <c r="S5" s="7" t="s">
        <v>7</v>
      </c>
      <c r="T5" s="7" t="s">
        <v>2</v>
      </c>
      <c r="U5" s="33" t="s">
        <v>273</v>
      </c>
      <c r="V5" s="33" t="s">
        <v>275</v>
      </c>
      <c r="X5" s="7" t="s">
        <v>6</v>
      </c>
      <c r="Y5" s="15">
        <v>0.1</v>
      </c>
    </row>
    <row r="6" spans="1:25" x14ac:dyDescent="0.2">
      <c r="A6" s="1">
        <v>44435</v>
      </c>
      <c r="B6" s="3">
        <v>92.389999000000003</v>
      </c>
      <c r="C6" s="3">
        <v>13.94</v>
      </c>
      <c r="D6" s="3">
        <v>26.719999000000001</v>
      </c>
      <c r="E6" s="3">
        <v>58.299999</v>
      </c>
      <c r="F6" s="3">
        <v>5.95</v>
      </c>
      <c r="G6" s="3">
        <v>21.48</v>
      </c>
      <c r="H6" s="3">
        <v>28.49</v>
      </c>
      <c r="I6" s="3">
        <v>29.58</v>
      </c>
      <c r="J6" s="3">
        <v>100.69000200000001</v>
      </c>
      <c r="L6" s="11">
        <f>(B6-B7)/B7</f>
        <v>1.1717028033289641E-2</v>
      </c>
      <c r="M6" s="11">
        <f t="shared" ref="M6:T21" si="1">(C6-C7)/C7</f>
        <v>2.0497803806734945E-2</v>
      </c>
      <c r="N6" s="11">
        <f t="shared" si="1"/>
        <v>1.3272581976769851E-2</v>
      </c>
      <c r="O6" s="11">
        <f t="shared" si="1"/>
        <v>4.1815583306211213E-2</v>
      </c>
      <c r="P6" s="11">
        <f t="shared" si="1"/>
        <v>0</v>
      </c>
      <c r="Q6" s="11">
        <f t="shared" si="1"/>
        <v>1.9458946369245379E-2</v>
      </c>
      <c r="R6" s="11">
        <f t="shared" si="1"/>
        <v>3.6376864314296112E-2</v>
      </c>
      <c r="S6" s="11">
        <f t="shared" si="1"/>
        <v>1.0245867136411631E-2</v>
      </c>
      <c r="T6" s="11">
        <f t="shared" si="1"/>
        <v>2.5043254859719494E-2</v>
      </c>
      <c r="U6" s="11">
        <f>AVERAGE(L6:T6)</f>
        <v>1.9825325533630919E-2</v>
      </c>
      <c r="V6" s="11" cm="1">
        <f t="array" ref="V6">SUMPRODUCT(L6:T6,TRANSPOSE($Y$5:$Y$13))</f>
        <v>2.0347118466239777E-2</v>
      </c>
      <c r="X6" s="7" t="s">
        <v>8</v>
      </c>
      <c r="Y6" s="15">
        <v>0.1</v>
      </c>
    </row>
    <row r="7" spans="1:25" x14ac:dyDescent="0.2">
      <c r="A7" s="1">
        <v>44434</v>
      </c>
      <c r="B7" s="3">
        <v>91.32</v>
      </c>
      <c r="C7" s="3">
        <v>13.66</v>
      </c>
      <c r="D7" s="3">
        <v>26.370000999999998</v>
      </c>
      <c r="E7" s="3">
        <v>55.959999000000003</v>
      </c>
      <c r="F7" s="3">
        <v>5.95</v>
      </c>
      <c r="G7" s="3">
        <v>21.07</v>
      </c>
      <c r="H7" s="3">
        <v>27.49</v>
      </c>
      <c r="I7" s="3">
        <v>29.280000999999999</v>
      </c>
      <c r="J7" s="3">
        <v>98.230002999999996</v>
      </c>
      <c r="L7" s="11">
        <f>(B7-B8)/B8</f>
        <v>-1.4142254587355864E-2</v>
      </c>
      <c r="M7" s="11">
        <f t="shared" si="1"/>
        <v>-2.3588277340957833E-2</v>
      </c>
      <c r="N7" s="11">
        <f t="shared" si="1"/>
        <v>-1.1248556430446316E-2</v>
      </c>
      <c r="O7" s="11">
        <f t="shared" si="1"/>
        <v>-2.7290109982445736E-2</v>
      </c>
      <c r="P7" s="11">
        <f t="shared" si="1"/>
        <v>2.4096385542168773E-2</v>
      </c>
      <c r="Q7" s="11">
        <f t="shared" si="1"/>
        <v>-3.3486194196614388E-2</v>
      </c>
      <c r="R7" s="11">
        <f t="shared" si="1"/>
        <v>-8.6548864046160114E-3</v>
      </c>
      <c r="S7" s="11">
        <f t="shared" si="1"/>
        <v>-2.3999966666666712E-2</v>
      </c>
      <c r="T7" s="11">
        <f t="shared" si="1"/>
        <v>-1.2763788944723655E-2</v>
      </c>
      <c r="U7" s="11">
        <f t="shared" ref="U7:U70" si="2">AVERAGE(L7:T7)</f>
        <v>-1.4564183223517525E-2</v>
      </c>
      <c r="V7" s="11" cm="1">
        <f t="array" ref="V7">SUMPRODUCT(L7:T7,TRANSPOSE($Y$5:$Y$13))</f>
        <v>-1.4384143795638141E-2</v>
      </c>
      <c r="X7" s="7" t="s">
        <v>4</v>
      </c>
      <c r="Y7" s="15">
        <v>0.1</v>
      </c>
    </row>
    <row r="8" spans="1:25" x14ac:dyDescent="0.2">
      <c r="A8" s="1">
        <v>44433</v>
      </c>
      <c r="B8" s="3">
        <v>92.629997000000003</v>
      </c>
      <c r="C8" s="3">
        <v>13.99</v>
      </c>
      <c r="D8" s="3">
        <v>26.67</v>
      </c>
      <c r="E8" s="3">
        <v>57.529998999999997</v>
      </c>
      <c r="F8" s="3">
        <v>5.81</v>
      </c>
      <c r="G8" s="3">
        <v>21.799999</v>
      </c>
      <c r="H8" s="3">
        <v>27.73</v>
      </c>
      <c r="I8" s="3">
        <v>30</v>
      </c>
      <c r="J8" s="3">
        <v>99.5</v>
      </c>
      <c r="L8" s="11">
        <f t="shared" ref="L7:L70" si="3">(B8-B9)/B9</f>
        <v>9.7013191563401074E-3</v>
      </c>
      <c r="M8" s="11">
        <f t="shared" si="1"/>
        <v>6.4748201438848815E-3</v>
      </c>
      <c r="N8" s="11">
        <f t="shared" si="1"/>
        <v>3.8955979742890529E-2</v>
      </c>
      <c r="O8" s="11">
        <f t="shared" si="1"/>
        <v>8.4136723648320644E-3</v>
      </c>
      <c r="P8" s="11">
        <f t="shared" si="1"/>
        <v>-1.0221465076661072E-2</v>
      </c>
      <c r="Q8" s="11">
        <f t="shared" si="1"/>
        <v>-5.9279981760145938E-3</v>
      </c>
      <c r="R8" s="11">
        <f t="shared" si="1"/>
        <v>5.4387237128354655E-3</v>
      </c>
      <c r="S8" s="11">
        <f t="shared" si="1"/>
        <v>-8.5922009253139968E-3</v>
      </c>
      <c r="T8" s="11">
        <f t="shared" si="1"/>
        <v>-2.1060977044037106E-3</v>
      </c>
      <c r="U8" s="11">
        <f t="shared" si="2"/>
        <v>4.6818614709321863E-3</v>
      </c>
      <c r="V8" s="11" cm="1">
        <f t="array" ref="V8">SUMPRODUCT(L8:T8,TRANSPOSE($Y$5:$Y$13))</f>
        <v>4.0030655533985944E-3</v>
      </c>
      <c r="X8" s="7" t="s">
        <v>5</v>
      </c>
      <c r="Y8" s="15">
        <v>0.1</v>
      </c>
    </row>
    <row r="9" spans="1:25" x14ac:dyDescent="0.2">
      <c r="A9" s="1">
        <v>44432</v>
      </c>
      <c r="B9" s="3">
        <v>91.739998</v>
      </c>
      <c r="C9" s="3">
        <v>13.9</v>
      </c>
      <c r="D9" s="3">
        <v>25.67</v>
      </c>
      <c r="E9" s="3">
        <v>57.049999</v>
      </c>
      <c r="F9" s="3">
        <v>5.87</v>
      </c>
      <c r="G9" s="3">
        <v>21.93</v>
      </c>
      <c r="H9" s="3">
        <v>27.58</v>
      </c>
      <c r="I9" s="3">
        <v>30.26</v>
      </c>
      <c r="J9" s="3">
        <v>99.709998999999996</v>
      </c>
      <c r="L9" s="11">
        <f t="shared" si="3"/>
        <v>1.6509673130193907E-2</v>
      </c>
      <c r="M9" s="11">
        <f t="shared" si="1"/>
        <v>1.8315018315018316E-2</v>
      </c>
      <c r="N9" s="11">
        <f t="shared" si="1"/>
        <v>1.9864918553833929E-2</v>
      </c>
      <c r="O9" s="11">
        <f t="shared" si="1"/>
        <v>1.0987045897572214E-2</v>
      </c>
      <c r="P9" s="11">
        <f t="shared" si="1"/>
        <v>0.11809523809523811</v>
      </c>
      <c r="Q9" s="11">
        <f t="shared" si="1"/>
        <v>3.1514581373471219E-2</v>
      </c>
      <c r="R9" s="11">
        <f t="shared" si="1"/>
        <v>2.0725388601036222E-2</v>
      </c>
      <c r="S9" s="11">
        <f t="shared" si="1"/>
        <v>3.2060027285129647E-2</v>
      </c>
      <c r="T9" s="11">
        <f t="shared" si="1"/>
        <v>3.6486508414340181E-2</v>
      </c>
      <c r="U9" s="11">
        <f t="shared" si="2"/>
        <v>3.3839822185092641E-2</v>
      </c>
      <c r="V9" s="11" cm="1">
        <f t="array" ref="V9">SUMPRODUCT(L9:T9,TRANSPOSE($Y$5:$Y$13))</f>
        <v>3.4104490808017397E-2</v>
      </c>
      <c r="X9" s="7" t="s">
        <v>1</v>
      </c>
      <c r="Y9" s="15">
        <v>0.1</v>
      </c>
    </row>
    <row r="10" spans="1:25" x14ac:dyDescent="0.2">
      <c r="A10" s="1">
        <v>44431</v>
      </c>
      <c r="B10" s="3">
        <v>90.25</v>
      </c>
      <c r="C10" s="3">
        <v>13.65</v>
      </c>
      <c r="D10" s="3">
        <v>25.17</v>
      </c>
      <c r="E10" s="3">
        <v>56.43</v>
      </c>
      <c r="F10" s="3">
        <v>5.25</v>
      </c>
      <c r="G10" s="3">
        <v>21.26</v>
      </c>
      <c r="H10" s="3">
        <v>27.02</v>
      </c>
      <c r="I10" s="3">
        <v>29.32</v>
      </c>
      <c r="J10" s="3">
        <v>96.199996999999996</v>
      </c>
      <c r="L10" s="11">
        <f t="shared" si="3"/>
        <v>-1.659314122581553E-3</v>
      </c>
      <c r="M10" s="11">
        <f t="shared" si="1"/>
        <v>-3.8732394366197111E-2</v>
      </c>
      <c r="N10" s="11">
        <f t="shared" si="1"/>
        <v>2.2754936092851081E-2</v>
      </c>
      <c r="O10" s="11">
        <f t="shared" si="1"/>
        <v>-3.9162268006129701E-2</v>
      </c>
      <c r="P10" s="11">
        <f t="shared" si="1"/>
        <v>-6.0822898032200333E-2</v>
      </c>
      <c r="Q10" s="11">
        <f t="shared" si="1"/>
        <v>-2.0276542844398889E-2</v>
      </c>
      <c r="R10" s="11">
        <f t="shared" si="1"/>
        <v>1.5789473684210457E-2</v>
      </c>
      <c r="S10" s="11">
        <f t="shared" si="1"/>
        <v>-1.112984822934227E-2</v>
      </c>
      <c r="T10" s="11">
        <f t="shared" si="1"/>
        <v>-1.3839117975219412E-2</v>
      </c>
      <c r="U10" s="11">
        <f t="shared" si="2"/>
        <v>-1.6341997088778634E-2</v>
      </c>
      <c r="V10" s="11" cm="1">
        <f t="array" ref="V10">SUMPRODUCT(L10:T10,TRANSPOSE($Y$5:$Y$13))</f>
        <v>-1.6091709177422715E-2</v>
      </c>
      <c r="X10" s="7" t="s">
        <v>3</v>
      </c>
      <c r="Y10" s="15">
        <v>0.1</v>
      </c>
    </row>
    <row r="11" spans="1:25" x14ac:dyDescent="0.2">
      <c r="A11" s="1">
        <v>44428</v>
      </c>
      <c r="B11" s="3">
        <v>90.400002000000001</v>
      </c>
      <c r="C11" s="3">
        <v>14.2</v>
      </c>
      <c r="D11" s="3">
        <v>24.610001</v>
      </c>
      <c r="E11" s="3">
        <v>58.73</v>
      </c>
      <c r="F11" s="3">
        <v>5.59</v>
      </c>
      <c r="G11" s="3">
        <v>21.700001</v>
      </c>
      <c r="H11" s="3">
        <v>26.6</v>
      </c>
      <c r="I11" s="3">
        <v>29.65</v>
      </c>
      <c r="J11" s="3">
        <v>97.550003000000004</v>
      </c>
      <c r="L11" s="11">
        <f t="shared" si="3"/>
        <v>1.3452971304472179E-2</v>
      </c>
      <c r="M11" s="11">
        <f t="shared" si="1"/>
        <v>1.4104372355429884E-3</v>
      </c>
      <c r="N11" s="11">
        <f t="shared" si="1"/>
        <v>2.9707154811715562E-2</v>
      </c>
      <c r="O11" s="11">
        <f t="shared" si="1"/>
        <v>1.0147936191054866E-2</v>
      </c>
      <c r="P11" s="11">
        <f t="shared" si="1"/>
        <v>-3.5650623885918825E-3</v>
      </c>
      <c r="Q11" s="11">
        <f t="shared" si="1"/>
        <v>8.833147373314679E-3</v>
      </c>
      <c r="R11" s="11">
        <f t="shared" si="1"/>
        <v>-1.5014640203251555E-3</v>
      </c>
      <c r="S11" s="11">
        <f t="shared" si="1"/>
        <v>4.0350877192982408E-2</v>
      </c>
      <c r="T11" s="11">
        <f t="shared" si="1"/>
        <v>4.1022458393554054E-4</v>
      </c>
      <c r="U11" s="11">
        <f t="shared" si="2"/>
        <v>1.1027358031566799E-2</v>
      </c>
      <c r="V11" s="11" cm="1">
        <f t="array" ref="V11">SUMPRODUCT(L11:T11,TRANSPOSE($Y$5:$Y$13))</f>
        <v>9.9656446868036739E-3</v>
      </c>
      <c r="X11" s="7" t="s">
        <v>0</v>
      </c>
      <c r="Y11" s="15">
        <v>0.1</v>
      </c>
    </row>
    <row r="12" spans="1:25" x14ac:dyDescent="0.2">
      <c r="A12" s="1">
        <v>44427</v>
      </c>
      <c r="B12" s="3">
        <v>89.199996999999996</v>
      </c>
      <c r="C12" s="3">
        <v>14.18</v>
      </c>
      <c r="D12" s="3">
        <v>23.9</v>
      </c>
      <c r="E12" s="3">
        <v>58.139999000000003</v>
      </c>
      <c r="F12" s="3">
        <v>5.61</v>
      </c>
      <c r="G12" s="3">
        <v>21.51</v>
      </c>
      <c r="H12" s="3">
        <v>26.639999</v>
      </c>
      <c r="I12" s="3">
        <v>28.5</v>
      </c>
      <c r="J12" s="3">
        <v>97.510002</v>
      </c>
      <c r="L12" s="11">
        <f t="shared" si="3"/>
        <v>1.5945261414170936E-2</v>
      </c>
      <c r="M12" s="11">
        <f t="shared" si="1"/>
        <v>4.7267355982274786E-2</v>
      </c>
      <c r="N12" s="11">
        <f t="shared" si="1"/>
        <v>-1.3212180562022434E-2</v>
      </c>
      <c r="O12" s="11">
        <f t="shared" si="1"/>
        <v>5.3070096958342625E-2</v>
      </c>
      <c r="P12" s="11">
        <f t="shared" si="1"/>
        <v>3.6968576709796704E-2</v>
      </c>
      <c r="Q12" s="11">
        <f t="shared" si="1"/>
        <v>8.911819887429704E-3</v>
      </c>
      <c r="R12" s="11">
        <f t="shared" si="1"/>
        <v>-5.5991785890564406E-3</v>
      </c>
      <c r="S12" s="11">
        <f t="shared" si="1"/>
        <v>1.0638262034104172E-2</v>
      </c>
      <c r="T12" s="11">
        <f t="shared" si="1"/>
        <v>-5.7054460610986929E-2</v>
      </c>
      <c r="U12" s="11">
        <f t="shared" si="2"/>
        <v>1.0770617024894791E-2</v>
      </c>
      <c r="V12" s="11" cm="1">
        <f t="array" ref="V12">SUMPRODUCT(L12:T12,TRANSPOSE($Y$5:$Y$13))</f>
        <v>3.9881092613066205E-3</v>
      </c>
      <c r="X12" s="7" t="s">
        <v>7</v>
      </c>
      <c r="Y12" s="15">
        <v>0.1</v>
      </c>
    </row>
    <row r="13" spans="1:25" x14ac:dyDescent="0.2">
      <c r="A13" s="1">
        <v>44426</v>
      </c>
      <c r="B13" s="3">
        <v>87.800003000000004</v>
      </c>
      <c r="C13" s="3">
        <v>13.54</v>
      </c>
      <c r="D13" s="3">
        <v>24.219999000000001</v>
      </c>
      <c r="E13" s="3">
        <v>55.209999000000003</v>
      </c>
      <c r="F13" s="3">
        <v>5.41</v>
      </c>
      <c r="G13" s="3">
        <v>21.32</v>
      </c>
      <c r="H13" s="3">
        <v>26.790001</v>
      </c>
      <c r="I13" s="3">
        <v>28.200001</v>
      </c>
      <c r="J13" s="3">
        <v>103.410004</v>
      </c>
      <c r="L13" s="11">
        <f t="shared" si="3"/>
        <v>2.5120003993606963E-3</v>
      </c>
      <c r="M13" s="11">
        <f t="shared" si="1"/>
        <v>-2.0260492040521067E-2</v>
      </c>
      <c r="N13" s="11">
        <f t="shared" si="1"/>
        <v>-3.8507422052106999E-2</v>
      </c>
      <c r="O13" s="11">
        <f t="shared" si="1"/>
        <v>1.1172179896416919E-2</v>
      </c>
      <c r="P13" s="11">
        <f t="shared" si="1"/>
        <v>0</v>
      </c>
      <c r="Q13" s="11">
        <f t="shared" si="1"/>
        <v>-1.2505789717461769E-2</v>
      </c>
      <c r="R13" s="11">
        <f t="shared" si="1"/>
        <v>-8.8790229789484088E-3</v>
      </c>
      <c r="S13" s="11">
        <f t="shared" si="1"/>
        <v>-7.0422183098590944E-3</v>
      </c>
      <c r="T13" s="11">
        <f t="shared" si="1"/>
        <v>-3.3551364485981304E-2</v>
      </c>
      <c r="U13" s="11">
        <f t="shared" si="2"/>
        <v>-1.1895792143233448E-2</v>
      </c>
      <c r="V13" s="11" cm="1">
        <f t="array" ref="V13">SUMPRODUCT(L13:T13,TRANSPOSE($Y$5:$Y$13))</f>
        <v>-1.4061349377508234E-2</v>
      </c>
      <c r="X13" s="7" t="s">
        <v>2</v>
      </c>
      <c r="Y13" s="36">
        <v>0.2</v>
      </c>
    </row>
    <row r="14" spans="1:25" x14ac:dyDescent="0.2">
      <c r="A14" s="1">
        <v>44425</v>
      </c>
      <c r="B14" s="3">
        <v>87.580001999999993</v>
      </c>
      <c r="C14" s="3">
        <v>13.82</v>
      </c>
      <c r="D14" s="3">
        <v>25.190000999999999</v>
      </c>
      <c r="E14" s="3">
        <v>54.599997999999999</v>
      </c>
      <c r="F14" s="3">
        <v>5.41</v>
      </c>
      <c r="G14" s="3">
        <v>21.59</v>
      </c>
      <c r="H14" s="3">
        <v>27.030000999999999</v>
      </c>
      <c r="I14" s="3">
        <v>28.4</v>
      </c>
      <c r="J14" s="3">
        <v>107</v>
      </c>
      <c r="L14" s="11">
        <f t="shared" si="3"/>
        <v>-2.363428172689909E-2</v>
      </c>
      <c r="M14" s="11">
        <f t="shared" si="1"/>
        <v>-1.1444921316165962E-2</v>
      </c>
      <c r="N14" s="11">
        <f t="shared" si="1"/>
        <v>-5.5270035530990743E-3</v>
      </c>
      <c r="O14" s="11">
        <f t="shared" si="1"/>
        <v>-2.6737968867663775E-2</v>
      </c>
      <c r="P14" s="11">
        <f t="shared" si="1"/>
        <v>-3.9076376554174022E-2</v>
      </c>
      <c r="Q14" s="11">
        <f t="shared" si="1"/>
        <v>-2.2634676324128564E-2</v>
      </c>
      <c r="R14" s="11">
        <f t="shared" si="1"/>
        <v>-5.621501592929528E-2</v>
      </c>
      <c r="S14" s="11">
        <f t="shared" si="1"/>
        <v>-2.0689655172413841E-2</v>
      </c>
      <c r="T14" s="11">
        <f t="shared" si="1"/>
        <v>-1.6544144764407808E-2</v>
      </c>
      <c r="U14" s="11">
        <f t="shared" si="2"/>
        <v>-2.4722671578694157E-2</v>
      </c>
      <c r="V14" s="11" cm="1">
        <f t="array" ref="V14">SUMPRODUCT(L14:T14,TRANSPOSE($Y$5:$Y$13))</f>
        <v>-2.3904818897265524E-2</v>
      </c>
    </row>
    <row r="15" spans="1:25" x14ac:dyDescent="0.2">
      <c r="A15" s="1">
        <v>44424</v>
      </c>
      <c r="B15" s="3">
        <v>89.699996999999996</v>
      </c>
      <c r="C15" s="3">
        <v>13.98</v>
      </c>
      <c r="D15" s="3">
        <v>25.33</v>
      </c>
      <c r="E15" s="3">
        <v>56.099997999999999</v>
      </c>
      <c r="F15" s="3">
        <v>5.63</v>
      </c>
      <c r="G15" s="3">
        <v>22.09</v>
      </c>
      <c r="H15" s="3">
        <v>28.639999</v>
      </c>
      <c r="I15" s="3">
        <v>29</v>
      </c>
      <c r="J15" s="3">
        <v>108.800003</v>
      </c>
      <c r="L15" s="11">
        <f t="shared" si="3"/>
        <v>-1.9028925655535423E-2</v>
      </c>
      <c r="M15" s="11">
        <f t="shared" si="1"/>
        <v>-4.5081967213114763E-2</v>
      </c>
      <c r="N15" s="11">
        <f t="shared" si="1"/>
        <v>4.7600557223345576E-3</v>
      </c>
      <c r="O15" s="11">
        <f t="shared" si="1"/>
        <v>-2.3498746327262919E-2</v>
      </c>
      <c r="P15" s="11">
        <f t="shared" si="1"/>
        <v>-5.6951423785594618E-2</v>
      </c>
      <c r="Q15" s="11">
        <f t="shared" si="1"/>
        <v>-1.73487544483986E-2</v>
      </c>
      <c r="R15" s="11">
        <f t="shared" si="1"/>
        <v>-2.4190834752981324E-2</v>
      </c>
      <c r="S15" s="11">
        <f t="shared" si="1"/>
        <v>-2.2911051212937995E-2</v>
      </c>
      <c r="T15" s="11">
        <f t="shared" si="1"/>
        <v>4.6168050429324552E-3</v>
      </c>
      <c r="U15" s="11">
        <f t="shared" si="2"/>
        <v>-2.2181649181173175E-2</v>
      </c>
      <c r="V15" s="11" cm="1">
        <f t="array" ref="V15">SUMPRODUCT(L15:T15,TRANSPOSE($Y$5:$Y$13))</f>
        <v>-1.950180375876262E-2</v>
      </c>
      <c r="Y15" s="15">
        <f>SUM(Y5:Y13)</f>
        <v>1</v>
      </c>
    </row>
    <row r="16" spans="1:25" x14ac:dyDescent="0.2">
      <c r="A16" s="1">
        <v>44421</v>
      </c>
      <c r="B16" s="3">
        <v>91.440002000000007</v>
      </c>
      <c r="C16" s="3">
        <v>14.64</v>
      </c>
      <c r="D16" s="3">
        <v>25.209999</v>
      </c>
      <c r="E16" s="3">
        <v>57.450001</v>
      </c>
      <c r="F16" s="3">
        <v>5.97</v>
      </c>
      <c r="G16" s="3">
        <v>22.48</v>
      </c>
      <c r="H16" s="3">
        <v>29.35</v>
      </c>
      <c r="I16" s="3">
        <v>29.68</v>
      </c>
      <c r="J16" s="3">
        <v>108.300003</v>
      </c>
      <c r="L16" s="11">
        <f t="shared" si="3"/>
        <v>-1.4442735659007678E-2</v>
      </c>
      <c r="M16" s="11">
        <f t="shared" si="1"/>
        <v>5.3995680345572353E-2</v>
      </c>
      <c r="N16" s="11">
        <f t="shared" si="1"/>
        <v>2.3133117821960963E-2</v>
      </c>
      <c r="O16" s="11">
        <f t="shared" si="1"/>
        <v>-1.0676752195625968E-2</v>
      </c>
      <c r="P16" s="11">
        <f t="shared" si="1"/>
        <v>-9.1324200913242087E-2</v>
      </c>
      <c r="Q16" s="11">
        <f t="shared" si="1"/>
        <v>-3.5460551217223377E-3</v>
      </c>
      <c r="R16" s="11">
        <f t="shared" si="1"/>
        <v>8.5910652920962189E-3</v>
      </c>
      <c r="S16" s="11">
        <f t="shared" si="1"/>
        <v>2.2742935906271543E-2</v>
      </c>
      <c r="T16" s="11">
        <f t="shared" si="1"/>
        <v>-8.2417035231236533E-3</v>
      </c>
      <c r="U16" s="11">
        <f t="shared" si="2"/>
        <v>-2.196516449646739E-3</v>
      </c>
      <c r="V16" s="11" cm="1">
        <f t="array" ref="V16">SUMPRODUCT(L16:T16,TRANSPOSE($Y$5:$Y$13))</f>
        <v>-2.8010351569944299E-3</v>
      </c>
    </row>
    <row r="17" spans="1:22" x14ac:dyDescent="0.2">
      <c r="A17" s="1">
        <v>44420</v>
      </c>
      <c r="B17" s="3">
        <v>92.779999000000004</v>
      </c>
      <c r="C17" s="3">
        <v>13.89</v>
      </c>
      <c r="D17" s="3">
        <v>24.639999</v>
      </c>
      <c r="E17" s="3">
        <v>58.07</v>
      </c>
      <c r="F17" s="3">
        <v>6.57</v>
      </c>
      <c r="G17" s="3">
        <v>22.559999000000001</v>
      </c>
      <c r="H17" s="3">
        <v>29.1</v>
      </c>
      <c r="I17" s="3">
        <v>29.02</v>
      </c>
      <c r="J17" s="3">
        <v>109.199997</v>
      </c>
      <c r="L17" s="11">
        <f t="shared" si="3"/>
        <v>8.6974991727278728E-3</v>
      </c>
      <c r="M17" s="11">
        <f t="shared" si="1"/>
        <v>-7.7076411960132901E-2</v>
      </c>
      <c r="N17" s="11">
        <f t="shared" si="1"/>
        <v>-1.163261131167269E-2</v>
      </c>
      <c r="O17" s="11">
        <f t="shared" si="1"/>
        <v>1.1848771769450582E-2</v>
      </c>
      <c r="P17" s="11">
        <f t="shared" si="1"/>
        <v>1.8604651162790715E-2</v>
      </c>
      <c r="Q17" s="11">
        <f t="shared" si="1"/>
        <v>-1.9556757931334216E-2</v>
      </c>
      <c r="R17" s="11">
        <f t="shared" si="1"/>
        <v>1.4998256016742229E-2</v>
      </c>
      <c r="S17" s="11">
        <f t="shared" si="1"/>
        <v>2.798441374424368E-2</v>
      </c>
      <c r="T17" s="11">
        <f t="shared" si="1"/>
        <v>-6.4061500797888175E-4</v>
      </c>
      <c r="U17" s="11">
        <f t="shared" si="2"/>
        <v>-2.9747560383515128E-3</v>
      </c>
      <c r="V17" s="11" cm="1">
        <f t="array" ref="V17">SUMPRODUCT(L17:T17,TRANSPOSE($Y$5:$Y$13))</f>
        <v>-2.7413419353142488E-3</v>
      </c>
    </row>
    <row r="18" spans="1:22" x14ac:dyDescent="0.2">
      <c r="A18" s="1">
        <v>44419</v>
      </c>
      <c r="B18" s="3">
        <v>91.980002999999996</v>
      </c>
      <c r="C18" s="3">
        <v>15.05</v>
      </c>
      <c r="D18" s="3">
        <v>24.93</v>
      </c>
      <c r="E18" s="3">
        <v>57.389999000000003</v>
      </c>
      <c r="F18" s="3">
        <v>6.45</v>
      </c>
      <c r="G18" s="3">
        <v>23.01</v>
      </c>
      <c r="H18" s="3">
        <v>28.67</v>
      </c>
      <c r="I18" s="3">
        <v>28.23</v>
      </c>
      <c r="J18" s="3">
        <v>109.269997</v>
      </c>
      <c r="L18" s="11">
        <f t="shared" si="3"/>
        <v>-1.3028773355674009E-3</v>
      </c>
      <c r="M18" s="11">
        <f t="shared" si="1"/>
        <v>-2.9658284977433856E-2</v>
      </c>
      <c r="N18" s="11">
        <f t="shared" si="1"/>
        <v>-5.9808612440190824E-3</v>
      </c>
      <c r="O18" s="11">
        <f t="shared" si="1"/>
        <v>-6.9651749956462861E-4</v>
      </c>
      <c r="P18" s="11">
        <f t="shared" si="1"/>
        <v>4.6728971962617209E-3</v>
      </c>
      <c r="Q18" s="11">
        <f t="shared" si="1"/>
        <v>-3.4647033347768859E-3</v>
      </c>
      <c r="R18" s="11">
        <f t="shared" si="1"/>
        <v>1.3790628932438974E-2</v>
      </c>
      <c r="S18" s="11">
        <f t="shared" si="1"/>
        <v>-9.4736842105263008E-3</v>
      </c>
      <c r="T18" s="11">
        <f t="shared" si="1"/>
        <v>-7.1779121784100843E-3</v>
      </c>
      <c r="U18" s="11">
        <f t="shared" si="2"/>
        <v>-4.3657016279552829E-3</v>
      </c>
      <c r="V18" s="11" cm="1">
        <f t="array" ref="V18">SUMPRODUCT(L18:T18,TRANSPOSE($Y$5:$Y$13))</f>
        <v>-4.6469226830007631E-3</v>
      </c>
    </row>
    <row r="19" spans="1:22" x14ac:dyDescent="0.2">
      <c r="A19" s="1">
        <v>44418</v>
      </c>
      <c r="B19" s="3">
        <v>92.099997999999999</v>
      </c>
      <c r="C19" s="3">
        <v>15.51</v>
      </c>
      <c r="D19" s="3">
        <v>25.08</v>
      </c>
      <c r="E19" s="3">
        <v>57.43</v>
      </c>
      <c r="F19" s="3">
        <v>6.42</v>
      </c>
      <c r="G19" s="3">
        <v>23.09</v>
      </c>
      <c r="H19" s="3">
        <v>28.280000999999999</v>
      </c>
      <c r="I19" s="3">
        <v>28.5</v>
      </c>
      <c r="J19" s="3">
        <v>110.05999799999999</v>
      </c>
      <c r="L19" s="11">
        <f t="shared" si="3"/>
        <v>-8.6114529900656114E-3</v>
      </c>
      <c r="M19" s="11">
        <f t="shared" si="1"/>
        <v>-1.6487000634115397E-2</v>
      </c>
      <c r="N19" s="11">
        <f t="shared" si="1"/>
        <v>-1.1947829074161393E-3</v>
      </c>
      <c r="O19" s="11">
        <f t="shared" si="1"/>
        <v>-1.9965836858902276E-2</v>
      </c>
      <c r="P19" s="11">
        <f t="shared" si="1"/>
        <v>-2.727272727272723E-2</v>
      </c>
      <c r="Q19" s="11">
        <f t="shared" si="1"/>
        <v>-1.9949024615833023E-2</v>
      </c>
      <c r="R19" s="11">
        <f t="shared" si="1"/>
        <v>3.1926213837310561E-3</v>
      </c>
      <c r="S19" s="11">
        <f t="shared" si="1"/>
        <v>-1.9607843137254912E-2</v>
      </c>
      <c r="T19" s="11">
        <f t="shared" si="1"/>
        <v>9.6321069694136237E-3</v>
      </c>
      <c r="U19" s="11">
        <f t="shared" si="2"/>
        <v>-1.1140437784796656E-2</v>
      </c>
      <c r="V19" s="11" cm="1">
        <f t="array" ref="V19">SUMPRODUCT(L19:T19,TRANSPOSE($Y$5:$Y$13))</f>
        <v>-9.06318330937563E-3</v>
      </c>
    </row>
    <row r="20" spans="1:22" x14ac:dyDescent="0.2">
      <c r="A20" s="1">
        <v>44417</v>
      </c>
      <c r="B20" s="3">
        <v>92.900002000000001</v>
      </c>
      <c r="C20" s="3">
        <v>15.77</v>
      </c>
      <c r="D20" s="3">
        <v>25.110001</v>
      </c>
      <c r="E20" s="3">
        <v>58.599997999999999</v>
      </c>
      <c r="F20" s="3">
        <v>6.6</v>
      </c>
      <c r="G20" s="3">
        <v>23.559999000000001</v>
      </c>
      <c r="H20" s="3">
        <v>28.190000999999999</v>
      </c>
      <c r="I20" s="3">
        <v>29.07</v>
      </c>
      <c r="J20" s="3">
        <v>109.010002</v>
      </c>
      <c r="L20" s="11">
        <f t="shared" si="3"/>
        <v>-7.4785899033886598E-3</v>
      </c>
      <c r="M20" s="11">
        <f t="shared" si="1"/>
        <v>-8.1761006289308661E-3</v>
      </c>
      <c r="N20" s="11">
        <f t="shared" si="1"/>
        <v>2.7414074164726989E-2</v>
      </c>
      <c r="O20" s="11">
        <f t="shared" si="1"/>
        <v>6.0085493562231649E-3</v>
      </c>
      <c r="P20" s="11">
        <f t="shared" si="1"/>
        <v>-1.7857142857142873E-2</v>
      </c>
      <c r="Q20" s="11">
        <f t="shared" si="1"/>
        <v>1.5517154503570966E-2</v>
      </c>
      <c r="R20" s="11">
        <f t="shared" si="1"/>
        <v>-7.0446638620875182E-3</v>
      </c>
      <c r="S20" s="11">
        <f t="shared" si="1"/>
        <v>-2.7444253859347616E-3</v>
      </c>
      <c r="T20" s="11">
        <f t="shared" si="1"/>
        <v>-6.2898360881449809E-3</v>
      </c>
      <c r="U20" s="11">
        <f t="shared" si="2"/>
        <v>-7.233118901206019E-5</v>
      </c>
      <c r="V20" s="11" cm="1">
        <f t="array" ref="V20">SUMPRODUCT(L20:T20,TRANSPOSE($Y$5:$Y$13))</f>
        <v>-6.9408167892535174E-4</v>
      </c>
    </row>
    <row r="21" spans="1:22" x14ac:dyDescent="0.2">
      <c r="A21" s="1">
        <v>44414</v>
      </c>
      <c r="B21" s="3">
        <v>93.599997999999999</v>
      </c>
      <c r="C21" s="3">
        <v>15.9</v>
      </c>
      <c r="D21" s="3">
        <v>24.440000999999999</v>
      </c>
      <c r="E21" s="3">
        <v>58.25</v>
      </c>
      <c r="F21" s="3">
        <v>6.72</v>
      </c>
      <c r="G21" s="3">
        <v>23.200001</v>
      </c>
      <c r="H21" s="3">
        <v>28.389999</v>
      </c>
      <c r="I21" s="3">
        <v>29.15</v>
      </c>
      <c r="J21" s="3">
        <v>109.699997</v>
      </c>
      <c r="L21" s="11">
        <f t="shared" si="3"/>
        <v>1.7391282608695647E-2</v>
      </c>
      <c r="M21" s="11">
        <f t="shared" si="1"/>
        <v>1.209420751113937E-2</v>
      </c>
      <c r="N21" s="11">
        <f t="shared" si="1"/>
        <v>-1.0526315363307134E-2</v>
      </c>
      <c r="O21" s="11">
        <f t="shared" si="1"/>
        <v>-4.2735042735042739E-3</v>
      </c>
      <c r="P21" s="11">
        <f t="shared" si="1"/>
        <v>0</v>
      </c>
      <c r="Q21" s="11">
        <f t="shared" si="1"/>
        <v>-1.2913904433921699E-3</v>
      </c>
      <c r="R21" s="11">
        <f t="shared" si="1"/>
        <v>1.4108994708994045E-3</v>
      </c>
      <c r="S21" s="11">
        <f t="shared" si="1"/>
        <v>5.8661145617666718E-3</v>
      </c>
      <c r="T21" s="11">
        <f t="shared" si="1"/>
        <v>5.6838557813741423E-3</v>
      </c>
      <c r="U21" s="11">
        <f t="shared" si="2"/>
        <v>2.9283499837412953E-3</v>
      </c>
      <c r="V21" s="11" cm="1">
        <f t="array" ref="V21">SUMPRODUCT(L21:T21,TRANSPOSE($Y$5:$Y$13))</f>
        <v>3.2039005635045802E-3</v>
      </c>
    </row>
    <row r="22" spans="1:22" x14ac:dyDescent="0.2">
      <c r="A22" s="1">
        <v>44413</v>
      </c>
      <c r="B22" s="3">
        <v>92</v>
      </c>
      <c r="C22" s="3">
        <v>15.71</v>
      </c>
      <c r="D22" s="3">
        <v>24.700001</v>
      </c>
      <c r="E22" s="3">
        <v>58.5</v>
      </c>
      <c r="F22" s="3">
        <v>6.72</v>
      </c>
      <c r="G22" s="3">
        <v>23.23</v>
      </c>
      <c r="H22" s="3">
        <v>28.35</v>
      </c>
      <c r="I22" s="3">
        <v>28.98</v>
      </c>
      <c r="J22" s="3">
        <v>109.08000199999999</v>
      </c>
      <c r="L22" s="11">
        <f t="shared" si="3"/>
        <v>2.2878199990432101E-3</v>
      </c>
      <c r="M22" s="11">
        <f t="shared" ref="M22:M85" si="4">(C22-C23)/C23</f>
        <v>-1.4429109159347468E-2</v>
      </c>
      <c r="N22" s="11">
        <f t="shared" ref="N22:N85" si="5">(D22-D23)/D23</f>
        <v>-1.1999959999999987E-2</v>
      </c>
      <c r="O22" s="11">
        <f t="shared" ref="O22:O85" si="6">(E22-E23)/E23</f>
        <v>-1.1156186612576008E-2</v>
      </c>
      <c r="P22" s="11">
        <f t="shared" ref="P22:P85" si="7">(F22-F23)/F23</f>
        <v>-1.7543859649122823E-2</v>
      </c>
      <c r="Q22" s="11">
        <f t="shared" ref="Q22:Q85" si="8">(G22-G23)/G23</f>
        <v>-1.19098256061251E-2</v>
      </c>
      <c r="R22" s="11">
        <f t="shared" ref="R22:R85" si="9">(H22-H23)/H23</f>
        <v>7.8767082238695607E-2</v>
      </c>
      <c r="S22" s="11">
        <f t="shared" ref="S22:S85" si="10">(I22-I23)/I23</f>
        <v>-1.7223905710508996E-3</v>
      </c>
      <c r="T22" s="11">
        <f t="shared" ref="T22:T85" si="11">(J22-J23)/J23</f>
        <v>-3.057229907320394E-2</v>
      </c>
      <c r="U22" s="11">
        <f t="shared" si="2"/>
        <v>-2.0309698259652689E-3</v>
      </c>
      <c r="V22" s="11" cm="1">
        <f t="array" ref="V22">SUMPRODUCT(L22:T22,TRANSPOSE($Y$5:$Y$13))</f>
        <v>-4.8851027506891338E-3</v>
      </c>
    </row>
    <row r="23" spans="1:22" x14ac:dyDescent="0.2">
      <c r="A23" s="1">
        <v>44412</v>
      </c>
      <c r="B23" s="3">
        <v>91.790001000000004</v>
      </c>
      <c r="C23" s="3">
        <v>15.94</v>
      </c>
      <c r="D23" s="3">
        <v>25</v>
      </c>
      <c r="E23" s="3">
        <v>59.16</v>
      </c>
      <c r="F23" s="3">
        <v>6.84</v>
      </c>
      <c r="G23" s="3">
        <v>23.51</v>
      </c>
      <c r="H23" s="3">
        <v>26.280000999999999</v>
      </c>
      <c r="I23" s="3">
        <v>29.030000999999999</v>
      </c>
      <c r="J23" s="3">
        <v>112.519997</v>
      </c>
      <c r="L23" s="11">
        <f t="shared" si="3"/>
        <v>-2.6078235641402094E-3</v>
      </c>
      <c r="M23" s="11">
        <f t="shared" si="4"/>
        <v>-4.372267332917055E-3</v>
      </c>
      <c r="N23" s="11">
        <f t="shared" si="5"/>
        <v>2.0824826459779566E-2</v>
      </c>
      <c r="O23" s="11">
        <f t="shared" si="6"/>
        <v>-3.1909686926694707E-2</v>
      </c>
      <c r="P23" s="11">
        <f t="shared" si="7"/>
        <v>-2.7027027027027081E-2</v>
      </c>
      <c r="Q23" s="11">
        <f t="shared" si="8"/>
        <v>-1.218483244474078E-2</v>
      </c>
      <c r="R23" s="11">
        <f t="shared" si="9"/>
        <v>-2.1229013035381855E-2</v>
      </c>
      <c r="S23" s="11">
        <f t="shared" si="10"/>
        <v>-2.5838859927478558E-2</v>
      </c>
      <c r="T23" s="11">
        <f t="shared" si="11"/>
        <v>-1.0653586742308077E-3</v>
      </c>
      <c r="U23" s="11">
        <f t="shared" si="2"/>
        <v>-1.1712226941425721E-2</v>
      </c>
      <c r="V23" s="11" cm="1">
        <f t="array" ref="V23">SUMPRODUCT(L23:T23,TRANSPOSE($Y$5:$Y$13))</f>
        <v>-1.0647540114706229E-2</v>
      </c>
    </row>
    <row r="24" spans="1:22" x14ac:dyDescent="0.2">
      <c r="A24" s="1">
        <v>44411</v>
      </c>
      <c r="B24" s="3">
        <v>92.029999000000004</v>
      </c>
      <c r="C24" s="3">
        <v>16.010000000000002</v>
      </c>
      <c r="D24" s="3">
        <v>24.49</v>
      </c>
      <c r="E24" s="3">
        <v>61.110000999999997</v>
      </c>
      <c r="F24" s="3">
        <v>7.03</v>
      </c>
      <c r="G24" s="3">
        <v>23.799999</v>
      </c>
      <c r="H24" s="3">
        <v>26.85</v>
      </c>
      <c r="I24" s="3">
        <v>29.799999</v>
      </c>
      <c r="J24" s="3">
        <v>112.639999</v>
      </c>
      <c r="L24" s="11">
        <f t="shared" si="3"/>
        <v>-5.4303865023797005E-4</v>
      </c>
      <c r="M24" s="11">
        <f t="shared" si="4"/>
        <v>2.4967989756722302E-2</v>
      </c>
      <c r="N24" s="11">
        <f t="shared" si="5"/>
        <v>3.6885245901639289E-3</v>
      </c>
      <c r="O24" s="11">
        <f t="shared" si="6"/>
        <v>-9.8082396536947319E-4</v>
      </c>
      <c r="P24" s="11">
        <f t="shared" si="7"/>
        <v>-3.3012379642365794E-2</v>
      </c>
      <c r="Q24" s="11">
        <f t="shared" si="8"/>
        <v>-9.1590757701915035E-3</v>
      </c>
      <c r="R24" s="11">
        <f t="shared" si="9"/>
        <v>1.6660355925785734E-2</v>
      </c>
      <c r="S24" s="11">
        <f t="shared" si="10"/>
        <v>-2.8999738383846878E-2</v>
      </c>
      <c r="T24" s="11">
        <f t="shared" si="11"/>
        <v>3.4058560543468244E-2</v>
      </c>
      <c r="U24" s="11">
        <f t="shared" si="2"/>
        <v>7.4226382268095456E-4</v>
      </c>
      <c r="V24" s="11" cm="1">
        <f t="array" ref="V24">SUMPRODUCT(L24:T24,TRANSPOSE($Y$5:$Y$13))</f>
        <v>4.0738934947596832E-3</v>
      </c>
    </row>
    <row r="25" spans="1:22" x14ac:dyDescent="0.2">
      <c r="A25" s="1">
        <v>44410</v>
      </c>
      <c r="B25" s="3">
        <v>92.080001999999993</v>
      </c>
      <c r="C25" s="3">
        <v>15.62</v>
      </c>
      <c r="D25" s="3">
        <v>24.4</v>
      </c>
      <c r="E25" s="3">
        <v>61.169998</v>
      </c>
      <c r="F25" s="3">
        <v>7.27</v>
      </c>
      <c r="G25" s="3">
        <v>24.02</v>
      </c>
      <c r="H25" s="3">
        <v>26.41</v>
      </c>
      <c r="I25" s="3">
        <v>30.690000999999999</v>
      </c>
      <c r="J25" s="3">
        <v>108.93</v>
      </c>
      <c r="L25" s="11">
        <f t="shared" si="3"/>
        <v>1.7233816302490483E-2</v>
      </c>
      <c r="M25" s="11">
        <f t="shared" si="4"/>
        <v>2.4262295081967162E-2</v>
      </c>
      <c r="N25" s="11">
        <f t="shared" si="5"/>
        <v>-8.5331569064138555E-3</v>
      </c>
      <c r="O25" s="11">
        <f t="shared" si="6"/>
        <v>-1.5768366346955241E-2</v>
      </c>
      <c r="P25" s="11">
        <f t="shared" si="7"/>
        <v>2.5387870239774291E-2</v>
      </c>
      <c r="Q25" s="11">
        <f t="shared" si="8"/>
        <v>2.8693790149892852E-2</v>
      </c>
      <c r="R25" s="11">
        <f t="shared" si="9"/>
        <v>-1.858045336306206E-2</v>
      </c>
      <c r="S25" s="11">
        <f t="shared" si="10"/>
        <v>1.9940212695247553E-2</v>
      </c>
      <c r="T25" s="11">
        <f t="shared" si="11"/>
        <v>1.563056241944596E-3</v>
      </c>
      <c r="U25" s="11">
        <f t="shared" si="2"/>
        <v>8.2443404549873093E-3</v>
      </c>
      <c r="V25" s="11" cm="1">
        <f t="array" ref="V25">SUMPRODUCT(L25:T25,TRANSPOSE($Y$5:$Y$13))</f>
        <v>7.5762120336830378E-3</v>
      </c>
    </row>
    <row r="26" spans="1:22" x14ac:dyDescent="0.2">
      <c r="A26" s="1">
        <v>44407</v>
      </c>
      <c r="B26" s="3">
        <v>90.519997000000004</v>
      </c>
      <c r="C26" s="3">
        <v>15.25</v>
      </c>
      <c r="D26" s="3">
        <v>24.610001</v>
      </c>
      <c r="E26" s="3">
        <v>62.150002000000001</v>
      </c>
      <c r="F26" s="3">
        <v>7.09</v>
      </c>
      <c r="G26" s="3">
        <v>23.35</v>
      </c>
      <c r="H26" s="3">
        <v>26.91</v>
      </c>
      <c r="I26" s="3">
        <v>30.09</v>
      </c>
      <c r="J26" s="3">
        <v>108.760002</v>
      </c>
      <c r="L26" s="11">
        <f t="shared" si="3"/>
        <v>-2.1934153800081457E-2</v>
      </c>
      <c r="M26" s="11">
        <f t="shared" si="4"/>
        <v>-3.5420619860847595E-2</v>
      </c>
      <c r="N26" s="11">
        <f t="shared" si="5"/>
        <v>-2.3025009010519622E-2</v>
      </c>
      <c r="O26" s="11">
        <f t="shared" si="6"/>
        <v>-7.3632349001779618E-2</v>
      </c>
      <c r="P26" s="11">
        <f t="shared" si="7"/>
        <v>-4.1891891891891957E-2</v>
      </c>
      <c r="Q26" s="11">
        <f t="shared" si="8"/>
        <v>-3.3526490066225115E-2</v>
      </c>
      <c r="R26" s="11">
        <f t="shared" si="9"/>
        <v>-3.2362424752334619E-2</v>
      </c>
      <c r="S26" s="11">
        <f t="shared" si="10"/>
        <v>-2.2734685848175201E-2</v>
      </c>
      <c r="T26" s="11">
        <f t="shared" si="11"/>
        <v>-5.8925309336332901E-2</v>
      </c>
      <c r="U26" s="11">
        <f t="shared" si="2"/>
        <v>-3.8161437063132006E-2</v>
      </c>
      <c r="V26" s="11" cm="1">
        <f t="array" ref="V26">SUMPRODUCT(L26:T26,TRANSPOSE($Y$5:$Y$13))</f>
        <v>-4.0237824290452098E-2</v>
      </c>
    </row>
    <row r="27" spans="1:22" x14ac:dyDescent="0.2">
      <c r="A27" s="1">
        <v>44406</v>
      </c>
      <c r="B27" s="3">
        <v>92.550003000000004</v>
      </c>
      <c r="C27" s="3">
        <v>15.81</v>
      </c>
      <c r="D27" s="3">
        <v>25.190000999999999</v>
      </c>
      <c r="E27" s="3">
        <v>67.089995999999999</v>
      </c>
      <c r="F27" s="3">
        <v>7.4</v>
      </c>
      <c r="G27" s="3">
        <v>24.16</v>
      </c>
      <c r="H27" s="3">
        <v>27.809999000000001</v>
      </c>
      <c r="I27" s="3">
        <v>30.790001</v>
      </c>
      <c r="J27" s="3">
        <v>115.57</v>
      </c>
      <c r="L27" s="11">
        <f t="shared" si="3"/>
        <v>-8.4636065336878251E-3</v>
      </c>
      <c r="M27" s="11">
        <f t="shared" si="4"/>
        <v>-1.8939393939393537E-3</v>
      </c>
      <c r="N27" s="11">
        <f t="shared" si="5"/>
        <v>-5.5270035530990743E-3</v>
      </c>
      <c r="O27" s="11">
        <f t="shared" si="6"/>
        <v>1.4363426283087729E-2</v>
      </c>
      <c r="P27" s="11">
        <f t="shared" si="7"/>
        <v>-9.3708165997321811E-3</v>
      </c>
      <c r="Q27" s="11">
        <f t="shared" si="8"/>
        <v>5.3641517662450955E-2</v>
      </c>
      <c r="R27" s="11">
        <f t="shared" si="9"/>
        <v>3.6088056156191642E-3</v>
      </c>
      <c r="S27" s="11">
        <f t="shared" si="10"/>
        <v>-1.0286081315137221E-2</v>
      </c>
      <c r="T27" s="11">
        <f t="shared" si="11"/>
        <v>-1.4748533297139051E-2</v>
      </c>
      <c r="U27" s="11">
        <f t="shared" si="2"/>
        <v>2.3693076520470155E-3</v>
      </c>
      <c r="V27" s="11" cm="1">
        <f t="array" ref="V27">SUMPRODUCT(L27:T27,TRANSPOSE($Y$5:$Y$13))</f>
        <v>6.5752355712840995E-4</v>
      </c>
    </row>
    <row r="28" spans="1:22" x14ac:dyDescent="0.2">
      <c r="A28" s="1">
        <v>44405</v>
      </c>
      <c r="B28" s="3">
        <v>93.339995999999999</v>
      </c>
      <c r="C28" s="3">
        <v>15.84</v>
      </c>
      <c r="D28" s="3">
        <v>25.33</v>
      </c>
      <c r="E28" s="3">
        <v>66.139999000000003</v>
      </c>
      <c r="F28" s="3">
        <v>7.47</v>
      </c>
      <c r="G28" s="3">
        <v>22.93</v>
      </c>
      <c r="H28" s="3">
        <v>27.709999</v>
      </c>
      <c r="I28" s="3">
        <v>31.110001</v>
      </c>
      <c r="J28" s="3">
        <v>117.300003</v>
      </c>
      <c r="L28" s="11">
        <f t="shared" si="3"/>
        <v>-5.5402194167886026E-3</v>
      </c>
      <c r="M28" s="11">
        <f t="shared" si="4"/>
        <v>-1.6149068322981464E-2</v>
      </c>
      <c r="N28" s="11">
        <f t="shared" si="5"/>
        <v>-3.5405192761606375E-3</v>
      </c>
      <c r="O28" s="11">
        <f t="shared" si="6"/>
        <v>-1.0028424188846558E-2</v>
      </c>
      <c r="P28" s="11">
        <f t="shared" si="7"/>
        <v>1.340482573726513E-3</v>
      </c>
      <c r="Q28" s="11">
        <f t="shared" si="8"/>
        <v>-1.3065767119589207E-3</v>
      </c>
      <c r="R28" s="11">
        <f t="shared" si="9"/>
        <v>2.0626114180478869E-2</v>
      </c>
      <c r="S28" s="11">
        <f t="shared" si="10"/>
        <v>5.1696282659247778E-3</v>
      </c>
      <c r="T28" s="11">
        <f t="shared" si="11"/>
        <v>2.732530215449288E-2</v>
      </c>
      <c r="U28" s="11">
        <f t="shared" si="2"/>
        <v>1.9885243619874285E-3</v>
      </c>
      <c r="V28" s="11" cm="1">
        <f t="array" ref="V28">SUMPRODUCT(L28:T28,TRANSPOSE($Y$5:$Y$13))</f>
        <v>4.5222021412379739E-3</v>
      </c>
    </row>
    <row r="29" spans="1:22" x14ac:dyDescent="0.2">
      <c r="A29" s="1">
        <v>44404</v>
      </c>
      <c r="B29" s="3">
        <v>93.860000999999997</v>
      </c>
      <c r="C29" s="3">
        <v>16.100000000000001</v>
      </c>
      <c r="D29" s="3">
        <v>25.42</v>
      </c>
      <c r="E29" s="3">
        <v>66.809997999999993</v>
      </c>
      <c r="F29" s="3">
        <v>7.46</v>
      </c>
      <c r="G29" s="3">
        <v>22.959999</v>
      </c>
      <c r="H29" s="3">
        <v>27.15</v>
      </c>
      <c r="I29" s="3">
        <v>30.950001</v>
      </c>
      <c r="J29" s="3">
        <v>114.18</v>
      </c>
      <c r="L29" s="11">
        <f t="shared" si="3"/>
        <v>-2.5033718449165493E-2</v>
      </c>
      <c r="M29" s="11">
        <f t="shared" si="4"/>
        <v>-1.8890920170627587E-2</v>
      </c>
      <c r="N29" s="11">
        <f t="shared" si="5"/>
        <v>-1.9668337832626226E-2</v>
      </c>
      <c r="O29" s="11">
        <f t="shared" si="6"/>
        <v>-1.7788871704890113E-2</v>
      </c>
      <c r="P29" s="11">
        <f t="shared" si="7"/>
        <v>-2.0997375328084007E-2</v>
      </c>
      <c r="Q29" s="11">
        <f t="shared" si="8"/>
        <v>-2.8353788758095237E-2</v>
      </c>
      <c r="R29" s="11">
        <f t="shared" si="9"/>
        <v>-1.1649035735312651E-2</v>
      </c>
      <c r="S29" s="11">
        <f t="shared" si="10"/>
        <v>-2.3967140459386312E-2</v>
      </c>
      <c r="T29" s="11">
        <f t="shared" si="11"/>
        <v>-2.0754700184471637E-2</v>
      </c>
      <c r="U29" s="11">
        <f t="shared" si="2"/>
        <v>-2.0789320958073249E-2</v>
      </c>
      <c r="V29" s="11" cm="1">
        <f t="array" ref="V29">SUMPRODUCT(L29:T29,TRANSPOSE($Y$5:$Y$13))</f>
        <v>-2.078585888071309E-2</v>
      </c>
    </row>
    <row r="30" spans="1:22" x14ac:dyDescent="0.2">
      <c r="A30" s="1">
        <v>44403</v>
      </c>
      <c r="B30" s="3">
        <v>96.269997000000004</v>
      </c>
      <c r="C30" s="3">
        <v>16.41</v>
      </c>
      <c r="D30" s="3">
        <v>25.93</v>
      </c>
      <c r="E30" s="3">
        <v>68.019997000000004</v>
      </c>
      <c r="F30" s="3">
        <v>7.62</v>
      </c>
      <c r="G30" s="3">
        <v>23.629999000000002</v>
      </c>
      <c r="H30" s="3">
        <v>27.469999000000001</v>
      </c>
      <c r="I30" s="3">
        <v>31.709999</v>
      </c>
      <c r="J30" s="3">
        <v>116.599998</v>
      </c>
      <c r="L30" s="11">
        <f t="shared" si="3"/>
        <v>-1.4939178913153137E-2</v>
      </c>
      <c r="M30" s="11">
        <f t="shared" si="4"/>
        <v>3.6697247706421231E-3</v>
      </c>
      <c r="N30" s="11">
        <f t="shared" si="5"/>
        <v>1.0916179337232013E-2</v>
      </c>
      <c r="O30" s="11">
        <f t="shared" si="6"/>
        <v>-4.3911446135829861E-3</v>
      </c>
      <c r="P30" s="11">
        <f t="shared" si="7"/>
        <v>-2.5575447570332501E-2</v>
      </c>
      <c r="Q30" s="11">
        <f t="shared" si="8"/>
        <v>-3.374103895997562E-3</v>
      </c>
      <c r="R30" s="11">
        <f t="shared" si="9"/>
        <v>2.7299887808526664E-2</v>
      </c>
      <c r="S30" s="11">
        <f t="shared" si="10"/>
        <v>1.5792482627921566E-3</v>
      </c>
      <c r="T30" s="11">
        <f t="shared" si="11"/>
        <v>2.1731466305692285E-2</v>
      </c>
      <c r="U30" s="11">
        <f t="shared" si="2"/>
        <v>1.8796257213132281E-3</v>
      </c>
      <c r="V30" s="11" cm="1">
        <f t="array" ref="V30">SUMPRODUCT(L30:T30,TRANSPOSE($Y$5:$Y$13))</f>
        <v>3.8648097797511338E-3</v>
      </c>
    </row>
    <row r="31" spans="1:22" x14ac:dyDescent="0.2">
      <c r="A31" s="1">
        <v>44400</v>
      </c>
      <c r="B31" s="3">
        <v>97.730002999999996</v>
      </c>
      <c r="C31" s="3">
        <v>16.350000000000001</v>
      </c>
      <c r="D31" s="3">
        <v>25.65</v>
      </c>
      <c r="E31" s="3">
        <v>68.319999999999993</v>
      </c>
      <c r="F31" s="3">
        <v>7.82</v>
      </c>
      <c r="G31" s="3">
        <v>23.709999</v>
      </c>
      <c r="H31" s="3">
        <v>26.74</v>
      </c>
      <c r="I31" s="3">
        <v>31.66</v>
      </c>
      <c r="J31" s="3">
        <v>114.120003</v>
      </c>
      <c r="L31" s="11">
        <f t="shared" si="3"/>
        <v>-3.9747247052163313E-3</v>
      </c>
      <c r="M31" s="11">
        <f t="shared" si="4"/>
        <v>-9.0909090909090055E-3</v>
      </c>
      <c r="N31" s="11">
        <f t="shared" si="5"/>
        <v>-4.6565774155995733E-3</v>
      </c>
      <c r="O31" s="11">
        <f t="shared" si="6"/>
        <v>2.9278183194207739E-4</v>
      </c>
      <c r="P31" s="11">
        <f t="shared" si="7"/>
        <v>-2.5510204081632109E-3</v>
      </c>
      <c r="Q31" s="11">
        <f t="shared" si="8"/>
        <v>-2.3073794808405428E-2</v>
      </c>
      <c r="R31" s="11">
        <f t="shared" si="9"/>
        <v>-5.9479553903345785E-3</v>
      </c>
      <c r="S31" s="11">
        <f t="shared" si="10"/>
        <v>-1.8915196056595476E-3</v>
      </c>
      <c r="T31" s="11">
        <f t="shared" si="11"/>
        <v>-5.056617394680483E-3</v>
      </c>
      <c r="U31" s="11">
        <f t="shared" si="2"/>
        <v>-6.2167041096695642E-3</v>
      </c>
      <c r="V31" s="11" cm="1">
        <f t="array" ref="V31">SUMPRODUCT(L31:T31,TRANSPOSE($Y$5:$Y$13))</f>
        <v>-6.1006954381706575E-3</v>
      </c>
    </row>
    <row r="32" spans="1:22" x14ac:dyDescent="0.2">
      <c r="A32" s="1">
        <v>44399</v>
      </c>
      <c r="B32" s="3">
        <v>98.120002999999997</v>
      </c>
      <c r="C32" s="3">
        <v>16.5</v>
      </c>
      <c r="D32" s="3">
        <v>25.77</v>
      </c>
      <c r="E32" s="3">
        <v>68.300003000000004</v>
      </c>
      <c r="F32" s="3">
        <v>7.84</v>
      </c>
      <c r="G32" s="3">
        <v>24.27</v>
      </c>
      <c r="H32" s="3">
        <v>26.9</v>
      </c>
      <c r="I32" s="3">
        <v>31.719999000000001</v>
      </c>
      <c r="J32" s="3">
        <v>114.699997</v>
      </c>
      <c r="L32" s="11">
        <f t="shared" si="3"/>
        <v>1.3531711879593303E-2</v>
      </c>
      <c r="M32" s="11">
        <f t="shared" si="4"/>
        <v>9.1743119266054166E-3</v>
      </c>
      <c r="N32" s="11">
        <f t="shared" si="5"/>
        <v>7.033997655334104E-3</v>
      </c>
      <c r="O32" s="11">
        <f t="shared" si="6"/>
        <v>2.2302126097953345E-2</v>
      </c>
      <c r="P32" s="11">
        <f t="shared" si="7"/>
        <v>-7.5949367088608225E-3</v>
      </c>
      <c r="Q32" s="11">
        <f t="shared" si="8"/>
        <v>4.1220115416314965E-4</v>
      </c>
      <c r="R32" s="11">
        <f t="shared" si="9"/>
        <v>-2.2254822783933058E-3</v>
      </c>
      <c r="S32" s="11">
        <f t="shared" si="10"/>
        <v>-9.6784267773469233E-3</v>
      </c>
      <c r="T32" s="11">
        <f t="shared" si="11"/>
        <v>2.6223338702388798E-3</v>
      </c>
      <c r="U32" s="11">
        <f t="shared" si="2"/>
        <v>3.9530929799207921E-3</v>
      </c>
      <c r="V32" s="11" cm="1">
        <f t="array" ref="V32">SUMPRODUCT(L32:T32,TRANSPOSE($Y$5:$Y$13))</f>
        <v>3.8200170689526025E-3</v>
      </c>
    </row>
    <row r="33" spans="1:22" x14ac:dyDescent="0.2">
      <c r="A33" s="1">
        <v>44398</v>
      </c>
      <c r="B33" s="3">
        <v>96.809997999999993</v>
      </c>
      <c r="C33" s="3">
        <v>16.350000000000001</v>
      </c>
      <c r="D33" s="3">
        <v>25.59</v>
      </c>
      <c r="E33" s="3">
        <v>66.809997999999993</v>
      </c>
      <c r="F33" s="3">
        <v>7.9</v>
      </c>
      <c r="G33" s="3">
        <v>24.26</v>
      </c>
      <c r="H33" s="3">
        <v>26.959999</v>
      </c>
      <c r="I33" s="3">
        <v>32.029998999999997</v>
      </c>
      <c r="J33" s="3">
        <v>114.400002</v>
      </c>
      <c r="L33" s="11">
        <f t="shared" si="3"/>
        <v>-4.3197057188201805E-3</v>
      </c>
      <c r="M33" s="11">
        <f t="shared" si="4"/>
        <v>-4.2630937880633541E-3</v>
      </c>
      <c r="N33" s="11">
        <f t="shared" si="5"/>
        <v>-1.5769230769230775E-2</v>
      </c>
      <c r="O33" s="11">
        <f t="shared" si="6"/>
        <v>-1.0222251851851953E-2</v>
      </c>
      <c r="P33" s="11">
        <f t="shared" si="7"/>
        <v>-5.1620648259303688E-2</v>
      </c>
      <c r="Q33" s="11">
        <f t="shared" si="8"/>
        <v>-3.6960985626283307E-3</v>
      </c>
      <c r="R33" s="11">
        <f t="shared" si="9"/>
        <v>1.3914968033095148E-2</v>
      </c>
      <c r="S33" s="11">
        <f t="shared" si="10"/>
        <v>-7.4372792066937261E-3</v>
      </c>
      <c r="T33" s="11">
        <f t="shared" si="11"/>
        <v>1.1494288443754008E-2</v>
      </c>
      <c r="U33" s="11">
        <f t="shared" si="2"/>
        <v>-7.9910057421936475E-3</v>
      </c>
      <c r="V33" s="11" cm="1">
        <f t="array" ref="V33">SUMPRODUCT(L33:T33,TRANSPOSE($Y$5:$Y$13))</f>
        <v>-6.0424763235988844E-3</v>
      </c>
    </row>
    <row r="34" spans="1:22" x14ac:dyDescent="0.2">
      <c r="A34" s="1">
        <v>44397</v>
      </c>
      <c r="B34" s="3">
        <v>97.230002999999996</v>
      </c>
      <c r="C34" s="3">
        <v>16.420000000000002</v>
      </c>
      <c r="D34" s="3">
        <v>26</v>
      </c>
      <c r="E34" s="3">
        <v>67.5</v>
      </c>
      <c r="F34" s="3">
        <v>8.33</v>
      </c>
      <c r="G34" s="3">
        <v>24.35</v>
      </c>
      <c r="H34" s="3">
        <v>26.59</v>
      </c>
      <c r="I34" s="3">
        <v>32.270000000000003</v>
      </c>
      <c r="J34" s="3">
        <v>113.099998</v>
      </c>
      <c r="L34" s="11">
        <f t="shared" si="3"/>
        <v>-9.4743374297336456E-3</v>
      </c>
      <c r="M34" s="11">
        <f t="shared" si="4"/>
        <v>6.0938452163324575E-4</v>
      </c>
      <c r="N34" s="11">
        <f t="shared" si="5"/>
        <v>1.2461059190031164E-2</v>
      </c>
      <c r="O34" s="11">
        <f t="shared" si="6"/>
        <v>3.7174721189591076E-3</v>
      </c>
      <c r="P34" s="11">
        <f t="shared" si="7"/>
        <v>5.4430379746835407E-2</v>
      </c>
      <c r="Q34" s="11">
        <f t="shared" si="8"/>
        <v>1.8828451882845307E-2</v>
      </c>
      <c r="R34" s="11">
        <f t="shared" si="9"/>
        <v>1.3338414634146397E-2</v>
      </c>
      <c r="S34" s="11">
        <f t="shared" si="10"/>
        <v>1.0331840628308196E-2</v>
      </c>
      <c r="T34" s="11">
        <f t="shared" si="11"/>
        <v>8.3808306568890524E-3</v>
      </c>
      <c r="U34" s="11">
        <f t="shared" si="2"/>
        <v>1.2513721772212692E-2</v>
      </c>
      <c r="V34" s="11" cm="1">
        <f t="array" ref="V34">SUMPRODUCT(L34:T34,TRANSPOSE($Y$5:$Y$13))</f>
        <v>1.2100432660680331E-2</v>
      </c>
    </row>
    <row r="35" spans="1:22" x14ac:dyDescent="0.2">
      <c r="A35" s="1">
        <v>44396</v>
      </c>
      <c r="B35" s="3">
        <v>98.160004000000001</v>
      </c>
      <c r="C35" s="3">
        <v>16.41</v>
      </c>
      <c r="D35" s="3">
        <v>25.68</v>
      </c>
      <c r="E35" s="3">
        <v>67.25</v>
      </c>
      <c r="F35" s="3">
        <v>7.9</v>
      </c>
      <c r="G35" s="3">
        <v>23.9</v>
      </c>
      <c r="H35" s="3">
        <v>26.24</v>
      </c>
      <c r="I35" s="3">
        <v>31.940000999999999</v>
      </c>
      <c r="J35" s="3">
        <v>112.160004</v>
      </c>
      <c r="L35" s="11">
        <f t="shared" si="3"/>
        <v>-1.4160851662147159E-2</v>
      </c>
      <c r="M35" s="11">
        <f t="shared" si="4"/>
        <v>-1.0849909584086782E-2</v>
      </c>
      <c r="N35" s="11">
        <f t="shared" si="5"/>
        <v>-1.2307692307692318E-2</v>
      </c>
      <c r="O35" s="11">
        <f t="shared" si="6"/>
        <v>-6.6469279164073853E-3</v>
      </c>
      <c r="P35" s="11">
        <f t="shared" si="7"/>
        <v>-8.7759709902968677E-2</v>
      </c>
      <c r="Q35" s="11">
        <f t="shared" si="8"/>
        <v>-1.1170872983036951E-2</v>
      </c>
      <c r="R35" s="11">
        <f t="shared" si="9"/>
        <v>-1.649175412293858E-2</v>
      </c>
      <c r="S35" s="11">
        <f t="shared" si="10"/>
        <v>-8.6902542305943645E-3</v>
      </c>
      <c r="T35" s="11">
        <f t="shared" si="11"/>
        <v>-1.093472643854098E-2</v>
      </c>
      <c r="U35" s="11">
        <f t="shared" si="2"/>
        <v>-1.9890299905379244E-2</v>
      </c>
      <c r="V35" s="11" cm="1">
        <f t="array" ref="V35">SUMPRODUCT(L35:T35,TRANSPOSE($Y$5:$Y$13))</f>
        <v>-1.8994742558695422E-2</v>
      </c>
    </row>
    <row r="36" spans="1:22" x14ac:dyDescent="0.2">
      <c r="A36" s="1">
        <v>44393</v>
      </c>
      <c r="B36" s="3">
        <v>99.57</v>
      </c>
      <c r="C36" s="3">
        <v>16.59</v>
      </c>
      <c r="D36" s="3">
        <v>26</v>
      </c>
      <c r="E36" s="3">
        <v>67.699996999999996</v>
      </c>
      <c r="F36" s="3">
        <v>8.6599989999999991</v>
      </c>
      <c r="G36" s="3">
        <v>24.17</v>
      </c>
      <c r="H36" s="3">
        <v>26.68</v>
      </c>
      <c r="I36" s="3">
        <v>32.220001000000003</v>
      </c>
      <c r="J36" s="3">
        <v>113.400002</v>
      </c>
      <c r="L36" s="11">
        <f t="shared" si="3"/>
        <v>-1.2300347431809293E-2</v>
      </c>
      <c r="M36" s="11">
        <f t="shared" si="4"/>
        <v>-2.4117647058823539E-2</v>
      </c>
      <c r="N36" s="11">
        <f t="shared" si="5"/>
        <v>-1.103084781168324E-2</v>
      </c>
      <c r="O36" s="11">
        <f t="shared" si="6"/>
        <v>-1.4699490826655377E-2</v>
      </c>
      <c r="P36" s="11">
        <f t="shared" si="7"/>
        <v>1.5055882583572933E-2</v>
      </c>
      <c r="Q36" s="11">
        <f t="shared" si="8"/>
        <v>-1.1451983171697972E-2</v>
      </c>
      <c r="R36" s="11">
        <f t="shared" si="9"/>
        <v>-1.4771048744460806E-2</v>
      </c>
      <c r="S36" s="11">
        <f t="shared" si="10"/>
        <v>-2.1560856361979845E-2</v>
      </c>
      <c r="T36" s="11">
        <f t="shared" si="11"/>
        <v>-1.801178512265882E-2</v>
      </c>
      <c r="U36" s="11">
        <f t="shared" si="2"/>
        <v>-1.254312488291066E-2</v>
      </c>
      <c r="V36" s="11" cm="1">
        <f t="array" ref="V36">SUMPRODUCT(L36:T36,TRANSPOSE($Y$5:$Y$13))</f>
        <v>-1.3089990906885479E-2</v>
      </c>
    </row>
    <row r="37" spans="1:22" x14ac:dyDescent="0.2">
      <c r="A37" s="1">
        <v>44392</v>
      </c>
      <c r="B37" s="3">
        <v>100.80999799999999</v>
      </c>
      <c r="C37" s="3">
        <v>17</v>
      </c>
      <c r="D37" s="3">
        <v>26.290001</v>
      </c>
      <c r="E37" s="3">
        <v>68.709998999999996</v>
      </c>
      <c r="F37" s="3">
        <v>8.531549</v>
      </c>
      <c r="G37" s="3">
        <v>24.450001</v>
      </c>
      <c r="H37" s="3">
        <v>27.08</v>
      </c>
      <c r="I37" s="3">
        <v>32.93</v>
      </c>
      <c r="J37" s="3">
        <v>115.480003</v>
      </c>
      <c r="L37" s="11">
        <f t="shared" si="3"/>
        <v>1.3573285879482032E-2</v>
      </c>
      <c r="M37" s="11">
        <f t="shared" si="4"/>
        <v>-7.0094037961795962E-3</v>
      </c>
      <c r="N37" s="11">
        <f t="shared" si="5"/>
        <v>-1.5355804668321928E-2</v>
      </c>
      <c r="O37" s="11">
        <f t="shared" si="6"/>
        <v>1.8955525839734306E-3</v>
      </c>
      <c r="P37" s="11">
        <f t="shared" si="7"/>
        <v>-2.4632977608130043E-2</v>
      </c>
      <c r="Q37" s="11">
        <f t="shared" si="8"/>
        <v>-1.9647152379825426E-2</v>
      </c>
      <c r="R37" s="11">
        <f t="shared" si="9"/>
        <v>-2.1322732200939769E-2</v>
      </c>
      <c r="S37" s="11">
        <f t="shared" si="10"/>
        <v>-2.8040170364811982E-2</v>
      </c>
      <c r="T37" s="11">
        <f t="shared" si="11"/>
        <v>3.1271715654837104E-3</v>
      </c>
      <c r="U37" s="11">
        <f t="shared" si="2"/>
        <v>-1.0823581221029954E-2</v>
      </c>
      <c r="V37" s="11" cm="1">
        <f t="array" ref="V37">SUMPRODUCT(L37:T37,TRANSPOSE($Y$5:$Y$13))</f>
        <v>-9.4285059423785868E-3</v>
      </c>
    </row>
    <row r="38" spans="1:22" x14ac:dyDescent="0.2">
      <c r="A38" s="1">
        <v>44391</v>
      </c>
      <c r="B38" s="3">
        <v>99.459998999999996</v>
      </c>
      <c r="C38" s="3">
        <v>17.120000999999998</v>
      </c>
      <c r="D38" s="3">
        <v>26.700001</v>
      </c>
      <c r="E38" s="3">
        <v>68.580001999999993</v>
      </c>
      <c r="F38" s="3">
        <v>8.7470140000000001</v>
      </c>
      <c r="G38" s="3">
        <v>24.940000999999999</v>
      </c>
      <c r="H38" s="3">
        <v>27.67</v>
      </c>
      <c r="I38" s="3">
        <v>33.880001</v>
      </c>
      <c r="J38" s="3">
        <v>115.120003</v>
      </c>
      <c r="L38" s="11">
        <f t="shared" si="3"/>
        <v>2.3988490393961334E-2</v>
      </c>
      <c r="M38" s="11">
        <f t="shared" si="4"/>
        <v>1.0029497933362845E-2</v>
      </c>
      <c r="N38" s="11">
        <f t="shared" si="5"/>
        <v>-1.4396419342930953E-2</v>
      </c>
      <c r="O38" s="11">
        <f t="shared" si="6"/>
        <v>3.6421400526564715E-2</v>
      </c>
      <c r="P38" s="11">
        <f t="shared" si="7"/>
        <v>-1.124122092240515E-2</v>
      </c>
      <c r="Q38" s="11">
        <f t="shared" si="8"/>
        <v>1.8790890522875747E-2</v>
      </c>
      <c r="R38" s="11">
        <f t="shared" si="9"/>
        <v>-8.2437275985661959E-3</v>
      </c>
      <c r="S38" s="11">
        <f t="shared" si="10"/>
        <v>4.1493477089895583E-3</v>
      </c>
      <c r="T38" s="11">
        <f t="shared" si="11"/>
        <v>-5.4427386609071536E-3</v>
      </c>
      <c r="U38" s="11">
        <f t="shared" si="2"/>
        <v>6.0061689512160834E-3</v>
      </c>
      <c r="V38" s="11" cm="1">
        <f t="array" ref="V38">SUMPRODUCT(L38:T38,TRANSPOSE($Y$5:$Y$13))</f>
        <v>4.8612781900037594E-3</v>
      </c>
    </row>
    <row r="39" spans="1:22" x14ac:dyDescent="0.2">
      <c r="A39" s="1">
        <v>44390</v>
      </c>
      <c r="B39" s="3">
        <v>97.129997000000003</v>
      </c>
      <c r="C39" s="3">
        <v>16.950001</v>
      </c>
      <c r="D39" s="3">
        <v>27.09</v>
      </c>
      <c r="E39" s="3">
        <v>66.169998000000007</v>
      </c>
      <c r="F39" s="3">
        <v>8.8464589999999994</v>
      </c>
      <c r="G39" s="3">
        <v>24.48</v>
      </c>
      <c r="H39" s="3">
        <v>27.9</v>
      </c>
      <c r="I39" s="3">
        <v>33.740001999999997</v>
      </c>
      <c r="J39" s="3">
        <v>115.75</v>
      </c>
      <c r="L39" s="11">
        <f t="shared" si="3"/>
        <v>5.2783480041912858E-3</v>
      </c>
      <c r="M39" s="11">
        <f t="shared" si="4"/>
        <v>1.436277763990294E-2</v>
      </c>
      <c r="N39" s="11">
        <f t="shared" si="5"/>
        <v>-2.2099447513811684E-3</v>
      </c>
      <c r="O39" s="11">
        <f t="shared" si="6"/>
        <v>9.0753288598513027E-4</v>
      </c>
      <c r="P39" s="11">
        <f t="shared" si="7"/>
        <v>2.055458253223293E-2</v>
      </c>
      <c r="Q39" s="11">
        <f t="shared" si="8"/>
        <v>2.8571471788717332E-2</v>
      </c>
      <c r="R39" s="11">
        <f t="shared" si="9"/>
        <v>6.1305445366028905E-3</v>
      </c>
      <c r="S39" s="11">
        <f t="shared" si="10"/>
        <v>1.6265089871533335E-2</v>
      </c>
      <c r="T39" s="11">
        <f t="shared" si="11"/>
        <v>5.9094464239159367E-3</v>
      </c>
      <c r="U39" s="11">
        <f t="shared" si="2"/>
        <v>1.0641094325744513E-2</v>
      </c>
      <c r="V39" s="11" cm="1">
        <f t="array" ref="V39">SUMPRODUCT(L39:T39,TRANSPOSE($Y$5:$Y$13))</f>
        <v>1.0167929535561655E-2</v>
      </c>
    </row>
    <row r="40" spans="1:22" x14ac:dyDescent="0.2">
      <c r="A40" s="1">
        <v>44389</v>
      </c>
      <c r="B40" s="3">
        <v>96.620002999999997</v>
      </c>
      <c r="C40" s="3">
        <v>16.709999</v>
      </c>
      <c r="D40" s="3">
        <v>27.15</v>
      </c>
      <c r="E40" s="3">
        <v>66.110000999999997</v>
      </c>
      <c r="F40" s="3">
        <v>8.6682860000000002</v>
      </c>
      <c r="G40" s="3">
        <v>23.799999</v>
      </c>
      <c r="H40" s="3">
        <v>27.73</v>
      </c>
      <c r="I40" s="3">
        <v>33.200001</v>
      </c>
      <c r="J40" s="3">
        <v>115.07</v>
      </c>
      <c r="L40" s="11">
        <f t="shared" si="3"/>
        <v>6.0391711157936493E-3</v>
      </c>
      <c r="M40" s="11">
        <f t="shared" si="4"/>
        <v>3.4674860681114632E-2</v>
      </c>
      <c r="N40" s="11">
        <f t="shared" si="5"/>
        <v>5.5555555555555029E-3</v>
      </c>
      <c r="O40" s="11">
        <f t="shared" si="6"/>
        <v>9.1588914926303451E-3</v>
      </c>
      <c r="P40" s="11">
        <f t="shared" si="7"/>
        <v>1.7015081784415329E-2</v>
      </c>
      <c r="Q40" s="11">
        <f t="shared" si="8"/>
        <v>3.209020087121419E-2</v>
      </c>
      <c r="R40" s="11">
        <f t="shared" si="9"/>
        <v>8.7304474354311379E-3</v>
      </c>
      <c r="S40" s="11">
        <f t="shared" si="10"/>
        <v>2.5641088218754667E-2</v>
      </c>
      <c r="T40" s="11">
        <f t="shared" si="11"/>
        <v>1.2405384043449378E-2</v>
      </c>
      <c r="U40" s="11">
        <f t="shared" si="2"/>
        <v>1.6812297910928756E-2</v>
      </c>
      <c r="V40" s="11" cm="1">
        <f t="array" ref="V40">SUMPRODUCT(L40:T40,TRANSPOSE($Y$5:$Y$13))</f>
        <v>1.6371606524180821E-2</v>
      </c>
    </row>
    <row r="41" spans="1:22" x14ac:dyDescent="0.2">
      <c r="A41" s="1">
        <v>44385</v>
      </c>
      <c r="B41" s="3">
        <v>96.040001000000004</v>
      </c>
      <c r="C41" s="3">
        <v>16.149999999999999</v>
      </c>
      <c r="D41" s="3">
        <v>27</v>
      </c>
      <c r="E41" s="3">
        <v>65.510002</v>
      </c>
      <c r="F41" s="3">
        <v>8.5232620000000008</v>
      </c>
      <c r="G41" s="3">
        <v>23.059999000000001</v>
      </c>
      <c r="H41" s="3">
        <v>27.49</v>
      </c>
      <c r="I41" s="3">
        <v>32.369999</v>
      </c>
      <c r="J41" s="3">
        <v>113.660004</v>
      </c>
      <c r="L41" s="11">
        <f t="shared" si="3"/>
        <v>-4.4573442058945621E-3</v>
      </c>
      <c r="M41" s="11">
        <f t="shared" si="4"/>
        <v>-7.3755377996312845E-3</v>
      </c>
      <c r="N41" s="11">
        <f t="shared" si="5"/>
        <v>-8.4465662871832693E-3</v>
      </c>
      <c r="O41" s="11">
        <f t="shared" si="6"/>
        <v>-1.2660075739565197E-2</v>
      </c>
      <c r="P41" s="11">
        <f t="shared" si="7"/>
        <v>-6.7600700688661836E-3</v>
      </c>
      <c r="Q41" s="11">
        <f t="shared" si="8"/>
        <v>1.3025618192549205E-3</v>
      </c>
      <c r="R41" s="11">
        <f t="shared" si="9"/>
        <v>-1.9964314437230506E-2</v>
      </c>
      <c r="S41" s="11">
        <f t="shared" si="10"/>
        <v>-3.9180766968856258E-2</v>
      </c>
      <c r="T41" s="11">
        <f t="shared" si="11"/>
        <v>-3.8562139150957624E-3</v>
      </c>
      <c r="U41" s="11">
        <f t="shared" si="2"/>
        <v>-1.1266480844785343E-2</v>
      </c>
      <c r="V41" s="11" cm="1">
        <f t="array" ref="V41">SUMPRODUCT(L41:T41,TRANSPOSE($Y$5:$Y$13))</f>
        <v>-1.0525454151816388E-2</v>
      </c>
    </row>
    <row r="42" spans="1:22" x14ac:dyDescent="0.2">
      <c r="A42" s="1">
        <v>44384</v>
      </c>
      <c r="B42" s="3">
        <v>96.470000999999996</v>
      </c>
      <c r="C42" s="3">
        <v>16.27</v>
      </c>
      <c r="D42" s="3">
        <v>27.23</v>
      </c>
      <c r="E42" s="3">
        <v>66.349997999999999</v>
      </c>
      <c r="F42" s="3">
        <v>8.5812720000000002</v>
      </c>
      <c r="G42" s="3">
        <v>23.030000999999999</v>
      </c>
      <c r="H42" s="3">
        <v>28.049999</v>
      </c>
      <c r="I42" s="3">
        <v>33.689999</v>
      </c>
      <c r="J42" s="3">
        <v>114.099998</v>
      </c>
      <c r="L42" s="11">
        <f t="shared" si="3"/>
        <v>6.8886652100755008E-3</v>
      </c>
      <c r="M42" s="11">
        <f t="shared" si="4"/>
        <v>2.1984924623115555E-2</v>
      </c>
      <c r="N42" s="11">
        <f t="shared" si="5"/>
        <v>2.0232258515089665E-2</v>
      </c>
      <c r="O42" s="11">
        <f t="shared" si="6"/>
        <v>5.4178567749897787E-2</v>
      </c>
      <c r="P42" s="11">
        <f t="shared" si="7"/>
        <v>1.0243861206005272E-2</v>
      </c>
      <c r="Q42" s="11">
        <f t="shared" si="8"/>
        <v>5.6768995633187788E-3</v>
      </c>
      <c r="R42" s="11">
        <f t="shared" si="9"/>
        <v>1.3733249006143764E-2</v>
      </c>
      <c r="S42" s="11">
        <f t="shared" si="10"/>
        <v>1.6596258798921421E-2</v>
      </c>
      <c r="T42" s="11">
        <f t="shared" si="11"/>
        <v>2.9005977735939974E-3</v>
      </c>
      <c r="U42" s="11">
        <f t="shared" si="2"/>
        <v>1.6937253605129085E-2</v>
      </c>
      <c r="V42" s="11" cm="1">
        <f t="array" ref="V42">SUMPRODUCT(L42:T42,TRANSPOSE($Y$5:$Y$13))</f>
        <v>1.5533588021975575E-2</v>
      </c>
    </row>
    <row r="43" spans="1:22" x14ac:dyDescent="0.2">
      <c r="A43" s="1">
        <v>44383</v>
      </c>
      <c r="B43" s="3">
        <v>95.809997999999993</v>
      </c>
      <c r="C43" s="3">
        <v>15.92</v>
      </c>
      <c r="D43" s="3">
        <v>26.690000999999999</v>
      </c>
      <c r="E43" s="3">
        <v>62.939999</v>
      </c>
      <c r="F43" s="3">
        <v>8.4942580000000003</v>
      </c>
      <c r="G43" s="3">
        <v>22.9</v>
      </c>
      <c r="H43" s="3">
        <v>27.67</v>
      </c>
      <c r="I43" s="3">
        <v>33.139999000000003</v>
      </c>
      <c r="J43" s="3">
        <v>113.769997</v>
      </c>
      <c r="L43" s="11">
        <f t="shared" si="3"/>
        <v>-2.4987505726575634E-3</v>
      </c>
      <c r="M43" s="11">
        <f t="shared" si="4"/>
        <v>-1.1793978163005734E-2</v>
      </c>
      <c r="N43" s="11">
        <f t="shared" si="5"/>
        <v>-8.911956925362086E-3</v>
      </c>
      <c r="O43" s="11">
        <f t="shared" si="6"/>
        <v>-1.8249913925285959E-2</v>
      </c>
      <c r="P43" s="11">
        <f t="shared" si="7"/>
        <v>-0.59761925165233298</v>
      </c>
      <c r="Q43" s="11">
        <f t="shared" si="8"/>
        <v>-2.1367521367521368E-2</v>
      </c>
      <c r="R43" s="11">
        <f t="shared" si="9"/>
        <v>-4.0901213171577112E-2</v>
      </c>
      <c r="S43" s="11">
        <f t="shared" si="10"/>
        <v>-1.3690447243478891E-2</v>
      </c>
      <c r="T43" s="11">
        <f t="shared" si="11"/>
        <v>5.3017496739727506E-3</v>
      </c>
      <c r="U43" s="11">
        <f t="shared" si="2"/>
        <v>-7.885903148302767E-2</v>
      </c>
      <c r="V43" s="11" cm="1">
        <f t="array" ref="V43">SUMPRODUCT(L43:T43,TRANSPOSE($Y$5:$Y$13))</f>
        <v>-7.0442953367327615E-2</v>
      </c>
    </row>
    <row r="44" spans="1:22" x14ac:dyDescent="0.2">
      <c r="A44" s="1">
        <v>44382</v>
      </c>
      <c r="B44" s="3">
        <v>96.050003000000004</v>
      </c>
      <c r="C44" s="3">
        <v>16.110001</v>
      </c>
      <c r="D44" s="3">
        <v>26.93</v>
      </c>
      <c r="E44" s="3">
        <v>64.110000999999997</v>
      </c>
      <c r="F44" s="3">
        <v>21.110001</v>
      </c>
      <c r="G44" s="3">
        <v>23.4</v>
      </c>
      <c r="H44" s="3">
        <v>28.85</v>
      </c>
      <c r="I44" s="3">
        <v>33.599997999999999</v>
      </c>
      <c r="J44" s="3">
        <v>113.16999800000001</v>
      </c>
      <c r="L44" s="11">
        <f t="shared" si="3"/>
        <v>6.6024419744799929E-3</v>
      </c>
      <c r="M44" s="11">
        <f t="shared" si="4"/>
        <v>-1.8879354445797882E-2</v>
      </c>
      <c r="N44" s="11">
        <f t="shared" si="5"/>
        <v>8.2366532473475522E-3</v>
      </c>
      <c r="O44" s="11">
        <f t="shared" si="6"/>
        <v>-5.429692916998019E-3</v>
      </c>
      <c r="P44" s="11">
        <f t="shared" si="7"/>
        <v>-1.2166588106383243E-2</v>
      </c>
      <c r="Q44" s="11">
        <f t="shared" si="8"/>
        <v>1.0799136069114472E-2</v>
      </c>
      <c r="R44" s="11">
        <f t="shared" si="9"/>
        <v>-1.1309115832762107E-2</v>
      </c>
      <c r="S44" s="11">
        <f t="shared" si="10"/>
        <v>-1.4951714601239606E-2</v>
      </c>
      <c r="T44" s="11">
        <f t="shared" si="11"/>
        <v>-3.6098256099694956E-3</v>
      </c>
      <c r="U44" s="11">
        <f t="shared" si="2"/>
        <v>-4.5231178024675934E-3</v>
      </c>
      <c r="V44" s="11" cm="1">
        <f t="array" ref="V44">SUMPRODUCT(L44:T44,TRANSPOSE($Y$5:$Y$13))</f>
        <v>-4.4317885832177838E-3</v>
      </c>
    </row>
    <row r="45" spans="1:22" x14ac:dyDescent="0.2">
      <c r="A45" s="1">
        <v>44379</v>
      </c>
      <c r="B45" s="3">
        <v>95.419998000000007</v>
      </c>
      <c r="C45" s="3">
        <v>16.420000000000002</v>
      </c>
      <c r="D45" s="3">
        <v>26.709999</v>
      </c>
      <c r="E45" s="3">
        <v>64.459998999999996</v>
      </c>
      <c r="F45" s="3">
        <v>21.370000999999998</v>
      </c>
      <c r="G45" s="3">
        <v>23.15</v>
      </c>
      <c r="H45" s="3">
        <v>29.18</v>
      </c>
      <c r="I45" s="3">
        <v>34.110000999999997</v>
      </c>
      <c r="J45" s="3">
        <v>113.58000199999999</v>
      </c>
      <c r="L45" s="11">
        <f t="shared" si="3"/>
        <v>2.0425579714991416E-2</v>
      </c>
      <c r="M45" s="11">
        <f t="shared" si="4"/>
        <v>6.1274509803922435E-3</v>
      </c>
      <c r="N45" s="11">
        <f t="shared" si="5"/>
        <v>8.3049830124575837E-3</v>
      </c>
      <c r="O45" s="11">
        <f t="shared" si="6"/>
        <v>3.1359983999999938E-2</v>
      </c>
      <c r="P45" s="11">
        <f t="shared" si="7"/>
        <v>1.3276481744902731E-2</v>
      </c>
      <c r="Q45" s="11">
        <f t="shared" si="8"/>
        <v>1.6688625384277515E-2</v>
      </c>
      <c r="R45" s="11">
        <f t="shared" si="9"/>
        <v>4.1294220278534233E-3</v>
      </c>
      <c r="S45" s="11">
        <f t="shared" si="10"/>
        <v>-3.5056675430908553E-3</v>
      </c>
      <c r="T45" s="11">
        <f t="shared" si="11"/>
        <v>2.0668610897453275E-2</v>
      </c>
      <c r="U45" s="11">
        <f t="shared" si="2"/>
        <v>1.3052830024359696E-2</v>
      </c>
      <c r="V45" s="11" cm="1">
        <f t="array" ref="V45">SUMPRODUCT(L45:T45,TRANSPOSE($Y$5:$Y$13))</f>
        <v>1.3814408111669056E-2</v>
      </c>
    </row>
    <row r="46" spans="1:22" x14ac:dyDescent="0.2">
      <c r="A46" s="1">
        <v>44378</v>
      </c>
      <c r="B46" s="3">
        <v>93.510002</v>
      </c>
      <c r="C46" s="3">
        <v>16.32</v>
      </c>
      <c r="D46" s="3">
        <v>26.49</v>
      </c>
      <c r="E46" s="3">
        <v>62.5</v>
      </c>
      <c r="F46" s="3">
        <v>21.09</v>
      </c>
      <c r="G46" s="3">
        <v>22.77</v>
      </c>
      <c r="H46" s="3">
        <v>29.059999000000001</v>
      </c>
      <c r="I46" s="3">
        <v>34.229999999999997</v>
      </c>
      <c r="J46" s="3">
        <v>111.279999</v>
      </c>
      <c r="L46" s="11">
        <f t="shared" si="3"/>
        <v>-1.0476169312169312E-2</v>
      </c>
      <c r="M46" s="11">
        <f t="shared" si="4"/>
        <v>-2.9726516052318668E-2</v>
      </c>
      <c r="N46" s="11">
        <f t="shared" si="5"/>
        <v>5.6947608200455038E-3</v>
      </c>
      <c r="O46" s="11">
        <f t="shared" si="6"/>
        <v>-2.34375E-2</v>
      </c>
      <c r="P46" s="11">
        <f t="shared" si="7"/>
        <v>-2.2706209453197335E-2</v>
      </c>
      <c r="Q46" s="11">
        <f t="shared" si="8"/>
        <v>-3.106382978723406E-2</v>
      </c>
      <c r="R46" s="11">
        <f t="shared" si="9"/>
        <v>-1.2572239211688702E-2</v>
      </c>
      <c r="S46" s="11">
        <f t="shared" si="10"/>
        <v>-1.2406231967686086E-2</v>
      </c>
      <c r="T46" s="11">
        <f t="shared" si="11"/>
        <v>-1.7395152317880764E-2</v>
      </c>
      <c r="U46" s="11">
        <f t="shared" si="2"/>
        <v>-1.7121009698014382E-2</v>
      </c>
      <c r="V46" s="11" cm="1">
        <f t="array" ref="V46">SUMPRODUCT(L46:T46,TRANSPOSE($Y$5:$Y$13))</f>
        <v>-1.7148423960001019E-2</v>
      </c>
    </row>
    <row r="47" spans="1:22" x14ac:dyDescent="0.2">
      <c r="A47" s="1">
        <v>44377</v>
      </c>
      <c r="B47" s="3">
        <v>94.5</v>
      </c>
      <c r="C47" s="3">
        <v>16.82</v>
      </c>
      <c r="D47" s="3">
        <v>26.34</v>
      </c>
      <c r="E47" s="3">
        <v>64</v>
      </c>
      <c r="F47" s="3">
        <v>21.58</v>
      </c>
      <c r="G47" s="3">
        <v>23.5</v>
      </c>
      <c r="H47" s="3">
        <v>29.43</v>
      </c>
      <c r="I47" s="3">
        <v>34.659999999999997</v>
      </c>
      <c r="J47" s="3">
        <v>113.25</v>
      </c>
      <c r="L47" s="11">
        <f t="shared" si="3"/>
        <v>-6.1001471161095822E-3</v>
      </c>
      <c r="M47" s="11">
        <f t="shared" si="4"/>
        <v>-1.2910856049832385E-2</v>
      </c>
      <c r="N47" s="11">
        <f t="shared" si="5"/>
        <v>-1.8946192457225816E-3</v>
      </c>
      <c r="O47" s="11">
        <f t="shared" si="6"/>
        <v>-8.2132187852661156E-3</v>
      </c>
      <c r="P47" s="11">
        <f t="shared" si="7"/>
        <v>-2.8802836579785763E-2</v>
      </c>
      <c r="Q47" s="11">
        <f t="shared" si="8"/>
        <v>1.8638925010836572E-2</v>
      </c>
      <c r="R47" s="11">
        <f t="shared" si="9"/>
        <v>8.5675119945167917E-3</v>
      </c>
      <c r="S47" s="11">
        <f t="shared" si="10"/>
        <v>-2.1456748811787146E-2</v>
      </c>
      <c r="T47" s="11">
        <f t="shared" si="11"/>
        <v>6.5771752452728595E-3</v>
      </c>
      <c r="U47" s="11">
        <f t="shared" si="2"/>
        <v>-5.0660904819863732E-3</v>
      </c>
      <c r="V47" s="11" cm="1">
        <f t="array" ref="V47">SUMPRODUCT(L47:T47,TRANSPOSE($Y$5:$Y$13))</f>
        <v>-3.9017639092604499E-3</v>
      </c>
    </row>
    <row r="48" spans="1:22" x14ac:dyDescent="0.2">
      <c r="A48" s="1">
        <v>44376</v>
      </c>
      <c r="B48" s="3">
        <v>95.080001999999993</v>
      </c>
      <c r="C48" s="3">
        <v>17.040001</v>
      </c>
      <c r="D48" s="3">
        <v>26.389999</v>
      </c>
      <c r="E48" s="3">
        <v>64.529999000000004</v>
      </c>
      <c r="F48" s="3">
        <v>22.219999000000001</v>
      </c>
      <c r="G48" s="3">
        <v>23.07</v>
      </c>
      <c r="H48" s="3">
        <v>29.18</v>
      </c>
      <c r="I48" s="3">
        <v>35.419998</v>
      </c>
      <c r="J48" s="3">
        <v>112.510002</v>
      </c>
      <c r="L48" s="11">
        <f t="shared" si="3"/>
        <v>1.3691943560566627E-3</v>
      </c>
      <c r="M48" s="11">
        <f t="shared" si="4"/>
        <v>2.9429664508535459E-3</v>
      </c>
      <c r="N48" s="11">
        <f t="shared" si="5"/>
        <v>1.1380120964334971E-3</v>
      </c>
      <c r="O48" s="11">
        <f t="shared" si="6"/>
        <v>4.3579610894942207E-3</v>
      </c>
      <c r="P48" s="11">
        <f t="shared" si="7"/>
        <v>-5.8165995525727076E-3</v>
      </c>
      <c r="Q48" s="11">
        <f t="shared" si="8"/>
        <v>-2.740299440990706E-2</v>
      </c>
      <c r="R48" s="11">
        <f t="shared" si="9"/>
        <v>4.4750776067152371E-3</v>
      </c>
      <c r="S48" s="11">
        <f t="shared" si="10"/>
        <v>1.0844662932515415E-2</v>
      </c>
      <c r="T48" s="11">
        <f t="shared" si="11"/>
        <v>1.7269475899990529E-2</v>
      </c>
      <c r="U48" s="11">
        <f t="shared" si="2"/>
        <v>1.019750718842149E-3</v>
      </c>
      <c r="V48" s="11" cm="1">
        <f t="array" ref="V48">SUMPRODUCT(L48:T48,TRANSPOSE($Y$5:$Y$13))</f>
        <v>2.6447232369569873E-3</v>
      </c>
    </row>
    <row r="49" spans="1:22" x14ac:dyDescent="0.2">
      <c r="A49" s="1">
        <v>44375</v>
      </c>
      <c r="B49" s="3">
        <v>94.949996999999996</v>
      </c>
      <c r="C49" s="3">
        <v>16.989999999999998</v>
      </c>
      <c r="D49" s="3">
        <v>26.360001</v>
      </c>
      <c r="E49" s="3">
        <v>64.25</v>
      </c>
      <c r="F49" s="3">
        <v>22.35</v>
      </c>
      <c r="G49" s="3">
        <v>23.719999000000001</v>
      </c>
      <c r="H49" s="3">
        <v>29.049999</v>
      </c>
      <c r="I49" s="3">
        <v>35.040000999999997</v>
      </c>
      <c r="J49" s="3">
        <v>110.599998</v>
      </c>
      <c r="L49" s="11">
        <f t="shared" si="3"/>
        <v>2.3278327155099313E-2</v>
      </c>
      <c r="M49" s="11">
        <f t="shared" si="4"/>
        <v>1.7974774237580916E-2</v>
      </c>
      <c r="N49" s="11">
        <f t="shared" si="5"/>
        <v>1.9334879376068082E-2</v>
      </c>
      <c r="O49" s="11">
        <f t="shared" si="6"/>
        <v>1.0220157554093015E-2</v>
      </c>
      <c r="P49" s="11">
        <f t="shared" si="7"/>
        <v>1.8687282648711032E-2</v>
      </c>
      <c r="Q49" s="11">
        <f t="shared" si="8"/>
        <v>-1.3311230727486191E-2</v>
      </c>
      <c r="R49" s="11">
        <f t="shared" si="9"/>
        <v>-1.718247422680472E-3</v>
      </c>
      <c r="S49" s="11">
        <f t="shared" si="10"/>
        <v>1.271685044606064E-2</v>
      </c>
      <c r="T49" s="11">
        <f t="shared" si="11"/>
        <v>-1.6014270177682036E-2</v>
      </c>
      <c r="U49" s="11">
        <f t="shared" si="2"/>
        <v>7.9076136766404789E-3</v>
      </c>
      <c r="V49" s="11" cm="1">
        <f t="array" ref="V49">SUMPRODUCT(L49:T49,TRANSPOSE($Y$5:$Y$13))</f>
        <v>5.5154252912082268E-3</v>
      </c>
    </row>
    <row r="50" spans="1:22" x14ac:dyDescent="0.2">
      <c r="A50" s="1">
        <v>44372</v>
      </c>
      <c r="B50" s="3">
        <v>92.790001000000004</v>
      </c>
      <c r="C50" s="3">
        <v>16.690000999999999</v>
      </c>
      <c r="D50" s="3">
        <v>25.860001</v>
      </c>
      <c r="E50" s="3">
        <v>63.599997999999999</v>
      </c>
      <c r="F50" s="3">
        <v>21.940000999999999</v>
      </c>
      <c r="G50" s="3">
        <v>24.040001</v>
      </c>
      <c r="H50" s="3">
        <v>29.1</v>
      </c>
      <c r="I50" s="3">
        <v>34.599997999999999</v>
      </c>
      <c r="J50" s="3">
        <v>112.400002</v>
      </c>
      <c r="L50" s="11">
        <f t="shared" si="3"/>
        <v>-1.6012746044133212E-2</v>
      </c>
      <c r="M50" s="11">
        <f t="shared" si="4"/>
        <v>-1.7657386698057664E-2</v>
      </c>
      <c r="N50" s="11">
        <f t="shared" si="5"/>
        <v>-1.9340158538484621E-2</v>
      </c>
      <c r="O50" s="11">
        <f t="shared" si="6"/>
        <v>-1.3953519379844971E-2</v>
      </c>
      <c r="P50" s="11">
        <f t="shared" si="7"/>
        <v>-1.9660322594295145E-2</v>
      </c>
      <c r="Q50" s="11">
        <f t="shared" si="8"/>
        <v>-4.5273987291501172E-2</v>
      </c>
      <c r="R50" s="11">
        <f t="shared" si="9"/>
        <v>-1.8549747048903782E-2</v>
      </c>
      <c r="S50" s="11">
        <f t="shared" si="10"/>
        <v>-3.8621948395557125E-2</v>
      </c>
      <c r="T50" s="11">
        <f t="shared" si="11"/>
        <v>1.2339034606313894E-2</v>
      </c>
      <c r="U50" s="11">
        <f t="shared" si="2"/>
        <v>-1.9636753487162643E-2</v>
      </c>
      <c r="V50" s="11" cm="1">
        <f t="array" ref="V50">SUMPRODUCT(L50:T50,TRANSPOSE($Y$5:$Y$13))</f>
        <v>-1.6439174677814992E-2</v>
      </c>
    </row>
    <row r="51" spans="1:22" x14ac:dyDescent="0.2">
      <c r="A51" s="1">
        <v>44371</v>
      </c>
      <c r="B51" s="3">
        <v>94.300003000000004</v>
      </c>
      <c r="C51" s="3">
        <v>16.989999999999998</v>
      </c>
      <c r="D51" s="3">
        <v>26.370000999999998</v>
      </c>
      <c r="E51" s="3">
        <v>64.5</v>
      </c>
      <c r="F51" s="3">
        <v>22.379999000000002</v>
      </c>
      <c r="G51" s="3">
        <v>25.18</v>
      </c>
      <c r="H51" s="3">
        <v>29.65</v>
      </c>
      <c r="I51" s="3">
        <v>35.990001999999997</v>
      </c>
      <c r="J51" s="3">
        <v>111.029999</v>
      </c>
      <c r="L51" s="11">
        <f t="shared" si="3"/>
        <v>6.2960623871099125E-3</v>
      </c>
      <c r="M51" s="11">
        <f t="shared" si="4"/>
        <v>-1.7626321974148729E-3</v>
      </c>
      <c r="N51" s="11">
        <f t="shared" si="5"/>
        <v>2.0116092843326772E-2</v>
      </c>
      <c r="O51" s="11">
        <f t="shared" si="6"/>
        <v>7.8125E-3</v>
      </c>
      <c r="P51" s="11">
        <f t="shared" si="7"/>
        <v>4.4817880485527532E-2</v>
      </c>
      <c r="Q51" s="11">
        <f t="shared" si="8"/>
        <v>5.1896608858148074E-3</v>
      </c>
      <c r="R51" s="11">
        <f t="shared" si="9"/>
        <v>1.1945427028854127E-2</v>
      </c>
      <c r="S51" s="11">
        <f t="shared" si="10"/>
        <v>1.3232038288288114E-2</v>
      </c>
      <c r="T51" s="11">
        <f t="shared" si="11"/>
        <v>-1.8041929778013527E-2</v>
      </c>
      <c r="U51" s="11">
        <f t="shared" si="2"/>
        <v>9.9561222159436531E-3</v>
      </c>
      <c r="V51" s="11" cm="1">
        <f t="array" ref="V51">SUMPRODUCT(L51:T51,TRANSPOSE($Y$5:$Y$13))</f>
        <v>7.1563170165479355E-3</v>
      </c>
    </row>
    <row r="52" spans="1:22" x14ac:dyDescent="0.2">
      <c r="A52" s="1">
        <v>44370</v>
      </c>
      <c r="B52" s="3">
        <v>93.709998999999996</v>
      </c>
      <c r="C52" s="3">
        <v>17.02</v>
      </c>
      <c r="D52" s="3">
        <v>25.85</v>
      </c>
      <c r="E52" s="3">
        <v>64</v>
      </c>
      <c r="F52" s="3">
        <v>21.42</v>
      </c>
      <c r="G52" s="3">
        <v>25.049999</v>
      </c>
      <c r="H52" s="3">
        <v>29.299999</v>
      </c>
      <c r="I52" s="3">
        <v>35.520000000000003</v>
      </c>
      <c r="J52" s="3">
        <v>113.07</v>
      </c>
      <c r="L52" s="11">
        <f t="shared" si="3"/>
        <v>-1.3578957894736881E-2</v>
      </c>
      <c r="M52" s="11">
        <f t="shared" si="4"/>
        <v>1.7657445556210206E-3</v>
      </c>
      <c r="N52" s="11">
        <f t="shared" si="5"/>
        <v>-1.7110228787461105E-2</v>
      </c>
      <c r="O52" s="11">
        <f t="shared" si="6"/>
        <v>1.5873015873015872E-2</v>
      </c>
      <c r="P52" s="11">
        <f t="shared" si="7"/>
        <v>-1.5624999999999993E-2</v>
      </c>
      <c r="Q52" s="11">
        <f t="shared" si="8"/>
        <v>-9.8814233154712779E-3</v>
      </c>
      <c r="R52" s="11">
        <f t="shared" si="9"/>
        <v>6.8728178694157475E-3</v>
      </c>
      <c r="S52" s="11">
        <f t="shared" si="10"/>
        <v>-1.1961084507341103E-2</v>
      </c>
      <c r="T52" s="11">
        <f t="shared" si="11"/>
        <v>1.4991005116858009E-2</v>
      </c>
      <c r="U52" s="11">
        <f t="shared" si="2"/>
        <v>-3.1837901211221897E-3</v>
      </c>
      <c r="V52" s="11" cm="1">
        <f t="array" ref="V52">SUMPRODUCT(L52:T52,TRANSPOSE($Y$5:$Y$13))</f>
        <v>-1.3663105973241701E-3</v>
      </c>
    </row>
    <row r="53" spans="1:22" x14ac:dyDescent="0.2">
      <c r="A53" s="1">
        <v>44369</v>
      </c>
      <c r="B53" s="3">
        <v>95</v>
      </c>
      <c r="C53" s="3">
        <v>16.989999999999998</v>
      </c>
      <c r="D53" s="3">
        <v>26.299999</v>
      </c>
      <c r="E53" s="3">
        <v>63</v>
      </c>
      <c r="F53" s="3">
        <v>21.76</v>
      </c>
      <c r="G53" s="3">
        <v>25.299999</v>
      </c>
      <c r="H53" s="3">
        <v>29.1</v>
      </c>
      <c r="I53" s="3">
        <v>35.950001</v>
      </c>
      <c r="J53" s="3">
        <v>111.400002</v>
      </c>
      <c r="L53" s="11">
        <f t="shared" si="3"/>
        <v>-9.6945689565308742E-3</v>
      </c>
      <c r="M53" s="11">
        <f t="shared" si="4"/>
        <v>-4.686584651435375E-3</v>
      </c>
      <c r="N53" s="11">
        <f t="shared" si="5"/>
        <v>5.7360994263862758E-3</v>
      </c>
      <c r="O53" s="11">
        <f t="shared" si="6"/>
        <v>-3.4799271831710888E-3</v>
      </c>
      <c r="P53" s="11">
        <f t="shared" si="7"/>
        <v>-1.5384615384615377E-2</v>
      </c>
      <c r="Q53" s="11">
        <f t="shared" si="8"/>
        <v>-2.6548711042708686E-2</v>
      </c>
      <c r="R53" s="11">
        <f t="shared" si="9"/>
        <v>5.1813124289702478E-3</v>
      </c>
      <c r="S53" s="11">
        <f t="shared" si="10"/>
        <v>-2.2203164646215018E-3</v>
      </c>
      <c r="T53" s="11">
        <f t="shared" si="11"/>
        <v>1.1715566145531174E-2</v>
      </c>
      <c r="U53" s="11">
        <f t="shared" si="2"/>
        <v>-4.3757495202439121E-3</v>
      </c>
      <c r="V53" s="11" cm="1">
        <f t="array" ref="V53">SUMPRODUCT(L53:T53,TRANSPOSE($Y$5:$Y$13))</f>
        <v>-2.7666179536664035E-3</v>
      </c>
    </row>
    <row r="54" spans="1:22" x14ac:dyDescent="0.2">
      <c r="A54" s="1">
        <v>44368</v>
      </c>
      <c r="B54" s="3">
        <v>95.93</v>
      </c>
      <c r="C54" s="3">
        <v>17.07</v>
      </c>
      <c r="D54" s="3">
        <v>26.15</v>
      </c>
      <c r="E54" s="3">
        <v>63.220001000000003</v>
      </c>
      <c r="F54" s="3">
        <v>22.1</v>
      </c>
      <c r="G54" s="3">
        <v>25.99</v>
      </c>
      <c r="H54" s="3">
        <v>28.950001</v>
      </c>
      <c r="I54" s="3">
        <v>36.029998999999997</v>
      </c>
      <c r="J54" s="3">
        <v>110.110001</v>
      </c>
      <c r="L54" s="11">
        <f t="shared" si="3"/>
        <v>1.7609027822500123E-2</v>
      </c>
      <c r="M54" s="11">
        <f t="shared" si="4"/>
        <v>-1.7836537274829603E-2</v>
      </c>
      <c r="N54" s="11">
        <f t="shared" si="5"/>
        <v>1.8698870276587332E-2</v>
      </c>
      <c r="O54" s="11">
        <f t="shared" si="6"/>
        <v>6.527622886043318E-3</v>
      </c>
      <c r="P54" s="11">
        <f t="shared" si="7"/>
        <v>1.6091954022988571E-2</v>
      </c>
      <c r="Q54" s="11">
        <f t="shared" si="8"/>
        <v>8.9285714285713066E-3</v>
      </c>
      <c r="R54" s="11">
        <f t="shared" si="9"/>
        <v>2.2245798022598871E-2</v>
      </c>
      <c r="S54" s="11">
        <f t="shared" si="10"/>
        <v>8.3330555555545993E-4</v>
      </c>
      <c r="T54" s="11">
        <f t="shared" si="11"/>
        <v>9.3501240938719775E-3</v>
      </c>
      <c r="U54" s="11">
        <f t="shared" si="2"/>
        <v>9.1609707593208172E-3</v>
      </c>
      <c r="V54" s="11" cm="1">
        <f t="array" ref="V54">SUMPRODUCT(L54:T54,TRANSPOSE($Y$5:$Y$13))</f>
        <v>9.1798860927759362E-3</v>
      </c>
    </row>
    <row r="55" spans="1:22" x14ac:dyDescent="0.2">
      <c r="A55" s="1">
        <v>44365</v>
      </c>
      <c r="B55" s="3">
        <v>94.269997000000004</v>
      </c>
      <c r="C55" s="3">
        <v>17.379999000000002</v>
      </c>
      <c r="D55" s="3">
        <v>25.67</v>
      </c>
      <c r="E55" s="3">
        <v>62.810001</v>
      </c>
      <c r="F55" s="3">
        <v>21.75</v>
      </c>
      <c r="G55" s="3">
        <v>25.76</v>
      </c>
      <c r="H55" s="3">
        <v>28.32</v>
      </c>
      <c r="I55" s="3">
        <v>36</v>
      </c>
      <c r="J55" s="3">
        <v>109.089996</v>
      </c>
      <c r="L55" s="11">
        <f t="shared" si="3"/>
        <v>1.7704847815119766E-2</v>
      </c>
      <c r="M55" s="11">
        <f t="shared" si="4"/>
        <v>1.223057658707046E-2</v>
      </c>
      <c r="N55" s="11">
        <f t="shared" si="5"/>
        <v>1.66336633663367E-2</v>
      </c>
      <c r="O55" s="11">
        <f t="shared" si="6"/>
        <v>3.6752795245995583E-3</v>
      </c>
      <c r="P55" s="11">
        <f t="shared" si="7"/>
        <v>-1.7615131780267902E-2</v>
      </c>
      <c r="Q55" s="11">
        <f t="shared" si="8"/>
        <v>3.1152647975078601E-3</v>
      </c>
      <c r="R55" s="11">
        <f t="shared" si="9"/>
        <v>6.7543905707212696E-3</v>
      </c>
      <c r="S55" s="11">
        <f t="shared" si="10"/>
        <v>-5.2500415929826426E-3</v>
      </c>
      <c r="T55" s="11">
        <f t="shared" si="11"/>
        <v>3.0122700092111411E-2</v>
      </c>
      <c r="U55" s="11">
        <f t="shared" si="2"/>
        <v>7.4857277089129442E-3</v>
      </c>
      <c r="V55" s="11" cm="1">
        <f t="array" ref="V55">SUMPRODUCT(L55:T55,TRANSPOSE($Y$5:$Y$13))</f>
        <v>9.7494249472327901E-3</v>
      </c>
    </row>
    <row r="56" spans="1:22" x14ac:dyDescent="0.2">
      <c r="A56" s="1">
        <v>44364</v>
      </c>
      <c r="B56" s="3">
        <v>92.629997000000003</v>
      </c>
      <c r="C56" s="3">
        <v>17.170000000000002</v>
      </c>
      <c r="D56" s="3">
        <v>25.25</v>
      </c>
      <c r="E56" s="3">
        <v>62.580002</v>
      </c>
      <c r="F56" s="3">
        <v>22.139999</v>
      </c>
      <c r="G56" s="3">
        <v>25.68</v>
      </c>
      <c r="H56" s="3">
        <v>28.129999000000002</v>
      </c>
      <c r="I56" s="3">
        <v>36.189999</v>
      </c>
      <c r="J56" s="3">
        <v>105.900002</v>
      </c>
      <c r="L56" s="11">
        <f t="shared" si="3"/>
        <v>1.3679142493296426E-2</v>
      </c>
      <c r="M56" s="11">
        <f t="shared" si="4"/>
        <v>1.5375517445298732E-2</v>
      </c>
      <c r="N56" s="11">
        <f t="shared" si="5"/>
        <v>-5.5139427142159216E-3</v>
      </c>
      <c r="O56" s="11">
        <f t="shared" si="6"/>
        <v>-2.4017481720953703E-2</v>
      </c>
      <c r="P56" s="11">
        <f t="shared" si="7"/>
        <v>-6.2837519621295832E-3</v>
      </c>
      <c r="Q56" s="11">
        <f t="shared" si="8"/>
        <v>-1.0023168464796861E-2</v>
      </c>
      <c r="R56" s="11">
        <f t="shared" si="9"/>
        <v>-3.4660261999322581E-2</v>
      </c>
      <c r="S56" s="11">
        <f t="shared" si="10"/>
        <v>-7.6775978152565216E-3</v>
      </c>
      <c r="T56" s="11">
        <f t="shared" si="11"/>
        <v>-2.0804437895433417E-2</v>
      </c>
      <c r="U56" s="11">
        <f t="shared" si="2"/>
        <v>-8.880664737057049E-3</v>
      </c>
      <c r="V56" s="11" cm="1">
        <f t="array" ref="V56">SUMPRODUCT(L56:T56,TRANSPOSE($Y$5:$Y$13))</f>
        <v>-1.0073042052894686E-2</v>
      </c>
    </row>
    <row r="57" spans="1:22" x14ac:dyDescent="0.2">
      <c r="A57" s="1">
        <v>44363</v>
      </c>
      <c r="B57" s="3">
        <v>91.379997000000003</v>
      </c>
      <c r="C57" s="3">
        <v>16.91</v>
      </c>
      <c r="D57" s="3">
        <v>25.389999</v>
      </c>
      <c r="E57" s="3">
        <v>64.120002999999997</v>
      </c>
      <c r="F57" s="3">
        <v>22.280000999999999</v>
      </c>
      <c r="G57" s="3">
        <v>25.940000999999999</v>
      </c>
      <c r="H57" s="3">
        <v>29.139999</v>
      </c>
      <c r="I57" s="3">
        <v>36.470001000000003</v>
      </c>
      <c r="J57" s="3">
        <v>108.150002</v>
      </c>
      <c r="L57" s="11">
        <f t="shared" si="3"/>
        <v>3.2839628524133804E-4</v>
      </c>
      <c r="M57" s="11">
        <f t="shared" si="4"/>
        <v>1.4397120575884728E-2</v>
      </c>
      <c r="N57" s="11">
        <f t="shared" si="5"/>
        <v>-8.2031640625000735E-3</v>
      </c>
      <c r="O57" s="11">
        <f t="shared" si="6"/>
        <v>-4.3478104239810999E-3</v>
      </c>
      <c r="P57" s="11">
        <f t="shared" si="7"/>
        <v>-2.0228627968337725E-2</v>
      </c>
      <c r="Q57" s="11">
        <f t="shared" si="8"/>
        <v>-1.2185795887281142E-2</v>
      </c>
      <c r="R57" s="11">
        <f t="shared" si="9"/>
        <v>3.7891145783977387E-3</v>
      </c>
      <c r="S57" s="11">
        <f t="shared" si="10"/>
        <v>3.2267164887225398E-2</v>
      </c>
      <c r="T57" s="11">
        <f t="shared" si="11"/>
        <v>-3.0044825112107619E-2</v>
      </c>
      <c r="U57" s="11">
        <f t="shared" si="2"/>
        <v>-2.6920474586064947E-3</v>
      </c>
      <c r="V57" s="11" cm="1">
        <f t="array" ref="V57">SUMPRODUCT(L57:T57,TRANSPOSE($Y$5:$Y$13))</f>
        <v>-5.4273252239566078E-3</v>
      </c>
    </row>
    <row r="58" spans="1:22" x14ac:dyDescent="0.2">
      <c r="A58" s="1">
        <v>44362</v>
      </c>
      <c r="B58" s="3">
        <v>91.349997999999999</v>
      </c>
      <c r="C58" s="3">
        <v>16.670000000000002</v>
      </c>
      <c r="D58" s="3">
        <v>25.6</v>
      </c>
      <c r="E58" s="3">
        <v>64.400002000000001</v>
      </c>
      <c r="F58" s="3">
        <v>22.74</v>
      </c>
      <c r="G58" s="3">
        <v>26.26</v>
      </c>
      <c r="H58" s="3">
        <v>29.030000999999999</v>
      </c>
      <c r="I58" s="3">
        <v>35.330002</v>
      </c>
      <c r="J58" s="3">
        <v>111.5</v>
      </c>
      <c r="L58" s="11">
        <f t="shared" si="3"/>
        <v>-9.1116605030554989E-3</v>
      </c>
      <c r="M58" s="11">
        <f t="shared" si="4"/>
        <v>2.1446078431372636E-2</v>
      </c>
      <c r="N58" s="11">
        <f t="shared" si="5"/>
        <v>-1.9493177387913123E-3</v>
      </c>
      <c r="O58" s="11">
        <f t="shared" si="6"/>
        <v>-2.4782528648776055E-3</v>
      </c>
      <c r="P58" s="11">
        <f t="shared" si="7"/>
        <v>3.0877812086456428E-3</v>
      </c>
      <c r="Q58" s="11">
        <f t="shared" si="8"/>
        <v>-1.3894067363652547E-2</v>
      </c>
      <c r="R58" s="11">
        <f t="shared" si="9"/>
        <v>9.7391652173912553E-3</v>
      </c>
      <c r="S58" s="11">
        <f t="shared" si="10"/>
        <v>4.8367980760594044E-2</v>
      </c>
      <c r="T58" s="11">
        <f t="shared" si="11"/>
        <v>-1.9521640700653851E-2</v>
      </c>
      <c r="U58" s="11">
        <f t="shared" si="2"/>
        <v>3.9651184941080853E-3</v>
      </c>
      <c r="V58" s="11" cm="1">
        <f t="array" ref="V58">SUMPRODUCT(L58:T58,TRANSPOSE($Y$5:$Y$13))</f>
        <v>1.6164425746318925E-3</v>
      </c>
    </row>
    <row r="59" spans="1:22" x14ac:dyDescent="0.2">
      <c r="A59" s="1">
        <v>44361</v>
      </c>
      <c r="B59" s="3">
        <v>92.190002000000007</v>
      </c>
      <c r="C59" s="3">
        <v>16.32</v>
      </c>
      <c r="D59" s="3">
        <v>25.65</v>
      </c>
      <c r="E59" s="3">
        <v>64.559997999999993</v>
      </c>
      <c r="F59" s="3">
        <v>22.67</v>
      </c>
      <c r="G59" s="3">
        <v>26.629999000000002</v>
      </c>
      <c r="H59" s="3">
        <v>28.75</v>
      </c>
      <c r="I59" s="3">
        <v>33.700001</v>
      </c>
      <c r="J59" s="3">
        <v>113.720001</v>
      </c>
      <c r="L59" s="11">
        <f t="shared" si="3"/>
        <v>4.5238153466150469E-2</v>
      </c>
      <c r="M59" s="11">
        <f t="shared" si="4"/>
        <v>1.1779355968961853E-2</v>
      </c>
      <c r="N59" s="11">
        <f t="shared" si="5"/>
        <v>-1.3461538461538516E-2</v>
      </c>
      <c r="O59" s="11">
        <f t="shared" si="6"/>
        <v>8.119878074330282E-3</v>
      </c>
      <c r="P59" s="11">
        <f t="shared" si="7"/>
        <v>1.3863997591055619E-2</v>
      </c>
      <c r="Q59" s="11">
        <f t="shared" si="8"/>
        <v>3.4174718446601998E-2</v>
      </c>
      <c r="R59" s="11">
        <f t="shared" si="9"/>
        <v>6.3003150157507773E-3</v>
      </c>
      <c r="S59" s="11">
        <f t="shared" si="10"/>
        <v>-5.0191321233874157E-3</v>
      </c>
      <c r="T59" s="11">
        <f t="shared" si="11"/>
        <v>-5.4223808088991274E-3</v>
      </c>
      <c r="U59" s="11">
        <f t="shared" si="2"/>
        <v>1.0619263018780658E-2</v>
      </c>
      <c r="V59" s="11" cm="1">
        <f t="array" ref="V59">SUMPRODUCT(L59:T59,TRANSPOSE($Y$5:$Y$13))</f>
        <v>9.0150986360126827E-3</v>
      </c>
    </row>
    <row r="60" spans="1:22" x14ac:dyDescent="0.2">
      <c r="A60" s="1">
        <v>44358</v>
      </c>
      <c r="B60" s="3">
        <v>88.199996999999996</v>
      </c>
      <c r="C60" s="3">
        <v>16.129999000000002</v>
      </c>
      <c r="D60" s="3">
        <v>26</v>
      </c>
      <c r="E60" s="3">
        <v>64.040001000000004</v>
      </c>
      <c r="F60" s="3">
        <v>22.360001</v>
      </c>
      <c r="G60" s="3">
        <v>25.75</v>
      </c>
      <c r="H60" s="3">
        <v>28.57</v>
      </c>
      <c r="I60" s="3">
        <v>33.869999</v>
      </c>
      <c r="J60" s="3">
        <v>114.339996</v>
      </c>
      <c r="L60" s="11">
        <f t="shared" si="3"/>
        <v>1.0214050502621069E-3</v>
      </c>
      <c r="M60" s="11">
        <f t="shared" si="4"/>
        <v>8.1249375000000956E-3</v>
      </c>
      <c r="N60" s="11">
        <f t="shared" si="5"/>
        <v>7.7519770446502854E-3</v>
      </c>
      <c r="O60" s="11">
        <f t="shared" si="6"/>
        <v>-2.0795121688222531E-2</v>
      </c>
      <c r="P60" s="11">
        <f t="shared" si="7"/>
        <v>-7.5454945607857787E-3</v>
      </c>
      <c r="Q60" s="11">
        <f t="shared" si="8"/>
        <v>-3.0496951449433457E-2</v>
      </c>
      <c r="R60" s="11">
        <f t="shared" si="9"/>
        <v>-3.8354253835425184E-3</v>
      </c>
      <c r="S60" s="11">
        <f t="shared" si="10"/>
        <v>-1.6836051760927388E-2</v>
      </c>
      <c r="T60" s="11">
        <f t="shared" si="11"/>
        <v>2.2444728204511759E-2</v>
      </c>
      <c r="U60" s="11">
        <f t="shared" si="2"/>
        <v>-4.4628885603874915E-3</v>
      </c>
      <c r="V60" s="11" cm="1">
        <f t="array" ref="V60">SUMPRODUCT(L60:T60,TRANSPOSE($Y$5:$Y$13))</f>
        <v>-1.772126883897566E-3</v>
      </c>
    </row>
    <row r="61" spans="1:22" x14ac:dyDescent="0.2">
      <c r="A61" s="1">
        <v>44357</v>
      </c>
      <c r="B61" s="3">
        <v>88.110000999999997</v>
      </c>
      <c r="C61" s="3">
        <v>16</v>
      </c>
      <c r="D61" s="3">
        <v>25.799999</v>
      </c>
      <c r="E61" s="3">
        <v>65.400002000000001</v>
      </c>
      <c r="F61" s="3">
        <v>22.530000999999999</v>
      </c>
      <c r="G61" s="3">
        <v>26.559999000000001</v>
      </c>
      <c r="H61" s="3">
        <v>28.68</v>
      </c>
      <c r="I61" s="3">
        <v>34.450001</v>
      </c>
      <c r="J61" s="3">
        <v>111.83000199999999</v>
      </c>
      <c r="L61" s="11">
        <f t="shared" si="3"/>
        <v>-2.8293345084955354E-3</v>
      </c>
      <c r="M61" s="11">
        <f t="shared" si="4"/>
        <v>-2.4390243902438939E-2</v>
      </c>
      <c r="N61" s="11">
        <f t="shared" si="5"/>
        <v>4.6728582554517121E-3</v>
      </c>
      <c r="O61" s="11">
        <f t="shared" si="6"/>
        <v>-2.136084801097319E-3</v>
      </c>
      <c r="P61" s="11">
        <f t="shared" si="7"/>
        <v>1.0313991493900916E-2</v>
      </c>
      <c r="Q61" s="11">
        <f t="shared" si="8"/>
        <v>5.2989780469341234E-3</v>
      </c>
      <c r="R61" s="11">
        <f t="shared" si="9"/>
        <v>6.9783670621073178E-4</v>
      </c>
      <c r="S61" s="11">
        <f t="shared" si="10"/>
        <v>1.6224158334857904E-2</v>
      </c>
      <c r="T61" s="11">
        <f t="shared" si="11"/>
        <v>-3.2976382343397298E-3</v>
      </c>
      <c r="U61" s="11">
        <f t="shared" si="2"/>
        <v>5.0605793233154028E-4</v>
      </c>
      <c r="V61" s="11" cm="1">
        <f t="array" ref="V61">SUMPRODUCT(L61:T61,TRANSPOSE($Y$5:$Y$13))</f>
        <v>1.2568831566441355E-4</v>
      </c>
    </row>
    <row r="62" spans="1:22" x14ac:dyDescent="0.2">
      <c r="A62" s="1">
        <v>44356</v>
      </c>
      <c r="B62" s="3">
        <v>88.360000999999997</v>
      </c>
      <c r="C62" s="3">
        <v>16.399999999999999</v>
      </c>
      <c r="D62" s="3">
        <v>25.68</v>
      </c>
      <c r="E62" s="3">
        <v>65.540001000000004</v>
      </c>
      <c r="F62" s="3">
        <v>22.299999</v>
      </c>
      <c r="G62" s="3">
        <v>26.42</v>
      </c>
      <c r="H62" s="3">
        <v>28.66</v>
      </c>
      <c r="I62" s="3">
        <v>33.900002000000001</v>
      </c>
      <c r="J62" s="3">
        <v>112.199997</v>
      </c>
      <c r="L62" s="11">
        <f t="shared" si="3"/>
        <v>8.6758335314116967E-3</v>
      </c>
      <c r="M62" s="11">
        <f t="shared" si="4"/>
        <v>4.2865890998163066E-3</v>
      </c>
      <c r="N62" s="11">
        <f t="shared" si="5"/>
        <v>1.6627078384798027E-2</v>
      </c>
      <c r="O62" s="11">
        <f t="shared" si="6"/>
        <v>-1.768585105386903E-2</v>
      </c>
      <c r="P62" s="11">
        <f t="shared" si="7"/>
        <v>5.4102344454463464E-3</v>
      </c>
      <c r="Q62" s="11">
        <f t="shared" si="8"/>
        <v>-2.796173657100802E-2</v>
      </c>
      <c r="R62" s="11">
        <f t="shared" si="9"/>
        <v>0</v>
      </c>
      <c r="S62" s="11">
        <f t="shared" si="10"/>
        <v>9.5294812668563957E-3</v>
      </c>
      <c r="T62" s="11">
        <f t="shared" si="11"/>
        <v>2.0742349358485151E-2</v>
      </c>
      <c r="U62" s="11">
        <f t="shared" si="2"/>
        <v>2.1804420513263198E-3</v>
      </c>
      <c r="V62" s="11" cm="1">
        <f t="array" ref="V62">SUMPRODUCT(L62:T62,TRANSPOSE($Y$5:$Y$13))</f>
        <v>4.0366327820422028E-3</v>
      </c>
    </row>
    <row r="63" spans="1:22" x14ac:dyDescent="0.2">
      <c r="A63" s="1">
        <v>44355</v>
      </c>
      <c r="B63" s="3">
        <v>87.599997999999999</v>
      </c>
      <c r="C63" s="3">
        <v>16.329999999999998</v>
      </c>
      <c r="D63" s="3">
        <v>25.26</v>
      </c>
      <c r="E63" s="3">
        <v>66.720000999999996</v>
      </c>
      <c r="F63" s="3">
        <v>22.18</v>
      </c>
      <c r="G63" s="3">
        <v>27.18</v>
      </c>
      <c r="H63" s="3">
        <v>28.66</v>
      </c>
      <c r="I63" s="3">
        <v>33.580002</v>
      </c>
      <c r="J63" s="3">
        <v>109.91999800000001</v>
      </c>
      <c r="L63" s="11">
        <f t="shared" si="3"/>
        <v>2.4441538429621358E-2</v>
      </c>
      <c r="M63" s="11">
        <f t="shared" si="4"/>
        <v>-5.5523478570070749E-2</v>
      </c>
      <c r="N63" s="11">
        <f t="shared" si="5"/>
        <v>-2.8087726048480068E-2</v>
      </c>
      <c r="O63" s="11">
        <f t="shared" si="6"/>
        <v>-4.179089552238861E-3</v>
      </c>
      <c r="P63" s="11">
        <f t="shared" si="7"/>
        <v>1.6964741722363143E-2</v>
      </c>
      <c r="Q63" s="11">
        <f t="shared" si="8"/>
        <v>-2.0187454938716608E-2</v>
      </c>
      <c r="R63" s="11">
        <f t="shared" si="9"/>
        <v>1.3078790629947308E-2</v>
      </c>
      <c r="S63" s="11">
        <f t="shared" si="10"/>
        <v>-7.0963335304553496E-3</v>
      </c>
      <c r="T63" s="11">
        <f t="shared" si="11"/>
        <v>-1.6815786668628239E-2</v>
      </c>
      <c r="U63" s="11">
        <f t="shared" si="2"/>
        <v>-8.6005331696286727E-3</v>
      </c>
      <c r="V63" s="11" cm="1">
        <f t="array" ref="V63">SUMPRODUCT(L63:T63,TRANSPOSE($Y$5:$Y$13))</f>
        <v>-9.4220585195286307E-3</v>
      </c>
    </row>
    <row r="64" spans="1:22" x14ac:dyDescent="0.2">
      <c r="A64" s="1">
        <v>44354</v>
      </c>
      <c r="B64" s="3">
        <v>85.510002</v>
      </c>
      <c r="C64" s="3">
        <v>17.290001</v>
      </c>
      <c r="D64" s="3">
        <v>25.99</v>
      </c>
      <c r="E64" s="3">
        <v>67</v>
      </c>
      <c r="F64" s="3">
        <v>21.809999000000001</v>
      </c>
      <c r="G64" s="3">
        <v>27.74</v>
      </c>
      <c r="H64" s="3">
        <v>28.290001</v>
      </c>
      <c r="I64" s="3">
        <v>33.82</v>
      </c>
      <c r="J64" s="3">
        <v>111.800003</v>
      </c>
      <c r="L64" s="11">
        <f t="shared" si="3"/>
        <v>-3.3799649167844869E-3</v>
      </c>
      <c r="M64" s="11">
        <f t="shared" si="4"/>
        <v>2.9002900232019571E-3</v>
      </c>
      <c r="N64" s="11">
        <f t="shared" si="5"/>
        <v>2.6461295418641315E-2</v>
      </c>
      <c r="O64" s="11">
        <f t="shared" si="6"/>
        <v>5.2512826631272921E-3</v>
      </c>
      <c r="P64" s="11">
        <f t="shared" si="7"/>
        <v>3.12056264775415E-2</v>
      </c>
      <c r="Q64" s="11">
        <f t="shared" si="8"/>
        <v>8.3605961468555742E-3</v>
      </c>
      <c r="R64" s="11">
        <f t="shared" si="9"/>
        <v>-7.3683859649122749E-3</v>
      </c>
      <c r="S64" s="11">
        <f t="shared" si="10"/>
        <v>2.6682478505782219E-3</v>
      </c>
      <c r="T64" s="11">
        <f t="shared" si="11"/>
        <v>-9.7431264881642499E-3</v>
      </c>
      <c r="U64" s="11">
        <f t="shared" si="2"/>
        <v>6.2617623566760938E-3</v>
      </c>
      <c r="V64" s="11" cm="1">
        <f t="array" ref="V64">SUMPRODUCT(L64:T64,TRANSPOSE($Y$5:$Y$13))</f>
        <v>4.6612734721920603E-3</v>
      </c>
    </row>
    <row r="65" spans="1:22" x14ac:dyDescent="0.2">
      <c r="A65" s="1">
        <v>44351</v>
      </c>
      <c r="B65" s="3">
        <v>85.800003000000004</v>
      </c>
      <c r="C65" s="3">
        <v>17.239999999999998</v>
      </c>
      <c r="D65" s="3">
        <v>25.32</v>
      </c>
      <c r="E65" s="3">
        <v>66.650002000000001</v>
      </c>
      <c r="F65" s="3">
        <v>21.15</v>
      </c>
      <c r="G65" s="3">
        <v>27.51</v>
      </c>
      <c r="H65" s="3">
        <v>28.5</v>
      </c>
      <c r="I65" s="3">
        <v>33.729999999999997</v>
      </c>
      <c r="J65" s="3">
        <v>112.900002</v>
      </c>
      <c r="L65" s="11">
        <f t="shared" si="3"/>
        <v>-1.7744648374233455E-2</v>
      </c>
      <c r="M65" s="11">
        <f t="shared" si="4"/>
        <v>1.3521457965902225E-2</v>
      </c>
      <c r="N65" s="11">
        <f t="shared" si="5"/>
        <v>-3.9478878799834233E-4</v>
      </c>
      <c r="O65" s="11">
        <f t="shared" si="6"/>
        <v>2.9661654735285651E-2</v>
      </c>
      <c r="P65" s="11">
        <f t="shared" si="7"/>
        <v>-7.9737335834897602E-3</v>
      </c>
      <c r="Q65" s="11">
        <f t="shared" si="8"/>
        <v>4.8000000000000057E-2</v>
      </c>
      <c r="R65" s="11">
        <f t="shared" si="9"/>
        <v>2.260491486885851E-2</v>
      </c>
      <c r="S65" s="11">
        <f t="shared" si="10"/>
        <v>5.9332544032390788E-4</v>
      </c>
      <c r="T65" s="11">
        <f t="shared" si="11"/>
        <v>-1.655053092637988E-2</v>
      </c>
      <c r="U65" s="11">
        <f t="shared" si="2"/>
        <v>7.9686279264743233E-3</v>
      </c>
      <c r="V65" s="11" cm="1">
        <f t="array" ref="V65">SUMPRODUCT(L65:T65,TRANSPOSE($Y$5:$Y$13))</f>
        <v>5.5167120411889021E-3</v>
      </c>
    </row>
    <row r="66" spans="1:22" x14ac:dyDescent="0.2">
      <c r="A66" s="1">
        <v>44349</v>
      </c>
      <c r="B66" s="3">
        <v>87.349997999999999</v>
      </c>
      <c r="C66" s="3">
        <v>17.010000000000002</v>
      </c>
      <c r="D66" s="3">
        <v>25.33</v>
      </c>
      <c r="E66" s="3">
        <v>64.730002999999996</v>
      </c>
      <c r="F66" s="3">
        <v>21.32</v>
      </c>
      <c r="G66" s="3">
        <v>26.25</v>
      </c>
      <c r="H66" s="3">
        <v>27.870000999999998</v>
      </c>
      <c r="I66" s="3">
        <v>33.709999000000003</v>
      </c>
      <c r="J66" s="3">
        <v>114.800003</v>
      </c>
      <c r="L66" s="11">
        <f t="shared" si="3"/>
        <v>-1.0758833156551585E-2</v>
      </c>
      <c r="M66" s="11">
        <f t="shared" si="4"/>
        <v>-3.8983105142197376E-2</v>
      </c>
      <c r="N66" s="11">
        <f t="shared" si="5"/>
        <v>-1.7836408769429744E-2</v>
      </c>
      <c r="O66" s="11">
        <f t="shared" si="6"/>
        <v>8.8840237603475796E-3</v>
      </c>
      <c r="P66" s="11">
        <f t="shared" si="7"/>
        <v>-3.7383177570092662E-3</v>
      </c>
      <c r="Q66" s="11">
        <f t="shared" si="8"/>
        <v>1.1171071308592892E-2</v>
      </c>
      <c r="R66" s="11">
        <f t="shared" si="9"/>
        <v>2.125320552388394E-2</v>
      </c>
      <c r="S66" s="11">
        <f t="shared" si="10"/>
        <v>-3.5755149764163316E-2</v>
      </c>
      <c r="T66" s="11">
        <f t="shared" si="11"/>
        <v>1.4134328996492886E-2</v>
      </c>
      <c r="U66" s="11">
        <f t="shared" si="2"/>
        <v>-5.7365761111148883E-3</v>
      </c>
      <c r="V66" s="11" cm="1">
        <f t="array" ref="V66">SUMPRODUCT(L66:T66,TRANSPOSE($Y$5:$Y$13))</f>
        <v>-3.7494856003541096E-3</v>
      </c>
    </row>
    <row r="67" spans="1:22" x14ac:dyDescent="0.2">
      <c r="A67" s="1">
        <v>44348</v>
      </c>
      <c r="B67" s="3">
        <v>88.300003000000004</v>
      </c>
      <c r="C67" s="3">
        <v>17.700001</v>
      </c>
      <c r="D67" s="3">
        <v>25.790001</v>
      </c>
      <c r="E67" s="3">
        <v>64.160004000000001</v>
      </c>
      <c r="F67" s="3">
        <v>21.4</v>
      </c>
      <c r="G67" s="3">
        <v>25.959999</v>
      </c>
      <c r="H67" s="3">
        <v>27.290001</v>
      </c>
      <c r="I67" s="3">
        <v>34.959999000000003</v>
      </c>
      <c r="J67" s="3">
        <v>113.199997</v>
      </c>
      <c r="L67" s="11">
        <f t="shared" si="3"/>
        <v>-3.7232766689589219E-3</v>
      </c>
      <c r="M67" s="11">
        <f t="shared" si="4"/>
        <v>9.1220063214363638E-3</v>
      </c>
      <c r="N67" s="11">
        <f t="shared" si="5"/>
        <v>-2.1252333965844448E-2</v>
      </c>
      <c r="O67" s="11">
        <f t="shared" si="6"/>
        <v>2.4102185982372355E-2</v>
      </c>
      <c r="P67" s="11">
        <f t="shared" si="7"/>
        <v>7.5917600599175447E-2</v>
      </c>
      <c r="Q67" s="11">
        <f t="shared" si="8"/>
        <v>1.1691309431021032E-2</v>
      </c>
      <c r="R67" s="11">
        <f t="shared" si="9"/>
        <v>1.5630814453635553E-2</v>
      </c>
      <c r="S67" s="11">
        <f t="shared" si="10"/>
        <v>7.4927375362324354E-3</v>
      </c>
      <c r="T67" s="11">
        <f t="shared" si="11"/>
        <v>-1.3765481911182169E-2</v>
      </c>
      <c r="U67" s="11">
        <f t="shared" si="2"/>
        <v>1.1690617975320849E-2</v>
      </c>
      <c r="V67" s="11" cm="1">
        <f t="array" ref="V67">SUMPRODUCT(L67:T67,TRANSPOSE($Y$5:$Y$13))</f>
        <v>9.1450079866705492E-3</v>
      </c>
    </row>
    <row r="68" spans="1:22" x14ac:dyDescent="0.2">
      <c r="A68" s="1">
        <v>44347</v>
      </c>
      <c r="B68" s="3">
        <v>88.629997000000003</v>
      </c>
      <c r="C68" s="3">
        <v>17.540001</v>
      </c>
      <c r="D68" s="3">
        <v>26.35</v>
      </c>
      <c r="E68" s="3">
        <v>62.650002000000001</v>
      </c>
      <c r="F68" s="3">
        <v>19.889999</v>
      </c>
      <c r="G68" s="3">
        <v>25.66</v>
      </c>
      <c r="H68" s="3">
        <v>26.870000999999998</v>
      </c>
      <c r="I68" s="3">
        <v>34.700001</v>
      </c>
      <c r="J68" s="3">
        <v>114.779999</v>
      </c>
      <c r="L68" s="11">
        <f t="shared" si="3"/>
        <v>-4.4928900875310651E-3</v>
      </c>
      <c r="M68" s="11">
        <f t="shared" si="4"/>
        <v>3.4325514874141731E-3</v>
      </c>
      <c r="N68" s="11">
        <f t="shared" si="5"/>
        <v>6.109163569715124E-3</v>
      </c>
      <c r="O68" s="11">
        <f t="shared" si="6"/>
        <v>1.1462754463396107E-2</v>
      </c>
      <c r="P68" s="11">
        <f t="shared" si="7"/>
        <v>-7.9800502733192221E-3</v>
      </c>
      <c r="Q68" s="11">
        <f t="shared" si="8"/>
        <v>2.7354435326299447E-3</v>
      </c>
      <c r="R68" s="11">
        <f t="shared" si="9"/>
        <v>-4.4460540941089286E-3</v>
      </c>
      <c r="S68" s="11">
        <f t="shared" si="10"/>
        <v>5.7673010380624573E-4</v>
      </c>
      <c r="T68" s="11">
        <f t="shared" si="11"/>
        <v>2.8586818839925438E-2</v>
      </c>
      <c r="U68" s="11">
        <f t="shared" si="2"/>
        <v>3.9982741713253129E-3</v>
      </c>
      <c r="V68" s="11" cm="1">
        <f t="array" ref="V68">SUMPRODUCT(L68:T68,TRANSPOSE($Y$5:$Y$13))</f>
        <v>6.4571286381853261E-3</v>
      </c>
    </row>
    <row r="69" spans="1:22" x14ac:dyDescent="0.2">
      <c r="A69" s="1">
        <v>44344</v>
      </c>
      <c r="B69" s="3">
        <v>89.029999000000004</v>
      </c>
      <c r="C69" s="3">
        <v>17.48</v>
      </c>
      <c r="D69" s="3">
        <v>26.190000999999999</v>
      </c>
      <c r="E69" s="3">
        <v>61.939999</v>
      </c>
      <c r="F69" s="3">
        <v>20.049999</v>
      </c>
      <c r="G69" s="3">
        <v>25.59</v>
      </c>
      <c r="H69" s="3">
        <v>26.99</v>
      </c>
      <c r="I69" s="3">
        <v>34.68</v>
      </c>
      <c r="J69" s="3">
        <v>111.589996</v>
      </c>
      <c r="L69" s="11">
        <f t="shared" si="3"/>
        <v>1.7369408813406307E-2</v>
      </c>
      <c r="M69" s="11">
        <f t="shared" si="4"/>
        <v>2.9446407538280327E-2</v>
      </c>
      <c r="N69" s="11">
        <f t="shared" si="5"/>
        <v>-2.203136586888103E-2</v>
      </c>
      <c r="O69" s="11">
        <f t="shared" si="6"/>
        <v>3.2393422986932091E-3</v>
      </c>
      <c r="P69" s="11">
        <f t="shared" si="7"/>
        <v>3.4571725210099241E-2</v>
      </c>
      <c r="Q69" s="11">
        <f t="shared" si="8"/>
        <v>8.2742714056055836E-3</v>
      </c>
      <c r="R69" s="11">
        <f t="shared" si="9"/>
        <v>4.1682747973755242E-2</v>
      </c>
      <c r="S69" s="11">
        <f t="shared" si="10"/>
        <v>2.3008789203021258E-2</v>
      </c>
      <c r="T69" s="11">
        <f t="shared" si="11"/>
        <v>5.4058745005112928E-3</v>
      </c>
      <c r="U69" s="11">
        <f t="shared" si="2"/>
        <v>1.5663022341610162E-2</v>
      </c>
      <c r="V69" s="11" cm="1">
        <f t="array" ref="V69">SUMPRODUCT(L69:T69,TRANSPOSE($Y$5:$Y$13))</f>
        <v>1.4637307557500272E-2</v>
      </c>
    </row>
    <row r="70" spans="1:22" x14ac:dyDescent="0.2">
      <c r="A70" s="1">
        <v>44343</v>
      </c>
      <c r="B70" s="3">
        <v>87.510002</v>
      </c>
      <c r="C70" s="3">
        <v>16.98</v>
      </c>
      <c r="D70" s="3">
        <v>26.780000999999999</v>
      </c>
      <c r="E70" s="3">
        <v>61.740001999999997</v>
      </c>
      <c r="F70" s="3">
        <v>19.379999000000002</v>
      </c>
      <c r="G70" s="3">
        <v>25.379999000000002</v>
      </c>
      <c r="H70" s="3">
        <v>25.91</v>
      </c>
      <c r="I70" s="3">
        <v>33.900002000000001</v>
      </c>
      <c r="J70" s="3">
        <v>110.989998</v>
      </c>
      <c r="L70" s="11">
        <f t="shared" si="3"/>
        <v>1.6376353458219601E-2</v>
      </c>
      <c r="M70" s="11">
        <f t="shared" si="4"/>
        <v>-7.0175438596491802E-3</v>
      </c>
      <c r="N70" s="11">
        <f t="shared" si="5"/>
        <v>3.1587135269150003E-2</v>
      </c>
      <c r="O70" s="11">
        <f t="shared" si="6"/>
        <v>-2.6182964473723577E-2</v>
      </c>
      <c r="P70" s="11">
        <f t="shared" si="7"/>
        <v>4.1450779349782273E-3</v>
      </c>
      <c r="Q70" s="11">
        <f t="shared" si="8"/>
        <v>6.3441715441781002E-3</v>
      </c>
      <c r="R70" s="11">
        <f t="shared" si="9"/>
        <v>-6.8991950939057004E-3</v>
      </c>
      <c r="S70" s="11">
        <f t="shared" si="10"/>
        <v>3.3536677851728015E-2</v>
      </c>
      <c r="T70" s="11">
        <f t="shared" si="11"/>
        <v>7.1687932986060224E-3</v>
      </c>
      <c r="U70" s="11">
        <f t="shared" si="2"/>
        <v>6.5620562143979448E-3</v>
      </c>
      <c r="V70" s="11" cm="1">
        <f t="array" ref="V70">SUMPRODUCT(L70:T70,TRANSPOSE($Y$5:$Y$13))</f>
        <v>6.6227299228187545E-3</v>
      </c>
    </row>
    <row r="71" spans="1:22" x14ac:dyDescent="0.2">
      <c r="A71" s="1">
        <v>44342</v>
      </c>
      <c r="B71" s="3">
        <v>86.099997999999999</v>
      </c>
      <c r="C71" s="3">
        <v>17.100000000000001</v>
      </c>
      <c r="D71" s="3">
        <v>25.959999</v>
      </c>
      <c r="E71" s="3">
        <v>63.400002000000001</v>
      </c>
      <c r="F71" s="3">
        <v>19.299999</v>
      </c>
      <c r="G71" s="3">
        <v>25.219999000000001</v>
      </c>
      <c r="H71" s="3">
        <v>26.09</v>
      </c>
      <c r="I71" s="3">
        <v>32.799999</v>
      </c>
      <c r="J71" s="3">
        <v>110.199997</v>
      </c>
      <c r="L71" s="11">
        <f t="shared" ref="L71:L134" si="12">(B71-B72)/B72</f>
        <v>3.2626194360289699E-3</v>
      </c>
      <c r="M71" s="11">
        <f t="shared" si="4"/>
        <v>5.8823529411765538E-3</v>
      </c>
      <c r="N71" s="11">
        <f t="shared" si="5"/>
        <v>-7.698614318706929E-4</v>
      </c>
      <c r="O71" s="11">
        <f t="shared" si="6"/>
        <v>3.164572734737778E-3</v>
      </c>
      <c r="P71" s="11">
        <f t="shared" si="7"/>
        <v>-2.0304669020067594E-2</v>
      </c>
      <c r="Q71" s="11">
        <f t="shared" si="8"/>
        <v>9.6076461168935531E-3</v>
      </c>
      <c r="R71" s="11">
        <f t="shared" si="9"/>
        <v>9.6749226006191957E-3</v>
      </c>
      <c r="S71" s="11">
        <f t="shared" si="10"/>
        <v>2.2125241508257905E-2</v>
      </c>
      <c r="T71" s="11">
        <f t="shared" si="11"/>
        <v>2.9425445228618931E-2</v>
      </c>
      <c r="U71" s="11">
        <f t="shared" ref="U71:U134" si="13">AVERAGE(L71:T71)</f>
        <v>6.8964744571549559E-3</v>
      </c>
      <c r="V71" s="11" cm="1">
        <f t="array" ref="V71">SUMPRODUCT(L71:T71,TRANSPOSE($Y$5:$Y$13))</f>
        <v>9.1493715343013531E-3</v>
      </c>
    </row>
    <row r="72" spans="1:22" x14ac:dyDescent="0.2">
      <c r="A72" s="1">
        <v>44341</v>
      </c>
      <c r="B72" s="3">
        <v>85.82</v>
      </c>
      <c r="C72" s="3">
        <v>17</v>
      </c>
      <c r="D72" s="3">
        <v>25.98</v>
      </c>
      <c r="E72" s="3">
        <v>63.200001</v>
      </c>
      <c r="F72" s="3">
        <v>19.700001</v>
      </c>
      <c r="G72" s="3">
        <v>24.98</v>
      </c>
      <c r="H72" s="3">
        <v>25.84</v>
      </c>
      <c r="I72" s="3">
        <v>32.090000000000003</v>
      </c>
      <c r="J72" s="3">
        <v>107.050003</v>
      </c>
      <c r="L72" s="11">
        <f t="shared" si="12"/>
        <v>6.9960352846065829E-4</v>
      </c>
      <c r="M72" s="11">
        <f t="shared" si="4"/>
        <v>-2.5788021444812542E-2</v>
      </c>
      <c r="N72" s="11">
        <f t="shared" si="5"/>
        <v>-3.4522439585730671E-3</v>
      </c>
      <c r="O72" s="11">
        <f t="shared" si="6"/>
        <v>-1.6342396887159528E-2</v>
      </c>
      <c r="P72" s="11">
        <f t="shared" si="7"/>
        <v>1.129368583162217E-2</v>
      </c>
      <c r="Q72" s="11">
        <f t="shared" si="8"/>
        <v>1.4622217115263398E-2</v>
      </c>
      <c r="R72" s="11">
        <f t="shared" si="9"/>
        <v>-2.084119063437629E-2</v>
      </c>
      <c r="S72" s="11">
        <f t="shared" si="10"/>
        <v>2.8125000000001066E-3</v>
      </c>
      <c r="T72" s="11">
        <f t="shared" si="11"/>
        <v>-2.486788144350411E-2</v>
      </c>
      <c r="U72" s="11">
        <f t="shared" si="13"/>
        <v>-6.8737475436754679E-3</v>
      </c>
      <c r="V72" s="11" cm="1">
        <f t="array" ref="V72">SUMPRODUCT(L72:T72,TRANSPOSE($Y$5:$Y$13))</f>
        <v>-8.6731609336583321E-3</v>
      </c>
    </row>
    <row r="73" spans="1:22" x14ac:dyDescent="0.2">
      <c r="A73" s="1">
        <v>44340</v>
      </c>
      <c r="B73" s="3">
        <v>85.760002</v>
      </c>
      <c r="C73" s="3">
        <v>17.450001</v>
      </c>
      <c r="D73" s="3">
        <v>26.07</v>
      </c>
      <c r="E73" s="3">
        <v>64.25</v>
      </c>
      <c r="F73" s="3">
        <v>19.48</v>
      </c>
      <c r="G73" s="3">
        <v>24.620000999999998</v>
      </c>
      <c r="H73" s="3">
        <v>26.389999</v>
      </c>
      <c r="I73" s="3">
        <v>32</v>
      </c>
      <c r="J73" s="3">
        <v>109.779999</v>
      </c>
      <c r="L73" s="11">
        <f t="shared" si="12"/>
        <v>1.0844012769637574E-2</v>
      </c>
      <c r="M73" s="11">
        <f t="shared" si="4"/>
        <v>5.7637463976944608E-3</v>
      </c>
      <c r="N73" s="11">
        <f t="shared" si="5"/>
        <v>2.692307692307703E-3</v>
      </c>
      <c r="O73" s="11">
        <f t="shared" si="6"/>
        <v>2.1787515556814321E-2</v>
      </c>
      <c r="P73" s="11">
        <f t="shared" si="7"/>
        <v>5.5254661714770441E-2</v>
      </c>
      <c r="Q73" s="11">
        <f t="shared" si="8"/>
        <v>4.0783442088090901E-3</v>
      </c>
      <c r="R73" s="11">
        <f t="shared" si="9"/>
        <v>1.6955606283020921E-2</v>
      </c>
      <c r="S73" s="11">
        <f t="shared" si="10"/>
        <v>1.1697787280992277E-2</v>
      </c>
      <c r="T73" s="11">
        <f t="shared" si="11"/>
        <v>3.4734642875052508E-3</v>
      </c>
      <c r="U73" s="11">
        <f t="shared" si="13"/>
        <v>1.4727494021283559E-2</v>
      </c>
      <c r="V73" s="11" cm="1">
        <f t="array" ref="V73">SUMPRODUCT(L73:T73,TRANSPOSE($Y$5:$Y$13))</f>
        <v>1.360209104790573E-2</v>
      </c>
    </row>
    <row r="74" spans="1:22" x14ac:dyDescent="0.2">
      <c r="A74" s="1">
        <v>44337</v>
      </c>
      <c r="B74" s="3">
        <v>84.839995999999999</v>
      </c>
      <c r="C74" s="3">
        <v>17.350000000000001</v>
      </c>
      <c r="D74" s="3">
        <v>26</v>
      </c>
      <c r="E74" s="3">
        <v>62.880001</v>
      </c>
      <c r="F74" s="3">
        <v>18.459999</v>
      </c>
      <c r="G74" s="3">
        <v>24.52</v>
      </c>
      <c r="H74" s="3">
        <v>25.950001</v>
      </c>
      <c r="I74" s="3">
        <v>31.629999000000002</v>
      </c>
      <c r="J74" s="3">
        <v>109.400002</v>
      </c>
      <c r="L74" s="11">
        <f t="shared" si="12"/>
        <v>1.5346122244671852E-3</v>
      </c>
      <c r="M74" s="11">
        <f t="shared" si="4"/>
        <v>5.7971014492754448E-3</v>
      </c>
      <c r="N74" s="11">
        <f t="shared" si="5"/>
        <v>-6.1162079510703416E-3</v>
      </c>
      <c r="O74" s="11">
        <f t="shared" si="6"/>
        <v>6.5631502070889443E-3</v>
      </c>
      <c r="P74" s="11">
        <f t="shared" si="7"/>
        <v>-1.9128639744952203E-2</v>
      </c>
      <c r="Q74" s="11">
        <f t="shared" si="8"/>
        <v>-2.3496653783486542E-2</v>
      </c>
      <c r="R74" s="11">
        <f t="shared" si="9"/>
        <v>7.7134593135366769E-4</v>
      </c>
      <c r="S74" s="11">
        <f t="shared" si="10"/>
        <v>-1.2179918800749581E-2</v>
      </c>
      <c r="T74" s="11">
        <f t="shared" si="11"/>
        <v>-1.5390144762936294E-2</v>
      </c>
      <c r="U74" s="11">
        <f t="shared" si="13"/>
        <v>-6.8494839145566352E-3</v>
      </c>
      <c r="V74" s="11" cm="1">
        <f t="array" ref="V74">SUMPRODUCT(L74:T74,TRANSPOSE($Y$5:$Y$13))</f>
        <v>-7.7035499993946023E-3</v>
      </c>
    </row>
    <row r="75" spans="1:22" x14ac:dyDescent="0.2">
      <c r="A75" s="1">
        <v>44336</v>
      </c>
      <c r="B75" s="3">
        <v>84.709998999999996</v>
      </c>
      <c r="C75" s="3">
        <v>17.25</v>
      </c>
      <c r="D75" s="3">
        <v>26.16</v>
      </c>
      <c r="E75" s="3">
        <v>62.470001000000003</v>
      </c>
      <c r="F75" s="3">
        <v>18.82</v>
      </c>
      <c r="G75" s="3">
        <v>25.110001</v>
      </c>
      <c r="H75" s="3">
        <v>25.93</v>
      </c>
      <c r="I75" s="3">
        <v>32.020000000000003</v>
      </c>
      <c r="J75" s="3">
        <v>111.110001</v>
      </c>
      <c r="L75" s="11">
        <f t="shared" si="12"/>
        <v>-1.0613678869799983E-3</v>
      </c>
      <c r="M75" s="11">
        <f t="shared" si="4"/>
        <v>1.7422184519289815E-3</v>
      </c>
      <c r="N75" s="11">
        <f t="shared" si="5"/>
        <v>-2.3880560592558213E-2</v>
      </c>
      <c r="O75" s="11">
        <f t="shared" si="6"/>
        <v>4.5348110620753369E-2</v>
      </c>
      <c r="P75" s="11">
        <f t="shared" si="7"/>
        <v>-1.2591763514783026E-2</v>
      </c>
      <c r="Q75" s="11">
        <f t="shared" si="8"/>
        <v>2.1978062678062685E-2</v>
      </c>
      <c r="R75" s="11">
        <f t="shared" si="9"/>
        <v>-8.4130019120458466E-3</v>
      </c>
      <c r="S75" s="11">
        <f t="shared" si="10"/>
        <v>6.9182706578073613E-3</v>
      </c>
      <c r="T75" s="11">
        <f t="shared" si="11"/>
        <v>-1.0155893095768401E-2</v>
      </c>
      <c r="U75" s="11">
        <f t="shared" si="13"/>
        <v>2.2093417118241015E-3</v>
      </c>
      <c r="V75" s="11" cm="1">
        <f t="array" ref="V75">SUMPRODUCT(L75:T75,TRANSPOSE($Y$5:$Y$13))</f>
        <v>9.7281823106485027E-4</v>
      </c>
    </row>
    <row r="76" spans="1:22" x14ac:dyDescent="0.2">
      <c r="A76" s="1">
        <v>44335</v>
      </c>
      <c r="B76" s="3">
        <v>84.800003000000004</v>
      </c>
      <c r="C76" s="3">
        <v>17.219999000000001</v>
      </c>
      <c r="D76" s="3">
        <v>26.799999</v>
      </c>
      <c r="E76" s="3">
        <v>59.759998000000003</v>
      </c>
      <c r="F76" s="3">
        <v>19.059999000000001</v>
      </c>
      <c r="G76" s="3">
        <v>24.57</v>
      </c>
      <c r="H76" s="3">
        <v>26.15</v>
      </c>
      <c r="I76" s="3">
        <v>31.799999</v>
      </c>
      <c r="J76" s="3">
        <v>112.25</v>
      </c>
      <c r="L76" s="11">
        <f t="shared" si="12"/>
        <v>-2.3529058823528967E-3</v>
      </c>
      <c r="M76" s="11">
        <f t="shared" si="4"/>
        <v>-4.6242777239465906E-3</v>
      </c>
      <c r="N76" s="11">
        <f t="shared" si="5"/>
        <v>1.869121495327091E-3</v>
      </c>
      <c r="O76" s="11">
        <f t="shared" si="6"/>
        <v>-2.0327901639344212E-2</v>
      </c>
      <c r="P76" s="11">
        <f t="shared" si="7"/>
        <v>-2.3565624999999917E-2</v>
      </c>
      <c r="Q76" s="11">
        <f t="shared" si="8"/>
        <v>6.142506142506084E-3</v>
      </c>
      <c r="R76" s="11">
        <f t="shared" si="9"/>
        <v>-7.5901328273245859E-3</v>
      </c>
      <c r="S76" s="11">
        <f t="shared" si="10"/>
        <v>-5.9393873085338781E-3</v>
      </c>
      <c r="T76" s="11">
        <f t="shared" si="11"/>
        <v>-2.0506091108308741E-2</v>
      </c>
      <c r="U76" s="11">
        <f t="shared" si="13"/>
        <v>-8.5438548724419607E-3</v>
      </c>
      <c r="V76" s="11" cm="1">
        <f t="array" ref="V76">SUMPRODUCT(L76:T76,TRANSPOSE($Y$5:$Y$13))</f>
        <v>-9.7400784960286375E-3</v>
      </c>
    </row>
    <row r="77" spans="1:22" x14ac:dyDescent="0.2">
      <c r="A77" s="1">
        <v>44334</v>
      </c>
      <c r="B77" s="3">
        <v>85</v>
      </c>
      <c r="C77" s="3">
        <v>17.299999</v>
      </c>
      <c r="D77" s="3">
        <v>26.75</v>
      </c>
      <c r="E77" s="3">
        <v>61</v>
      </c>
      <c r="F77" s="3">
        <v>19.52</v>
      </c>
      <c r="G77" s="3">
        <v>24.42</v>
      </c>
      <c r="H77" s="3">
        <v>26.35</v>
      </c>
      <c r="I77" s="3">
        <v>31.99</v>
      </c>
      <c r="J77" s="3">
        <v>114.599998</v>
      </c>
      <c r="L77" s="11">
        <f t="shared" si="12"/>
        <v>-5.3826235125511331E-3</v>
      </c>
      <c r="M77" s="11">
        <f t="shared" si="4"/>
        <v>-1.5927246871444745E-2</v>
      </c>
      <c r="N77" s="11">
        <f t="shared" si="5"/>
        <v>-7.7892807043501685E-3</v>
      </c>
      <c r="O77" s="11">
        <f t="shared" si="6"/>
        <v>1.8024066022165094E-2</v>
      </c>
      <c r="P77" s="11">
        <f t="shared" si="7"/>
        <v>-1.0235925781170944E-3</v>
      </c>
      <c r="Q77" s="11">
        <f t="shared" si="8"/>
        <v>-7.3170731707316956E-3</v>
      </c>
      <c r="R77" s="11">
        <f t="shared" si="9"/>
        <v>-1.1627906976744137E-2</v>
      </c>
      <c r="S77" s="11">
        <f t="shared" si="10"/>
        <v>-2.5289457647775803E-2</v>
      </c>
      <c r="T77" s="11">
        <f t="shared" si="11"/>
        <v>1.0047585140556922E-2</v>
      </c>
      <c r="U77" s="11">
        <f t="shared" si="13"/>
        <v>-5.1428366998880837E-3</v>
      </c>
      <c r="V77" s="11" cm="1">
        <f t="array" ref="V77">SUMPRODUCT(L77:T77,TRANSPOSE($Y$5:$Y$13))</f>
        <v>-3.6237945158435836E-3</v>
      </c>
    </row>
    <row r="78" spans="1:22" x14ac:dyDescent="0.2">
      <c r="A78" s="1">
        <v>44333</v>
      </c>
      <c r="B78" s="3">
        <v>85.459998999999996</v>
      </c>
      <c r="C78" s="3">
        <v>17.579999999999998</v>
      </c>
      <c r="D78" s="3">
        <v>26.959999</v>
      </c>
      <c r="E78" s="3">
        <v>59.919998</v>
      </c>
      <c r="F78" s="3">
        <v>19.540001</v>
      </c>
      <c r="G78" s="3">
        <v>24.6</v>
      </c>
      <c r="H78" s="3">
        <v>26.66</v>
      </c>
      <c r="I78" s="3">
        <v>32.82</v>
      </c>
      <c r="J78" s="3">
        <v>113.459999</v>
      </c>
      <c r="L78" s="11">
        <f t="shared" si="12"/>
        <v>1.9322555788289838E-2</v>
      </c>
      <c r="M78" s="11">
        <f t="shared" si="4"/>
        <v>-1.5126050420168241E-2</v>
      </c>
      <c r="N78" s="11">
        <f t="shared" si="5"/>
        <v>2.2304460966543213E-3</v>
      </c>
      <c r="O78" s="11">
        <f t="shared" si="6"/>
        <v>1.9220904588860326E-2</v>
      </c>
      <c r="P78" s="11">
        <f t="shared" si="7"/>
        <v>5.1440326572000398E-3</v>
      </c>
      <c r="Q78" s="11">
        <f t="shared" si="8"/>
        <v>1.6109087819458464E-2</v>
      </c>
      <c r="R78" s="11">
        <f t="shared" si="9"/>
        <v>1.3688251471036195E-2</v>
      </c>
      <c r="S78" s="11">
        <f t="shared" si="10"/>
        <v>-1.263543846958844E-2</v>
      </c>
      <c r="T78" s="11">
        <f t="shared" si="11"/>
        <v>2.6230110821818243E-2</v>
      </c>
      <c r="U78" s="11">
        <f t="shared" si="13"/>
        <v>8.2426555948400832E-3</v>
      </c>
      <c r="V78" s="11" cm="1">
        <f t="array" ref="V78">SUMPRODUCT(L78:T78,TRANSPOSE($Y$5:$Y$13))</f>
        <v>1.00414011175379E-2</v>
      </c>
    </row>
    <row r="79" spans="1:22" x14ac:dyDescent="0.2">
      <c r="A79" s="1">
        <v>44330</v>
      </c>
      <c r="B79" s="3">
        <v>83.839995999999999</v>
      </c>
      <c r="C79" s="3">
        <v>17.850000000000001</v>
      </c>
      <c r="D79" s="3">
        <v>26.9</v>
      </c>
      <c r="E79" s="3">
        <v>58.790000999999997</v>
      </c>
      <c r="F79" s="3">
        <v>19.440000999999999</v>
      </c>
      <c r="G79" s="3">
        <v>24.209999</v>
      </c>
      <c r="H79" s="3">
        <v>26.299999</v>
      </c>
      <c r="I79" s="3">
        <v>33.240001999999997</v>
      </c>
      <c r="J79" s="3">
        <v>110.55999799999999</v>
      </c>
      <c r="L79" s="11">
        <f t="shared" si="12"/>
        <v>3.2766642030056567E-2</v>
      </c>
      <c r="M79" s="11">
        <f t="shared" si="4"/>
        <v>3.4782608695652258E-2</v>
      </c>
      <c r="N79" s="11">
        <f t="shared" si="5"/>
        <v>-1.4651978558680574E-2</v>
      </c>
      <c r="O79" s="11">
        <f t="shared" si="6"/>
        <v>0</v>
      </c>
      <c r="P79" s="11">
        <f t="shared" si="7"/>
        <v>5.1471950591863301E-4</v>
      </c>
      <c r="Q79" s="11">
        <f t="shared" si="8"/>
        <v>2.1518902045615927E-2</v>
      </c>
      <c r="R79" s="11">
        <f t="shared" si="9"/>
        <v>5.2420928371348589E-2</v>
      </c>
      <c r="S79" s="11">
        <f t="shared" si="10"/>
        <v>5.1406713032959373E-3</v>
      </c>
      <c r="T79" s="11">
        <f t="shared" si="11"/>
        <v>-1.7157080934431225E-2</v>
      </c>
      <c r="U79" s="11">
        <f t="shared" si="13"/>
        <v>1.2815045828752904E-2</v>
      </c>
      <c r="V79" s="11" cm="1">
        <f t="array" ref="V79">SUMPRODUCT(L79:T79,TRANSPOSE($Y$5:$Y$13))</f>
        <v>9.8178331524344901E-3</v>
      </c>
    </row>
    <row r="80" spans="1:22" x14ac:dyDescent="0.2">
      <c r="A80" s="1">
        <v>44329</v>
      </c>
      <c r="B80" s="3">
        <v>81.180000000000007</v>
      </c>
      <c r="C80" s="3">
        <v>17.25</v>
      </c>
      <c r="D80" s="3">
        <v>27.299999</v>
      </c>
      <c r="E80" s="3">
        <v>58.790000999999997</v>
      </c>
      <c r="F80" s="3">
        <v>19.43</v>
      </c>
      <c r="G80" s="3">
        <v>23.700001</v>
      </c>
      <c r="H80" s="3">
        <v>24.99</v>
      </c>
      <c r="I80" s="3">
        <v>33.07</v>
      </c>
      <c r="J80" s="3">
        <v>112.489998</v>
      </c>
      <c r="L80" s="11">
        <f t="shared" si="12"/>
        <v>9.7014674203615842E-3</v>
      </c>
      <c r="M80" s="11">
        <f t="shared" si="4"/>
        <v>4.8544079555110286E-3</v>
      </c>
      <c r="N80" s="11">
        <f t="shared" si="5"/>
        <v>-1.4084578761842555E-2</v>
      </c>
      <c r="O80" s="11">
        <f t="shared" si="6"/>
        <v>8.4048371939079609E-3</v>
      </c>
      <c r="P80" s="11">
        <f t="shared" si="7"/>
        <v>4.6535677352636945E-3</v>
      </c>
      <c r="Q80" s="11">
        <f t="shared" si="8"/>
        <v>1.8478770949720703E-2</v>
      </c>
      <c r="R80" s="11">
        <f t="shared" si="9"/>
        <v>8.4745355740703902E-3</v>
      </c>
      <c r="S80" s="11">
        <f t="shared" si="10"/>
        <v>2.1212121212121297E-3</v>
      </c>
      <c r="T80" s="11">
        <f t="shared" si="11"/>
        <v>-1.6093798371489519E-2</v>
      </c>
      <c r="U80" s="11">
        <f t="shared" si="13"/>
        <v>2.9456024240794914E-3</v>
      </c>
      <c r="V80" s="11" cm="1">
        <f t="array" ref="V80">SUMPRODUCT(L80:T80,TRANSPOSE($Y$5:$Y$13))</f>
        <v>1.0416623445225906E-3</v>
      </c>
    </row>
    <row r="81" spans="1:22" x14ac:dyDescent="0.2">
      <c r="A81" s="1">
        <v>44328</v>
      </c>
      <c r="B81" s="3">
        <v>80.400002000000001</v>
      </c>
      <c r="C81" s="3">
        <v>17.166665999999999</v>
      </c>
      <c r="D81" s="3">
        <v>27.690000999999999</v>
      </c>
      <c r="E81" s="3">
        <v>58.299999</v>
      </c>
      <c r="F81" s="3">
        <v>19.34</v>
      </c>
      <c r="G81" s="3">
        <v>23.27</v>
      </c>
      <c r="H81" s="3">
        <v>24.780000999999999</v>
      </c>
      <c r="I81" s="3">
        <v>33</v>
      </c>
      <c r="J81" s="3">
        <v>114.33000199999999</v>
      </c>
      <c r="L81" s="11">
        <f t="shared" si="12"/>
        <v>-1.9512170731707308E-2</v>
      </c>
      <c r="M81" s="11">
        <f t="shared" si="4"/>
        <v>-2.5544048712506193E-2</v>
      </c>
      <c r="N81" s="11">
        <f t="shared" si="5"/>
        <v>-2.1554700408293333E-2</v>
      </c>
      <c r="O81" s="11">
        <f t="shared" si="6"/>
        <v>-7.22469923615532E-2</v>
      </c>
      <c r="P81" s="11">
        <f t="shared" si="7"/>
        <v>-1.3265306122449059E-2</v>
      </c>
      <c r="Q81" s="11">
        <f t="shared" si="8"/>
        <v>-6.2827225130890008E-2</v>
      </c>
      <c r="R81" s="11">
        <f t="shared" si="9"/>
        <v>-1.471168986083499E-2</v>
      </c>
      <c r="S81" s="11">
        <f t="shared" si="10"/>
        <v>-4.5691206148571084E-2</v>
      </c>
      <c r="T81" s="11">
        <f t="shared" si="11"/>
        <v>-3.6977754068583633E-2</v>
      </c>
      <c r="U81" s="11">
        <f t="shared" si="13"/>
        <v>-3.470345483837653E-2</v>
      </c>
      <c r="V81" s="11" cm="1">
        <f t="array" ref="V81">SUMPRODUCT(L81:T81,TRANSPOSE($Y$5:$Y$13))</f>
        <v>-3.4930884761397246E-2</v>
      </c>
    </row>
    <row r="82" spans="1:22" x14ac:dyDescent="0.2">
      <c r="A82" s="1">
        <v>44327</v>
      </c>
      <c r="B82" s="3">
        <v>82</v>
      </c>
      <c r="C82" s="3">
        <v>17.616667</v>
      </c>
      <c r="D82" s="3">
        <v>28.299999</v>
      </c>
      <c r="E82" s="3">
        <v>62.84</v>
      </c>
      <c r="F82" s="3">
        <v>19.600000000000001</v>
      </c>
      <c r="G82" s="3">
        <v>24.83</v>
      </c>
      <c r="H82" s="3">
        <v>25.15</v>
      </c>
      <c r="I82" s="3">
        <v>34.580002</v>
      </c>
      <c r="J82" s="3">
        <v>118.720001</v>
      </c>
      <c r="L82" s="11">
        <f t="shared" si="12"/>
        <v>3.9177277179235203E-3</v>
      </c>
      <c r="M82" s="11">
        <f t="shared" si="4"/>
        <v>-8.4427207670815171E-3</v>
      </c>
      <c r="N82" s="11">
        <f t="shared" si="5"/>
        <v>9.9928265524625304E-3</v>
      </c>
      <c r="O82" s="11">
        <f t="shared" si="6"/>
        <v>-1.7474344440438834E-3</v>
      </c>
      <c r="P82" s="11">
        <f t="shared" si="7"/>
        <v>-4.5708987013254772E-3</v>
      </c>
      <c r="Q82" s="11">
        <f t="shared" si="8"/>
        <v>-8.3866210708219181E-3</v>
      </c>
      <c r="R82" s="11">
        <f t="shared" si="9"/>
        <v>1.8218582258356923E-2</v>
      </c>
      <c r="S82" s="11">
        <f t="shared" si="10"/>
        <v>1.9758242406369916E-2</v>
      </c>
      <c r="T82" s="11">
        <f t="shared" si="11"/>
        <v>3.5138189290466568E-2</v>
      </c>
      <c r="U82" s="11">
        <f t="shared" si="13"/>
        <v>7.0975436935896297E-3</v>
      </c>
      <c r="V82" s="11" cm="1">
        <f t="array" ref="V82">SUMPRODUCT(L82:T82,TRANSPOSE($Y$5:$Y$13))</f>
        <v>9.9016082532773237E-3</v>
      </c>
    </row>
    <row r="83" spans="1:22" x14ac:dyDescent="0.2">
      <c r="A83" s="1">
        <v>44326</v>
      </c>
      <c r="B83" s="3">
        <v>81.680000000000007</v>
      </c>
      <c r="C83" s="3">
        <v>17.766666000000001</v>
      </c>
      <c r="D83" s="3">
        <v>28.02</v>
      </c>
      <c r="E83" s="3">
        <v>62.950001</v>
      </c>
      <c r="F83" s="3">
        <v>19.690000999999999</v>
      </c>
      <c r="G83" s="3">
        <v>25.040001</v>
      </c>
      <c r="H83" s="3">
        <v>24.700001</v>
      </c>
      <c r="I83" s="3">
        <v>33.909999999999997</v>
      </c>
      <c r="J83" s="3">
        <v>114.69000200000001</v>
      </c>
      <c r="L83" s="11">
        <f t="shared" si="12"/>
        <v>7.2759160081843823E-3</v>
      </c>
      <c r="M83" s="11">
        <f t="shared" si="4"/>
        <v>-7.4999995781765581E-4</v>
      </c>
      <c r="N83" s="11">
        <f t="shared" si="5"/>
        <v>4.3010752688172399E-3</v>
      </c>
      <c r="O83" s="11">
        <f t="shared" si="6"/>
        <v>-4.1132416407727371E-3</v>
      </c>
      <c r="P83" s="11">
        <f t="shared" si="7"/>
        <v>-3.9512146341463474E-2</v>
      </c>
      <c r="Q83" s="11">
        <f t="shared" si="8"/>
        <v>8.8638597904915351E-3</v>
      </c>
      <c r="R83" s="11">
        <f t="shared" si="9"/>
        <v>1.3125595288170387E-2</v>
      </c>
      <c r="S83" s="11">
        <f t="shared" si="10"/>
        <v>-1.9658860942469117E-2</v>
      </c>
      <c r="T83" s="11">
        <f t="shared" si="11"/>
        <v>-6.5828931983427366E-3</v>
      </c>
      <c r="U83" s="11">
        <f t="shared" si="13"/>
        <v>-4.1167439694669086E-3</v>
      </c>
      <c r="V83" s="11" cm="1">
        <f t="array" ref="V83">SUMPRODUCT(L83:T83,TRANSPOSE($Y$5:$Y$13))</f>
        <v>-4.3633588923544919E-3</v>
      </c>
    </row>
    <row r="84" spans="1:22" x14ac:dyDescent="0.2">
      <c r="A84" s="1">
        <v>44323</v>
      </c>
      <c r="B84" s="3">
        <v>81.089995999999999</v>
      </c>
      <c r="C84" s="3">
        <v>17.780000999999999</v>
      </c>
      <c r="D84" s="3">
        <v>27.9</v>
      </c>
      <c r="E84" s="3">
        <v>63.209999000000003</v>
      </c>
      <c r="F84" s="3">
        <v>20.5</v>
      </c>
      <c r="G84" s="3">
        <v>24.82</v>
      </c>
      <c r="H84" s="3">
        <v>24.379999000000002</v>
      </c>
      <c r="I84" s="3">
        <v>34.590000000000003</v>
      </c>
      <c r="J84" s="3">
        <v>115.449997</v>
      </c>
      <c r="L84" s="11">
        <f t="shared" si="12"/>
        <v>1.3624949999999992E-2</v>
      </c>
      <c r="M84" s="11">
        <f t="shared" si="4"/>
        <v>5.0000141732294542E-2</v>
      </c>
      <c r="N84" s="11">
        <f t="shared" si="5"/>
        <v>1.7953321364451403E-3</v>
      </c>
      <c r="O84" s="11">
        <f t="shared" si="6"/>
        <v>2.3312271329124175E-2</v>
      </c>
      <c r="P84" s="11">
        <f t="shared" si="7"/>
        <v>2.4449387557487004E-3</v>
      </c>
      <c r="Q84" s="11">
        <f t="shared" si="8"/>
        <v>4.2419195397698208E-2</v>
      </c>
      <c r="R84" s="11">
        <f t="shared" si="9"/>
        <v>3.7446765957446872E-2</v>
      </c>
      <c r="S84" s="11">
        <f t="shared" si="10"/>
        <v>2.2465207066792461E-2</v>
      </c>
      <c r="T84" s="11">
        <f t="shared" si="11"/>
        <v>3.4766969975654188E-3</v>
      </c>
      <c r="U84" s="11">
        <f t="shared" si="13"/>
        <v>2.1887277708123945E-2</v>
      </c>
      <c r="V84" s="11" cm="1">
        <f t="array" ref="V84">SUMPRODUCT(L84:T84,TRANSPOSE($Y$5:$Y$13))</f>
        <v>2.004621963706809E-2</v>
      </c>
    </row>
    <row r="85" spans="1:22" x14ac:dyDescent="0.2">
      <c r="A85" s="1">
        <v>44322</v>
      </c>
      <c r="B85" s="3">
        <v>80</v>
      </c>
      <c r="C85" s="3">
        <v>16.933332</v>
      </c>
      <c r="D85" s="3">
        <v>27.85</v>
      </c>
      <c r="E85" s="3">
        <v>61.77</v>
      </c>
      <c r="F85" s="3">
        <v>20.450001</v>
      </c>
      <c r="G85" s="3">
        <v>23.809999000000001</v>
      </c>
      <c r="H85" s="3">
        <v>23.5</v>
      </c>
      <c r="I85" s="3">
        <v>33.830002</v>
      </c>
      <c r="J85" s="3">
        <v>115.050003</v>
      </c>
      <c r="L85" s="11">
        <f t="shared" si="12"/>
        <v>6.9226308466695573E-3</v>
      </c>
      <c r="M85" s="11">
        <f t="shared" si="4"/>
        <v>-1.3592272372515389E-2</v>
      </c>
      <c r="N85" s="11">
        <f t="shared" si="5"/>
        <v>-1.4341700048106176E-3</v>
      </c>
      <c r="O85" s="11">
        <f t="shared" si="6"/>
        <v>2.759772816875802E-3</v>
      </c>
      <c r="P85" s="11">
        <f t="shared" si="7"/>
        <v>-2.1998995695839303E-2</v>
      </c>
      <c r="Q85" s="11">
        <f t="shared" si="8"/>
        <v>5.9146176594845595E-3</v>
      </c>
      <c r="R85" s="11">
        <f t="shared" si="9"/>
        <v>-1.3848090642047768E-2</v>
      </c>
      <c r="S85" s="11">
        <f t="shared" si="10"/>
        <v>-3.5345801609843832E-3</v>
      </c>
      <c r="T85" s="11">
        <f t="shared" si="11"/>
        <v>3.920155396261911E-2</v>
      </c>
      <c r="U85" s="11">
        <f t="shared" si="13"/>
        <v>4.3385156605729882E-5</v>
      </c>
      <c r="V85" s="11" cm="1">
        <f t="array" ref="V85">SUMPRODUCT(L85:T85,TRANSPOSE($Y$5:$Y$13))</f>
        <v>3.9592020372070684E-3</v>
      </c>
    </row>
    <row r="86" spans="1:22" x14ac:dyDescent="0.2">
      <c r="A86" s="1">
        <v>44321</v>
      </c>
      <c r="B86" s="3">
        <v>79.449996999999996</v>
      </c>
      <c r="C86" s="3">
        <v>17.166665999999999</v>
      </c>
      <c r="D86" s="3">
        <v>27.889999</v>
      </c>
      <c r="E86" s="3">
        <v>61.599997999999999</v>
      </c>
      <c r="F86" s="3">
        <v>20.91</v>
      </c>
      <c r="G86" s="3">
        <v>23.67</v>
      </c>
      <c r="H86" s="3">
        <v>23.83</v>
      </c>
      <c r="I86" s="3">
        <v>33.950001</v>
      </c>
      <c r="J86" s="3">
        <v>110.709999</v>
      </c>
      <c r="L86" s="11">
        <f t="shared" si="12"/>
        <v>4.5394697368421E-2</v>
      </c>
      <c r="M86" s="11">
        <f t="shared" ref="M86:M149" si="14">(C86-C87)/C87</f>
        <v>1.6380521988189567E-2</v>
      </c>
      <c r="N86" s="11">
        <f t="shared" ref="N86:N149" si="15">(D86-D87)/D87</f>
        <v>1.8626735523255424E-2</v>
      </c>
      <c r="O86" s="11">
        <f t="shared" ref="O86:O149" si="16">(E86-E87)/E87</f>
        <v>-1.8170289506844416E-2</v>
      </c>
      <c r="P86" s="11">
        <f t="shared" ref="P86:P149" si="17">(F86-F87)/F87</f>
        <v>-4.285714285714279E-3</v>
      </c>
      <c r="Q86" s="11">
        <f t="shared" ref="Q86:Q149" si="18">(G86-G87)/G87</f>
        <v>8.4566596194516393E-4</v>
      </c>
      <c r="R86" s="11">
        <f t="shared" ref="R86:R149" si="19">(H86-H87)/H87</f>
        <v>4.1066013152730972E-2</v>
      </c>
      <c r="S86" s="11">
        <f t="shared" ref="S86:S149" si="20">(I86-I87)/I87</f>
        <v>3.1288063869262708E-2</v>
      </c>
      <c r="T86" s="11">
        <f t="shared" ref="T86:T149" si="21">(J86-J87)/J87</f>
        <v>5.540426985293832E-3</v>
      </c>
      <c r="U86" s="11">
        <f t="shared" si="13"/>
        <v>1.5187346784059995E-2</v>
      </c>
      <c r="V86" s="11" cm="1">
        <f t="array" ref="V86">SUMPRODUCT(L86:T86,TRANSPOSE($Y$5:$Y$13))</f>
        <v>1.4222654804183381E-2</v>
      </c>
    </row>
    <row r="87" spans="1:22" x14ac:dyDescent="0.2">
      <c r="A87" s="1">
        <v>44320</v>
      </c>
      <c r="B87" s="3">
        <v>76</v>
      </c>
      <c r="C87" s="3">
        <v>16.889999</v>
      </c>
      <c r="D87" s="3">
        <v>27.379999000000002</v>
      </c>
      <c r="E87" s="3">
        <v>62.740001999999997</v>
      </c>
      <c r="F87" s="3">
        <v>21</v>
      </c>
      <c r="G87" s="3">
        <v>23.65</v>
      </c>
      <c r="H87" s="3">
        <v>22.889999</v>
      </c>
      <c r="I87" s="3">
        <v>32.919998</v>
      </c>
      <c r="J87" s="3">
        <v>110.099998</v>
      </c>
      <c r="L87" s="11">
        <f t="shared" si="12"/>
        <v>5.0250857567408855E-3</v>
      </c>
      <c r="M87" s="11">
        <f t="shared" si="14"/>
        <v>-1.5925518899766178E-2</v>
      </c>
      <c r="N87" s="11">
        <f t="shared" si="15"/>
        <v>-5.4486739757109741E-3</v>
      </c>
      <c r="O87" s="11">
        <f t="shared" si="16"/>
        <v>-2.1369505204032052E-2</v>
      </c>
      <c r="P87" s="11">
        <f t="shared" si="17"/>
        <v>2.3865869982535887E-3</v>
      </c>
      <c r="Q87" s="11">
        <f t="shared" si="18"/>
        <v>-1.4583333333333393E-2</v>
      </c>
      <c r="R87" s="11">
        <f t="shared" si="19"/>
        <v>-2.3047417840375596E-2</v>
      </c>
      <c r="S87" s="11">
        <f t="shared" si="20"/>
        <v>-6.9382801243873526E-3</v>
      </c>
      <c r="T87" s="11">
        <f t="shared" si="21"/>
        <v>1.5120772774486224E-2</v>
      </c>
      <c r="U87" s="11">
        <f t="shared" si="13"/>
        <v>-7.1978093164583156E-3</v>
      </c>
      <c r="V87" s="11" cm="1">
        <f t="array" ref="V87">SUMPRODUCT(L87:T87,TRANSPOSE($Y$5:$Y$13))</f>
        <v>-4.9659511073638606E-3</v>
      </c>
    </row>
    <row r="88" spans="1:22" x14ac:dyDescent="0.2">
      <c r="A88" s="1">
        <v>44319</v>
      </c>
      <c r="B88" s="3">
        <v>75.620002999999997</v>
      </c>
      <c r="C88" s="3">
        <v>17.163333999999999</v>
      </c>
      <c r="D88" s="3">
        <v>27.530000999999999</v>
      </c>
      <c r="E88" s="3">
        <v>64.110000999999997</v>
      </c>
      <c r="F88" s="3">
        <v>20.950001</v>
      </c>
      <c r="G88" s="3">
        <v>24</v>
      </c>
      <c r="H88" s="3">
        <v>23.43</v>
      </c>
      <c r="I88" s="3">
        <v>33.150002000000001</v>
      </c>
      <c r="J88" s="3">
        <v>108.459999</v>
      </c>
      <c r="L88" s="11">
        <f t="shared" si="12"/>
        <v>-3.9654989037546438E-4</v>
      </c>
      <c r="M88" s="11">
        <f t="shared" si="14"/>
        <v>-1.9409709491641154E-4</v>
      </c>
      <c r="N88" s="11">
        <f t="shared" si="15"/>
        <v>-1.2553730722874233E-2</v>
      </c>
      <c r="O88" s="11">
        <f t="shared" si="16"/>
        <v>-2.9549298776861159E-3</v>
      </c>
      <c r="P88" s="11">
        <f t="shared" si="17"/>
        <v>4.3144772620097123E-3</v>
      </c>
      <c r="Q88" s="11">
        <f t="shared" si="18"/>
        <v>4.2118929999178094E-2</v>
      </c>
      <c r="R88" s="11">
        <f t="shared" si="19"/>
        <v>-8.0440724790823998E-3</v>
      </c>
      <c r="S88" s="11">
        <f t="shared" si="20"/>
        <v>1.8120423276399802E-2</v>
      </c>
      <c r="T88" s="11">
        <f t="shared" si="21"/>
        <v>-5.1366539663361696E-3</v>
      </c>
      <c r="U88" s="11">
        <f t="shared" si="13"/>
        <v>3.9193107229240909E-3</v>
      </c>
      <c r="V88" s="11" cm="1">
        <f t="array" ref="V88">SUMPRODUCT(L88:T88,TRANSPOSE($Y$5:$Y$13))</f>
        <v>3.0137142539980646E-3</v>
      </c>
    </row>
    <row r="89" spans="1:22" x14ac:dyDescent="0.2">
      <c r="A89" s="1">
        <v>44316</v>
      </c>
      <c r="B89" s="3">
        <v>75.650002000000001</v>
      </c>
      <c r="C89" s="3">
        <v>17.166665999999999</v>
      </c>
      <c r="D89" s="3">
        <v>27.879999000000002</v>
      </c>
      <c r="E89" s="3">
        <v>64.300003000000004</v>
      </c>
      <c r="F89" s="3">
        <v>20.860001</v>
      </c>
      <c r="G89" s="3">
        <v>23.030000999999999</v>
      </c>
      <c r="H89" s="3">
        <v>23.620000999999998</v>
      </c>
      <c r="I89" s="3">
        <v>32.560001</v>
      </c>
      <c r="J89" s="3">
        <v>109.019997</v>
      </c>
      <c r="L89" s="11">
        <f t="shared" si="12"/>
        <v>-6.8267823769669273E-3</v>
      </c>
      <c r="M89" s="11">
        <f t="shared" si="14"/>
        <v>-1.9980971264737329E-2</v>
      </c>
      <c r="N89" s="11">
        <f t="shared" si="15"/>
        <v>-1.1347588250085481E-2</v>
      </c>
      <c r="O89" s="11">
        <f t="shared" si="16"/>
        <v>1.4675777413220471E-2</v>
      </c>
      <c r="P89" s="11">
        <f t="shared" si="17"/>
        <v>-2.7958901582427816E-2</v>
      </c>
      <c r="Q89" s="11">
        <f t="shared" si="18"/>
        <v>-1.7072087067861764E-2</v>
      </c>
      <c r="R89" s="11">
        <f t="shared" si="19"/>
        <v>0</v>
      </c>
      <c r="S89" s="11">
        <f t="shared" si="20"/>
        <v>-2.4857682685165798E-2</v>
      </c>
      <c r="T89" s="11">
        <f t="shared" si="21"/>
        <v>-2.6172399093498794E-2</v>
      </c>
      <c r="U89" s="11">
        <f t="shared" si="13"/>
        <v>-1.3282292767502604E-2</v>
      </c>
      <c r="V89" s="11" cm="1">
        <f t="array" ref="V89">SUMPRODUCT(L89:T89,TRANSPOSE($Y$5:$Y$13))</f>
        <v>-1.4571303400102223E-2</v>
      </c>
    </row>
    <row r="90" spans="1:22" x14ac:dyDescent="0.2">
      <c r="A90" s="1">
        <v>44315</v>
      </c>
      <c r="B90" s="3">
        <v>76.169998000000007</v>
      </c>
      <c r="C90" s="3">
        <v>17.516666000000001</v>
      </c>
      <c r="D90" s="3">
        <v>28.200001</v>
      </c>
      <c r="E90" s="3">
        <v>63.369999</v>
      </c>
      <c r="F90" s="3">
        <v>21.459999</v>
      </c>
      <c r="G90" s="3">
        <v>23.43</v>
      </c>
      <c r="H90" s="3">
        <v>23.620000999999998</v>
      </c>
      <c r="I90" s="3">
        <v>33.389999000000003</v>
      </c>
      <c r="J90" s="3">
        <v>111.949997</v>
      </c>
      <c r="L90" s="11">
        <f t="shared" si="12"/>
        <v>-8.4613642280654319E-3</v>
      </c>
      <c r="M90" s="11">
        <f t="shared" si="14"/>
        <v>-1.9589607843477404E-2</v>
      </c>
      <c r="N90" s="11">
        <f t="shared" si="15"/>
        <v>0</v>
      </c>
      <c r="O90" s="11">
        <f t="shared" si="16"/>
        <v>3.9607098219377346E-3</v>
      </c>
      <c r="P90" s="11">
        <f t="shared" si="17"/>
        <v>-5.1701283769389546E-2</v>
      </c>
      <c r="Q90" s="11">
        <f t="shared" si="18"/>
        <v>-2.1711940638332358E-2</v>
      </c>
      <c r="R90" s="11">
        <f t="shared" si="19"/>
        <v>-1.3366749650511723E-2</v>
      </c>
      <c r="S90" s="11">
        <f t="shared" si="20"/>
        <v>1.4585202066241464E-2</v>
      </c>
      <c r="T90" s="11">
        <f t="shared" si="21"/>
        <v>2.6803967598345961E-4</v>
      </c>
      <c r="U90" s="11">
        <f t="shared" si="13"/>
        <v>-1.0668554951734868E-2</v>
      </c>
      <c r="V90" s="11" cm="1">
        <f t="array" ref="V90">SUMPRODUCT(L90:T90,TRANSPOSE($Y$5:$Y$13))</f>
        <v>-9.5748954889630349E-3</v>
      </c>
    </row>
    <row r="91" spans="1:22" x14ac:dyDescent="0.2">
      <c r="A91" s="1">
        <v>44314</v>
      </c>
      <c r="B91" s="3">
        <v>76.819999999999993</v>
      </c>
      <c r="C91" s="3">
        <v>17.866667</v>
      </c>
      <c r="D91" s="3">
        <v>28.200001</v>
      </c>
      <c r="E91" s="3">
        <v>63.119999</v>
      </c>
      <c r="F91" s="3">
        <v>22.629999000000002</v>
      </c>
      <c r="G91" s="3">
        <v>23.950001</v>
      </c>
      <c r="H91" s="3">
        <v>23.940000999999999</v>
      </c>
      <c r="I91" s="3">
        <v>32.909999999999997</v>
      </c>
      <c r="J91" s="3">
        <v>111.91999800000001</v>
      </c>
      <c r="L91" s="11">
        <f t="shared" si="12"/>
        <v>4.5769451474179639E-3</v>
      </c>
      <c r="M91" s="11">
        <f t="shared" si="14"/>
        <v>1.2275750708215358E-2</v>
      </c>
      <c r="N91" s="11">
        <f t="shared" si="15"/>
        <v>-3.6885244641897325E-2</v>
      </c>
      <c r="O91" s="11">
        <f t="shared" si="16"/>
        <v>3.4075982403735598E-2</v>
      </c>
      <c r="P91" s="11">
        <f t="shared" si="17"/>
        <v>3.6646770499313024E-2</v>
      </c>
      <c r="Q91" s="11">
        <f t="shared" si="18"/>
        <v>1.3542192701743186E-2</v>
      </c>
      <c r="R91" s="11">
        <f t="shared" si="19"/>
        <v>3.6363679653679537E-2</v>
      </c>
      <c r="S91" s="11">
        <f t="shared" si="20"/>
        <v>7.9631848108308225E-3</v>
      </c>
      <c r="T91" s="11">
        <f t="shared" si="21"/>
        <v>1.6345758726505028E-2</v>
      </c>
      <c r="U91" s="11">
        <f t="shared" si="13"/>
        <v>1.3878335556615908E-2</v>
      </c>
      <c r="V91" s="11" cm="1">
        <f t="array" ref="V91">SUMPRODUCT(L91:T91,TRANSPOSE($Y$5:$Y$13))</f>
        <v>1.4125077873604824E-2</v>
      </c>
    </row>
    <row r="92" spans="1:22" x14ac:dyDescent="0.2">
      <c r="A92" s="1">
        <v>44313</v>
      </c>
      <c r="B92" s="3">
        <v>76.470000999999996</v>
      </c>
      <c r="C92" s="3">
        <v>17.649999999999999</v>
      </c>
      <c r="D92" s="3">
        <v>29.280000999999999</v>
      </c>
      <c r="E92" s="3">
        <v>61.040000999999997</v>
      </c>
      <c r="F92" s="3">
        <v>21.83</v>
      </c>
      <c r="G92" s="3">
        <v>23.629999000000002</v>
      </c>
      <c r="H92" s="3">
        <v>23.1</v>
      </c>
      <c r="I92" s="3">
        <v>32.650002000000001</v>
      </c>
      <c r="J92" s="3">
        <v>110.120003</v>
      </c>
      <c r="L92" s="11">
        <f t="shared" si="12"/>
        <v>-5.7210112744241221E-3</v>
      </c>
      <c r="M92" s="11">
        <f t="shared" si="14"/>
        <v>-1.1318619128468095E-3</v>
      </c>
      <c r="N92" s="11">
        <f t="shared" si="15"/>
        <v>1.0700794294124663E-2</v>
      </c>
      <c r="O92" s="11">
        <f t="shared" si="16"/>
        <v>-1.4211838314335912E-2</v>
      </c>
      <c r="P92" s="11">
        <f t="shared" si="17"/>
        <v>-2.3266219239373741E-2</v>
      </c>
      <c r="Q92" s="11">
        <f t="shared" si="18"/>
        <v>-1.541670833333327E-2</v>
      </c>
      <c r="R92" s="11">
        <f t="shared" si="19"/>
        <v>-2.8595499218019259E-2</v>
      </c>
      <c r="S92" s="11">
        <f t="shared" si="20"/>
        <v>-2.2455088475743203E-2</v>
      </c>
      <c r="T92" s="11">
        <f t="shared" si="21"/>
        <v>1.4276531270148328E-2</v>
      </c>
      <c r="U92" s="11">
        <f t="shared" si="13"/>
        <v>-9.5356556893114799E-3</v>
      </c>
      <c r="V92" s="11" cm="1">
        <f t="array" ref="V92">SUMPRODUCT(L92:T92,TRANSPOSE($Y$5:$Y$13))</f>
        <v>-7.1544369933654994E-3</v>
      </c>
    </row>
    <row r="93" spans="1:22" x14ac:dyDescent="0.2">
      <c r="A93" s="1">
        <v>44312</v>
      </c>
      <c r="B93" s="3">
        <v>76.910004000000001</v>
      </c>
      <c r="C93" s="3">
        <v>17.670000000000002</v>
      </c>
      <c r="D93" s="3">
        <v>28.969999000000001</v>
      </c>
      <c r="E93" s="3">
        <v>61.919998</v>
      </c>
      <c r="F93" s="3">
        <v>22.35</v>
      </c>
      <c r="G93" s="3">
        <v>24</v>
      </c>
      <c r="H93" s="3">
        <v>23.780000999999999</v>
      </c>
      <c r="I93" s="3">
        <v>33.400002000000001</v>
      </c>
      <c r="J93" s="3">
        <v>108.57</v>
      </c>
      <c r="L93" s="11">
        <f t="shared" si="12"/>
        <v>-3.2578566037735839E-2</v>
      </c>
      <c r="M93" s="11">
        <f t="shared" si="14"/>
        <v>-1.3216642338668715E-2</v>
      </c>
      <c r="N93" s="11">
        <f t="shared" si="15"/>
        <v>-5.4926194813806938E-3</v>
      </c>
      <c r="O93" s="11">
        <f t="shared" si="16"/>
        <v>3.5655915143340002E-3</v>
      </c>
      <c r="P93" s="11">
        <f t="shared" si="17"/>
        <v>-1.9736799111263043E-2</v>
      </c>
      <c r="Q93" s="11">
        <f t="shared" si="18"/>
        <v>1.824352991090368E-2</v>
      </c>
      <c r="R93" s="11">
        <f t="shared" si="19"/>
        <v>3.7990711777513165E-3</v>
      </c>
      <c r="S93" s="11">
        <f t="shared" si="20"/>
        <v>4.8134774480459936E-3</v>
      </c>
      <c r="T93" s="11">
        <f t="shared" si="21"/>
        <v>5.3708862926360387E-3</v>
      </c>
      <c r="U93" s="11">
        <f t="shared" si="13"/>
        <v>-3.9146745139308076E-3</v>
      </c>
      <c r="V93" s="11" cm="1">
        <f t="array" ref="V93">SUMPRODUCT(L93:T93,TRANSPOSE($Y$5:$Y$13))</f>
        <v>-2.986118433274123E-3</v>
      </c>
    </row>
    <row r="94" spans="1:22" x14ac:dyDescent="0.2">
      <c r="A94" s="1">
        <v>44309</v>
      </c>
      <c r="B94" s="3">
        <v>79.5</v>
      </c>
      <c r="C94" s="3">
        <v>17.906666000000001</v>
      </c>
      <c r="D94" s="3">
        <v>29.129999000000002</v>
      </c>
      <c r="E94" s="3">
        <v>61.700001</v>
      </c>
      <c r="F94" s="3">
        <v>22.799999</v>
      </c>
      <c r="G94" s="3">
        <v>23.57</v>
      </c>
      <c r="H94" s="3">
        <v>23.690000999999999</v>
      </c>
      <c r="I94" s="3">
        <v>33.240001999999997</v>
      </c>
      <c r="J94" s="3">
        <v>107.989998</v>
      </c>
      <c r="L94" s="11">
        <f t="shared" si="12"/>
        <v>7.3492399226871901E-3</v>
      </c>
      <c r="M94" s="11">
        <f t="shared" si="14"/>
        <v>6.9353140943827774E-3</v>
      </c>
      <c r="N94" s="11">
        <f t="shared" si="15"/>
        <v>-5.802047979592018E-3</v>
      </c>
      <c r="O94" s="11">
        <f t="shared" si="16"/>
        <v>1.3635649969371617E-2</v>
      </c>
      <c r="P94" s="11">
        <f t="shared" si="17"/>
        <v>3.0741318682580586E-2</v>
      </c>
      <c r="Q94" s="11">
        <f t="shared" si="18"/>
        <v>2.0346320346320296E-2</v>
      </c>
      <c r="R94" s="11">
        <f t="shared" si="19"/>
        <v>-8.4344162140205362E-4</v>
      </c>
      <c r="S94" s="11">
        <f t="shared" si="20"/>
        <v>3.4547182242540136E-2</v>
      </c>
      <c r="T94" s="11">
        <f t="shared" si="21"/>
        <v>1.6567776996109129E-2</v>
      </c>
      <c r="U94" s="11">
        <f t="shared" si="13"/>
        <v>1.3719701405888629E-2</v>
      </c>
      <c r="V94" s="11" cm="1">
        <f t="array" ref="V94">SUMPRODUCT(L94:T94,TRANSPOSE($Y$5:$Y$13))</f>
        <v>1.4004508964910678E-2</v>
      </c>
    </row>
    <row r="95" spans="1:22" x14ac:dyDescent="0.2">
      <c r="A95" s="1">
        <v>44308</v>
      </c>
      <c r="B95" s="3">
        <v>78.919998000000007</v>
      </c>
      <c r="C95" s="3">
        <v>17.783332999999999</v>
      </c>
      <c r="D95" s="3">
        <v>29.299999</v>
      </c>
      <c r="E95" s="3">
        <v>60.869999</v>
      </c>
      <c r="F95" s="3">
        <v>22.120000999999998</v>
      </c>
      <c r="G95" s="3">
        <v>23.1</v>
      </c>
      <c r="H95" s="3">
        <v>23.709999</v>
      </c>
      <c r="I95" s="3">
        <v>32.130001</v>
      </c>
      <c r="J95" s="3">
        <v>106.230003</v>
      </c>
      <c r="L95" s="11">
        <f t="shared" si="12"/>
        <v>1.1416465522861908E-3</v>
      </c>
      <c r="M95" s="11">
        <f t="shared" si="14"/>
        <v>-6.8875467940264449E-3</v>
      </c>
      <c r="N95" s="11">
        <f t="shared" si="15"/>
        <v>-2.6254602858092394E-2</v>
      </c>
      <c r="O95" s="11">
        <f t="shared" si="16"/>
        <v>-1.4729686220940156E-2</v>
      </c>
      <c r="P95" s="11">
        <f t="shared" si="17"/>
        <v>-3.1947439824945426E-2</v>
      </c>
      <c r="Q95" s="11">
        <f t="shared" si="18"/>
        <v>-3.4684496447973182E-2</v>
      </c>
      <c r="R95" s="11">
        <f t="shared" si="19"/>
        <v>-4.6180100755667695E-3</v>
      </c>
      <c r="S95" s="11">
        <f t="shared" si="20"/>
        <v>-1.5926522761009344E-2</v>
      </c>
      <c r="T95" s="11">
        <f t="shared" si="21"/>
        <v>6.5937262021952925E-4</v>
      </c>
      <c r="U95" s="11">
        <f t="shared" si="13"/>
        <v>-1.4805253978894222E-2</v>
      </c>
      <c r="V95" s="11" cm="1">
        <f t="array" ref="V95">SUMPRODUCT(L95:T95,TRANSPOSE($Y$5:$Y$13))</f>
        <v>-1.3258791318982846E-2</v>
      </c>
    </row>
    <row r="96" spans="1:22" x14ac:dyDescent="0.2">
      <c r="A96" s="1">
        <v>44306</v>
      </c>
      <c r="B96" s="3">
        <v>78.830001999999993</v>
      </c>
      <c r="C96" s="3">
        <v>17.906666000000001</v>
      </c>
      <c r="D96" s="3">
        <v>30.09</v>
      </c>
      <c r="E96" s="3">
        <v>61.779998999999997</v>
      </c>
      <c r="F96" s="3">
        <v>22.85</v>
      </c>
      <c r="G96" s="3">
        <v>23.93</v>
      </c>
      <c r="H96" s="3">
        <v>23.82</v>
      </c>
      <c r="I96" s="3">
        <v>32.650002000000001</v>
      </c>
      <c r="J96" s="3">
        <v>106.160004</v>
      </c>
      <c r="L96" s="11">
        <f t="shared" si="12"/>
        <v>3.4369145477829589E-3</v>
      </c>
      <c r="M96" s="11">
        <f t="shared" si="14"/>
        <v>-1.1773454096387588E-2</v>
      </c>
      <c r="N96" s="11">
        <f t="shared" si="15"/>
        <v>8.3780160857908851E-3</v>
      </c>
      <c r="O96" s="11">
        <f t="shared" si="16"/>
        <v>-1.0570147510732722E-2</v>
      </c>
      <c r="P96" s="11">
        <f t="shared" si="17"/>
        <v>-2.1413276231263382E-2</v>
      </c>
      <c r="Q96" s="11">
        <f t="shared" si="18"/>
        <v>4.180602006688131E-4</v>
      </c>
      <c r="R96" s="11">
        <f t="shared" si="19"/>
        <v>-1.8945674672748092E-2</v>
      </c>
      <c r="S96" s="11">
        <f t="shared" si="20"/>
        <v>4.6154461538461733E-3</v>
      </c>
      <c r="T96" s="11">
        <f t="shared" si="21"/>
        <v>-1.4573461025523185E-2</v>
      </c>
      <c r="U96" s="11">
        <f t="shared" si="13"/>
        <v>-6.714175172062904E-3</v>
      </c>
      <c r="V96" s="11" cm="1">
        <f t="array" ref="V96">SUMPRODUCT(L96:T96,TRANSPOSE($Y$5:$Y$13))</f>
        <v>-7.5001037574089326E-3</v>
      </c>
    </row>
    <row r="97" spans="1:22" x14ac:dyDescent="0.2">
      <c r="A97" s="1">
        <v>44305</v>
      </c>
      <c r="B97" s="3">
        <v>78.559997999999993</v>
      </c>
      <c r="C97" s="3">
        <v>18.120000999999998</v>
      </c>
      <c r="D97" s="3">
        <v>29.84</v>
      </c>
      <c r="E97" s="3">
        <v>62.439999</v>
      </c>
      <c r="F97" s="3">
        <v>23.35</v>
      </c>
      <c r="G97" s="3">
        <v>23.92</v>
      </c>
      <c r="H97" s="3">
        <v>24.280000999999999</v>
      </c>
      <c r="I97" s="3">
        <v>32.5</v>
      </c>
      <c r="J97" s="3">
        <v>107.730003</v>
      </c>
      <c r="L97" s="11">
        <f t="shared" si="12"/>
        <v>-1.2817340718337757E-2</v>
      </c>
      <c r="M97" s="11">
        <f t="shared" si="14"/>
        <v>-1.8772420466824983E-2</v>
      </c>
      <c r="N97" s="11">
        <f t="shared" si="15"/>
        <v>1.0497764629266394E-2</v>
      </c>
      <c r="O97" s="11">
        <f t="shared" si="16"/>
        <v>-2.7111265191648588E-2</v>
      </c>
      <c r="P97" s="11">
        <f t="shared" si="17"/>
        <v>-1.059322033898305E-2</v>
      </c>
      <c r="Q97" s="11">
        <f t="shared" si="18"/>
        <v>2.9350104821803053E-3</v>
      </c>
      <c r="R97" s="11">
        <f t="shared" si="19"/>
        <v>5.7952067191630985E-2</v>
      </c>
      <c r="S97" s="11">
        <f t="shared" si="20"/>
        <v>6.8153967414931911E-3</v>
      </c>
      <c r="T97" s="11">
        <f t="shared" si="21"/>
        <v>-8.6499955581117276E-3</v>
      </c>
      <c r="U97" s="11">
        <f t="shared" si="13"/>
        <v>2.8444085629418833E-5</v>
      </c>
      <c r="V97" s="11" cm="1">
        <f t="array" ref="V97">SUMPRODUCT(L97:T97,TRANSPOSE($Y$5:$Y$13))</f>
        <v>-8.3939987874469529E-4</v>
      </c>
    </row>
    <row r="98" spans="1:22" x14ac:dyDescent="0.2">
      <c r="A98" s="1">
        <v>44302</v>
      </c>
      <c r="B98" s="3">
        <v>79.580001999999993</v>
      </c>
      <c r="C98" s="3">
        <v>18.466664999999999</v>
      </c>
      <c r="D98" s="3">
        <v>29.530000999999999</v>
      </c>
      <c r="E98" s="3">
        <v>64.180000000000007</v>
      </c>
      <c r="F98" s="3">
        <v>23.6</v>
      </c>
      <c r="G98" s="3">
        <v>23.85</v>
      </c>
      <c r="H98" s="3">
        <v>22.950001</v>
      </c>
      <c r="I98" s="3">
        <v>32.279998999999997</v>
      </c>
      <c r="J98" s="3">
        <v>108.66999800000001</v>
      </c>
      <c r="L98" s="11">
        <f t="shared" si="12"/>
        <v>-1.6923966037948129E-2</v>
      </c>
      <c r="M98" s="11">
        <f t="shared" si="14"/>
        <v>1.5395840007178892E-2</v>
      </c>
      <c r="N98" s="11">
        <f t="shared" si="15"/>
        <v>-1.7304426532593266E-2</v>
      </c>
      <c r="O98" s="11">
        <f t="shared" si="16"/>
        <v>9.119528588664539E-3</v>
      </c>
      <c r="P98" s="11">
        <f t="shared" si="17"/>
        <v>1.4617368873602744E-2</v>
      </c>
      <c r="Q98" s="11">
        <f t="shared" si="18"/>
        <v>5.480649472202761E-3</v>
      </c>
      <c r="R98" s="11">
        <f t="shared" si="19"/>
        <v>-6.0631875270679746E-3</v>
      </c>
      <c r="S98" s="11">
        <f t="shared" si="20"/>
        <v>1.0012515957838319E-2</v>
      </c>
      <c r="T98" s="11">
        <f t="shared" si="21"/>
        <v>4.2509842366786317E-3</v>
      </c>
      <c r="U98" s="11">
        <f t="shared" si="13"/>
        <v>2.0650341153951681E-3</v>
      </c>
      <c r="V98" s="11" cm="1">
        <f t="array" ref="V98">SUMPRODUCT(L98:T98,TRANSPOSE($Y$5:$Y$13))</f>
        <v>2.2836291275235149E-3</v>
      </c>
    </row>
    <row r="99" spans="1:22" x14ac:dyDescent="0.2">
      <c r="A99" s="1">
        <v>44301</v>
      </c>
      <c r="B99" s="3">
        <v>80.949996999999996</v>
      </c>
      <c r="C99" s="3">
        <v>18.186665999999999</v>
      </c>
      <c r="D99" s="3">
        <v>30.049999</v>
      </c>
      <c r="E99" s="3">
        <v>63.599997999999999</v>
      </c>
      <c r="F99" s="3">
        <v>23.26</v>
      </c>
      <c r="G99" s="3">
        <v>23.719999000000001</v>
      </c>
      <c r="H99" s="3">
        <v>23.09</v>
      </c>
      <c r="I99" s="3">
        <v>31.959999</v>
      </c>
      <c r="J99" s="3">
        <v>108.209999</v>
      </c>
      <c r="L99" s="11">
        <f t="shared" si="12"/>
        <v>8.3522929775437418E-2</v>
      </c>
      <c r="M99" s="11">
        <f t="shared" si="14"/>
        <v>-8.5407602064881839E-3</v>
      </c>
      <c r="N99" s="11">
        <f t="shared" si="15"/>
        <v>1.1784444047661794E-2</v>
      </c>
      <c r="O99" s="11">
        <f t="shared" si="16"/>
        <v>-7.8560877342943793E-4</v>
      </c>
      <c r="P99" s="11">
        <f t="shared" si="17"/>
        <v>-2.1449593369780788E-3</v>
      </c>
      <c r="Q99" s="11">
        <f t="shared" si="18"/>
        <v>1.8900256920092177E-2</v>
      </c>
      <c r="R99" s="11">
        <f t="shared" si="19"/>
        <v>-5.1745379876796775E-2</v>
      </c>
      <c r="S99" s="11">
        <f t="shared" si="20"/>
        <v>-1.9631872370053507E-2</v>
      </c>
      <c r="T99" s="11">
        <f t="shared" si="21"/>
        <v>1.1308401869158843E-2</v>
      </c>
      <c r="U99" s="11">
        <f t="shared" si="13"/>
        <v>4.7408280054004734E-3</v>
      </c>
      <c r="V99" s="11" cm="1">
        <f t="array" ref="V99">SUMPRODUCT(L99:T99,TRANSPOSE($Y$5:$Y$13))</f>
        <v>5.3975853917763109E-3</v>
      </c>
    </row>
    <row r="100" spans="1:22" x14ac:dyDescent="0.2">
      <c r="A100" s="1">
        <v>44300</v>
      </c>
      <c r="B100" s="3">
        <v>74.709998999999996</v>
      </c>
      <c r="C100" s="3">
        <v>18.343332</v>
      </c>
      <c r="D100" s="3">
        <v>29.700001</v>
      </c>
      <c r="E100" s="3">
        <v>63.650002000000001</v>
      </c>
      <c r="F100" s="3">
        <v>23.309999000000001</v>
      </c>
      <c r="G100" s="3">
        <v>23.280000999999999</v>
      </c>
      <c r="H100" s="3">
        <v>24.35</v>
      </c>
      <c r="I100" s="3">
        <v>32.599997999999999</v>
      </c>
      <c r="J100" s="3">
        <v>107</v>
      </c>
      <c r="L100" s="11">
        <f t="shared" si="12"/>
        <v>4.3016535058696959E-3</v>
      </c>
      <c r="M100" s="11">
        <f t="shared" si="14"/>
        <v>-4.8824596660006917E-3</v>
      </c>
      <c r="N100" s="11">
        <f t="shared" si="15"/>
        <v>-8.6781711841846017E-3</v>
      </c>
      <c r="O100" s="11">
        <f t="shared" si="16"/>
        <v>7.120268874679295E-3</v>
      </c>
      <c r="P100" s="11">
        <f t="shared" si="17"/>
        <v>-3.1574615704196056E-2</v>
      </c>
      <c r="Q100" s="11">
        <f t="shared" si="18"/>
        <v>-2.1848656380195692E-2</v>
      </c>
      <c r="R100" s="11">
        <f t="shared" si="19"/>
        <v>1.5853192150738098E-2</v>
      </c>
      <c r="S100" s="11">
        <f t="shared" si="20"/>
        <v>-3.4360191609016197E-2</v>
      </c>
      <c r="T100" s="11">
        <f t="shared" si="21"/>
        <v>3.3017937188300178E-2</v>
      </c>
      <c r="U100" s="11">
        <f t="shared" si="13"/>
        <v>-4.5612269804451095E-3</v>
      </c>
      <c r="V100" s="11" cm="1">
        <f t="array" ref="V100">SUMPRODUCT(L100:T100,TRANSPOSE($Y$5:$Y$13))</f>
        <v>-8.0331056357058062E-4</v>
      </c>
    </row>
    <row r="101" spans="1:22" x14ac:dyDescent="0.2">
      <c r="A101" s="1">
        <v>44299</v>
      </c>
      <c r="B101" s="3">
        <v>74.389999000000003</v>
      </c>
      <c r="C101" s="3">
        <v>18.433332</v>
      </c>
      <c r="D101" s="3">
        <v>29.959999</v>
      </c>
      <c r="E101" s="3">
        <v>63.200001</v>
      </c>
      <c r="F101" s="3">
        <v>24.07</v>
      </c>
      <c r="G101" s="3">
        <v>23.799999</v>
      </c>
      <c r="H101" s="3">
        <v>23.969999000000001</v>
      </c>
      <c r="I101" s="3">
        <v>33.759998000000003</v>
      </c>
      <c r="J101" s="3">
        <v>103.58000199999999</v>
      </c>
      <c r="L101" s="11">
        <f t="shared" si="12"/>
        <v>1.3447163758288489E-4</v>
      </c>
      <c r="M101" s="11">
        <f t="shared" si="14"/>
        <v>-8.4275416890801404E-3</v>
      </c>
      <c r="N101" s="11">
        <f t="shared" si="15"/>
        <v>3.3382302725130149E-4</v>
      </c>
      <c r="O101" s="11">
        <f t="shared" si="16"/>
        <v>3.4931883137504518E-3</v>
      </c>
      <c r="P101" s="11">
        <f t="shared" si="17"/>
        <v>9.3097184377838357E-2</v>
      </c>
      <c r="Q101" s="11">
        <f t="shared" si="18"/>
        <v>1.1474627646637205E-2</v>
      </c>
      <c r="R101" s="11">
        <f t="shared" si="19"/>
        <v>3.3486815968473607E-3</v>
      </c>
      <c r="S101" s="11">
        <f t="shared" si="20"/>
        <v>0</v>
      </c>
      <c r="T101" s="11">
        <f t="shared" si="21"/>
        <v>1.7408123454387614E-3</v>
      </c>
      <c r="U101" s="11">
        <f t="shared" si="13"/>
        <v>1.1688360806251796E-2</v>
      </c>
      <c r="V101" s="11" cm="1">
        <f t="array" ref="V101">SUMPRODUCT(L101:T101,TRANSPOSE($Y$5:$Y$13))</f>
        <v>1.0693605960170495E-2</v>
      </c>
    </row>
    <row r="102" spans="1:22" x14ac:dyDescent="0.2">
      <c r="A102" s="1">
        <v>44298</v>
      </c>
      <c r="B102" s="3">
        <v>74.379997000000003</v>
      </c>
      <c r="C102" s="3">
        <v>18.59</v>
      </c>
      <c r="D102" s="3">
        <v>29.950001</v>
      </c>
      <c r="E102" s="3">
        <v>62.98</v>
      </c>
      <c r="F102" s="3">
        <v>22.02</v>
      </c>
      <c r="G102" s="3">
        <v>23.530000999999999</v>
      </c>
      <c r="H102" s="3">
        <v>23.889999</v>
      </c>
      <c r="I102" s="3">
        <v>33.759998000000003</v>
      </c>
      <c r="J102" s="3">
        <v>103.400002</v>
      </c>
      <c r="L102" s="11">
        <f t="shared" si="12"/>
        <v>-1.4767217472605773E-3</v>
      </c>
      <c r="M102" s="11">
        <f t="shared" si="14"/>
        <v>9.9601959420569999E-3</v>
      </c>
      <c r="N102" s="11">
        <f t="shared" si="15"/>
        <v>1.7323368976787792E-2</v>
      </c>
      <c r="O102" s="11">
        <f t="shared" si="16"/>
        <v>-1.587871040232713E-4</v>
      </c>
      <c r="P102" s="11">
        <f t="shared" si="17"/>
        <v>5.0205385668644197E-3</v>
      </c>
      <c r="Q102" s="11">
        <f t="shared" si="18"/>
        <v>-7.1729954779327521E-3</v>
      </c>
      <c r="R102" s="11">
        <f t="shared" si="19"/>
        <v>1.0147949260042324E-2</v>
      </c>
      <c r="S102" s="11">
        <f t="shared" si="20"/>
        <v>-1.2287946167349229E-2</v>
      </c>
      <c r="T102" s="11">
        <f t="shared" si="21"/>
        <v>3.8835145631068023E-3</v>
      </c>
      <c r="U102" s="11">
        <f t="shared" si="13"/>
        <v>2.8043463124769459E-3</v>
      </c>
      <c r="V102" s="11" cm="1">
        <f t="array" ref="V102">SUMPRODUCT(L102:T102,TRANSPOSE($Y$5:$Y$13))</f>
        <v>2.9122631375399313E-3</v>
      </c>
    </row>
    <row r="103" spans="1:22" x14ac:dyDescent="0.2">
      <c r="A103" s="1">
        <v>44295</v>
      </c>
      <c r="B103" s="3">
        <v>74.489998</v>
      </c>
      <c r="C103" s="3">
        <v>18.406666000000001</v>
      </c>
      <c r="D103" s="3">
        <v>29.440000999999999</v>
      </c>
      <c r="E103" s="3">
        <v>62.990001999999997</v>
      </c>
      <c r="F103" s="3">
        <v>21.91</v>
      </c>
      <c r="G103" s="3">
        <v>23.700001</v>
      </c>
      <c r="H103" s="3">
        <v>23.65</v>
      </c>
      <c r="I103" s="3">
        <v>34.18</v>
      </c>
      <c r="J103" s="3">
        <v>103</v>
      </c>
      <c r="L103" s="11">
        <f t="shared" si="12"/>
        <v>1.8597033444429062E-2</v>
      </c>
      <c r="M103" s="11">
        <f t="shared" si="14"/>
        <v>-1.1280268374569859E-2</v>
      </c>
      <c r="N103" s="11">
        <f t="shared" si="15"/>
        <v>8.9102467443454084E-3</v>
      </c>
      <c r="O103" s="11">
        <f t="shared" si="16"/>
        <v>-9.5911323770796735E-3</v>
      </c>
      <c r="P103" s="11">
        <f t="shared" si="17"/>
        <v>-2.1438098322380427E-2</v>
      </c>
      <c r="Q103" s="11">
        <f t="shared" si="18"/>
        <v>1.3686998019118768E-2</v>
      </c>
      <c r="R103" s="11">
        <f t="shared" si="19"/>
        <v>-2.1097467464242614E-3</v>
      </c>
      <c r="S103" s="11">
        <f t="shared" si="20"/>
        <v>-2.6262036766852466E-3</v>
      </c>
      <c r="T103" s="11">
        <f t="shared" si="21"/>
        <v>-1.4354066985645933E-2</v>
      </c>
      <c r="U103" s="11">
        <f t="shared" si="13"/>
        <v>-2.2450264749880179E-3</v>
      </c>
      <c r="V103" s="11" cm="1">
        <f t="array" ref="V103">SUMPRODUCT(L103:T103,TRANSPOSE($Y$5:$Y$13))</f>
        <v>-3.4559305260538097E-3</v>
      </c>
    </row>
    <row r="104" spans="1:22" x14ac:dyDescent="0.2">
      <c r="A104" s="1">
        <v>44294</v>
      </c>
      <c r="B104" s="3">
        <v>73.129997000000003</v>
      </c>
      <c r="C104" s="3">
        <v>18.616667</v>
      </c>
      <c r="D104" s="3">
        <v>29.18</v>
      </c>
      <c r="E104" s="3">
        <v>63.599997999999999</v>
      </c>
      <c r="F104" s="3">
        <v>22.389999</v>
      </c>
      <c r="G104" s="3">
        <v>23.379999000000002</v>
      </c>
      <c r="H104" s="3">
        <v>23.700001</v>
      </c>
      <c r="I104" s="3">
        <v>34.270000000000003</v>
      </c>
      <c r="J104" s="3">
        <v>104.5</v>
      </c>
      <c r="L104" s="11">
        <f t="shared" si="12"/>
        <v>1.9944212828907189E-2</v>
      </c>
      <c r="M104" s="11">
        <f t="shared" si="14"/>
        <v>1.6378581123879105E-2</v>
      </c>
      <c r="N104" s="11">
        <f t="shared" si="15"/>
        <v>1.2140131807145385E-2</v>
      </c>
      <c r="O104" s="11">
        <f t="shared" si="16"/>
        <v>1.9230704511836373E-2</v>
      </c>
      <c r="P104" s="11">
        <f t="shared" si="17"/>
        <v>9.0129784131150244E-3</v>
      </c>
      <c r="Q104" s="11">
        <f t="shared" si="18"/>
        <v>-2.5427303042934429E-2</v>
      </c>
      <c r="R104" s="11">
        <f t="shared" si="19"/>
        <v>-1.249995833333332E-2</v>
      </c>
      <c r="S104" s="11">
        <f t="shared" si="20"/>
        <v>-1.438021282714984E-2</v>
      </c>
      <c r="T104" s="11">
        <f t="shared" si="21"/>
        <v>-5.7381408901703611E-4</v>
      </c>
      <c r="U104" s="11">
        <f t="shared" si="13"/>
        <v>2.6472578213831612E-3</v>
      </c>
      <c r="V104" s="11" cm="1">
        <f t="array" ref="V104">SUMPRODUCT(L104:T104,TRANSPOSE($Y$5:$Y$13))</f>
        <v>2.3251506303431421E-3</v>
      </c>
    </row>
    <row r="105" spans="1:22" x14ac:dyDescent="0.2">
      <c r="A105" s="1">
        <v>44293</v>
      </c>
      <c r="B105" s="3">
        <v>71.699996999999996</v>
      </c>
      <c r="C105" s="3">
        <v>18.316666000000001</v>
      </c>
      <c r="D105" s="3">
        <v>28.83</v>
      </c>
      <c r="E105" s="3">
        <v>62.400002000000001</v>
      </c>
      <c r="F105" s="3">
        <v>22.190000999999999</v>
      </c>
      <c r="G105" s="3">
        <v>23.99</v>
      </c>
      <c r="H105" s="3">
        <v>24</v>
      </c>
      <c r="I105" s="3">
        <v>34.770000000000003</v>
      </c>
      <c r="J105" s="3">
        <v>104.55999799999999</v>
      </c>
      <c r="L105" s="11">
        <f t="shared" si="12"/>
        <v>-1.7673668109978627E-2</v>
      </c>
      <c r="M105" s="11">
        <f t="shared" si="14"/>
        <v>-2.179099288558221E-3</v>
      </c>
      <c r="N105" s="11">
        <f t="shared" si="15"/>
        <v>8.041958041957932E-3</v>
      </c>
      <c r="O105" s="11">
        <f t="shared" si="16"/>
        <v>6.4145284410761522E-4</v>
      </c>
      <c r="P105" s="11">
        <f t="shared" si="17"/>
        <v>-2.2466959362689082E-2</v>
      </c>
      <c r="Q105" s="11">
        <f t="shared" si="18"/>
        <v>-1.1536876802637047E-2</v>
      </c>
      <c r="R105" s="11">
        <f t="shared" si="19"/>
        <v>-8.3263946711072329E-4</v>
      </c>
      <c r="S105" s="11">
        <f t="shared" si="20"/>
        <v>-4.2954756182974731E-3</v>
      </c>
      <c r="T105" s="11">
        <f t="shared" si="21"/>
        <v>2.4595736660585784E-2</v>
      </c>
      <c r="U105" s="11">
        <f t="shared" si="13"/>
        <v>-2.8561745669577611E-3</v>
      </c>
      <c r="V105" s="11" cm="1">
        <f t="array" ref="V105">SUMPRODUCT(L105:T105,TRANSPOSE($Y$5:$Y$13))</f>
        <v>-1.1098344420340609E-4</v>
      </c>
    </row>
    <row r="106" spans="1:22" x14ac:dyDescent="0.2">
      <c r="A106" s="1">
        <v>44292</v>
      </c>
      <c r="B106" s="3">
        <v>72.989998</v>
      </c>
      <c r="C106" s="3">
        <v>18.356667000000002</v>
      </c>
      <c r="D106" s="3">
        <v>28.6</v>
      </c>
      <c r="E106" s="3">
        <v>62.360000999999997</v>
      </c>
      <c r="F106" s="3">
        <v>22.700001</v>
      </c>
      <c r="G106" s="3">
        <v>24.27</v>
      </c>
      <c r="H106" s="3">
        <v>24.02</v>
      </c>
      <c r="I106" s="3">
        <v>34.919998</v>
      </c>
      <c r="J106" s="3">
        <v>102.050003</v>
      </c>
      <c r="L106" s="11">
        <f t="shared" si="12"/>
        <v>2.7593960686948568E-2</v>
      </c>
      <c r="M106" s="11">
        <f t="shared" si="14"/>
        <v>1.3807068965260143E-2</v>
      </c>
      <c r="N106" s="11">
        <f t="shared" si="15"/>
        <v>1.8518518518518632E-2</v>
      </c>
      <c r="O106" s="11">
        <f t="shared" si="16"/>
        <v>1.3489387509985176E-2</v>
      </c>
      <c r="P106" s="11">
        <f t="shared" si="17"/>
        <v>-6.1295534150612755E-3</v>
      </c>
      <c r="Q106" s="11">
        <f t="shared" si="18"/>
        <v>-1.1405255047057236E-2</v>
      </c>
      <c r="R106" s="11">
        <f t="shared" si="19"/>
        <v>-8.3198831813695025E-4</v>
      </c>
      <c r="S106" s="11">
        <f t="shared" si="20"/>
        <v>4.2699191239224256E-2</v>
      </c>
      <c r="T106" s="11">
        <f t="shared" si="21"/>
        <v>-1.2960595927658334E-2</v>
      </c>
      <c r="U106" s="11">
        <f t="shared" si="13"/>
        <v>9.4200815791136636E-3</v>
      </c>
      <c r="V106" s="11" cm="1">
        <f t="array" ref="V106">SUMPRODUCT(L106:T106,TRANSPOSE($Y$5:$Y$13))</f>
        <v>7.1820138284364662E-3</v>
      </c>
    </row>
    <row r="107" spans="1:22" x14ac:dyDescent="0.2">
      <c r="A107" s="1">
        <v>44291</v>
      </c>
      <c r="B107" s="3">
        <v>71.029999000000004</v>
      </c>
      <c r="C107" s="3">
        <v>18.106667000000002</v>
      </c>
      <c r="D107" s="3">
        <v>28.08</v>
      </c>
      <c r="E107" s="3">
        <v>61.529998999999997</v>
      </c>
      <c r="F107" s="3">
        <v>22.84</v>
      </c>
      <c r="G107" s="3">
        <v>24.549999</v>
      </c>
      <c r="H107" s="3">
        <v>24.040001</v>
      </c>
      <c r="I107" s="3">
        <v>33.490001999999997</v>
      </c>
      <c r="J107" s="3">
        <v>103.389999</v>
      </c>
      <c r="L107" s="11">
        <f t="shared" si="12"/>
        <v>1.602052547443715E-2</v>
      </c>
      <c r="M107" s="11">
        <f t="shared" si="14"/>
        <v>1.3243759751328675E-2</v>
      </c>
      <c r="N107" s="11">
        <f t="shared" si="15"/>
        <v>1.0695544053316583E-3</v>
      </c>
      <c r="O107" s="11">
        <f t="shared" si="16"/>
        <v>2.481675508299875E-2</v>
      </c>
      <c r="P107" s="11">
        <f t="shared" si="17"/>
        <v>1.9642857142857201E-2</v>
      </c>
      <c r="Q107" s="11">
        <f t="shared" si="18"/>
        <v>1.4882099426122428E-2</v>
      </c>
      <c r="R107" s="11">
        <f t="shared" si="19"/>
        <v>6.2788617111286041E-3</v>
      </c>
      <c r="S107" s="11">
        <f t="shared" si="20"/>
        <v>2.99499859224296E-3</v>
      </c>
      <c r="T107" s="11">
        <f t="shared" si="21"/>
        <v>6.1607968596446946E-2</v>
      </c>
      <c r="U107" s="11">
        <f t="shared" si="13"/>
        <v>1.7839708909210484E-2</v>
      </c>
      <c r="V107" s="11" cm="1">
        <f t="array" ref="V107">SUMPRODUCT(L107:T107,TRANSPOSE($Y$5:$Y$13))</f>
        <v>2.2216534877934135E-2</v>
      </c>
    </row>
    <row r="108" spans="1:22" x14ac:dyDescent="0.2">
      <c r="A108" s="1">
        <v>44287</v>
      </c>
      <c r="B108" s="3">
        <v>69.910004000000001</v>
      </c>
      <c r="C108" s="3">
        <v>17.870000999999998</v>
      </c>
      <c r="D108" s="3">
        <v>28.049999</v>
      </c>
      <c r="E108" s="3">
        <v>60.040000999999997</v>
      </c>
      <c r="F108" s="3">
        <v>22.4</v>
      </c>
      <c r="G108" s="3">
        <v>24.190000999999999</v>
      </c>
      <c r="H108" s="3">
        <v>23.889999</v>
      </c>
      <c r="I108" s="3">
        <v>33.389999000000003</v>
      </c>
      <c r="J108" s="3">
        <v>97.389999000000003</v>
      </c>
      <c r="L108" s="11">
        <f t="shared" si="12"/>
        <v>-6.2543569652979761E-3</v>
      </c>
      <c r="M108" s="11">
        <f t="shared" si="14"/>
        <v>-1.8491358138202945E-2</v>
      </c>
      <c r="N108" s="11">
        <f t="shared" si="15"/>
        <v>1.5200869171222124E-2</v>
      </c>
      <c r="O108" s="11">
        <f t="shared" si="16"/>
        <v>5.1900385066130884E-3</v>
      </c>
      <c r="P108" s="11">
        <f t="shared" si="17"/>
        <v>1.7888639629308656E-3</v>
      </c>
      <c r="Q108" s="11">
        <f t="shared" si="18"/>
        <v>-1.2249857084524283E-2</v>
      </c>
      <c r="R108" s="11">
        <f t="shared" si="19"/>
        <v>-8.7137344398341022E-3</v>
      </c>
      <c r="S108" s="11">
        <f t="shared" si="20"/>
        <v>-2.2827013334914346E-2</v>
      </c>
      <c r="T108" s="11">
        <f t="shared" si="21"/>
        <v>-5.9202000008144661E-3</v>
      </c>
      <c r="U108" s="11">
        <f t="shared" si="13"/>
        <v>-5.8085275914246705E-3</v>
      </c>
      <c r="V108" s="11" cm="1">
        <f t="array" ref="V108">SUMPRODUCT(L108:T108,TRANSPOSE($Y$5:$Y$13))</f>
        <v>-5.8196948323636505E-3</v>
      </c>
    </row>
    <row r="109" spans="1:22" x14ac:dyDescent="0.2">
      <c r="A109" s="1">
        <v>44286</v>
      </c>
      <c r="B109" s="3">
        <v>70.349997999999999</v>
      </c>
      <c r="C109" s="3">
        <v>18.206666999999999</v>
      </c>
      <c r="D109" s="3">
        <v>27.629999000000002</v>
      </c>
      <c r="E109" s="3">
        <v>59.73</v>
      </c>
      <c r="F109" s="3">
        <v>22.360001</v>
      </c>
      <c r="G109" s="3">
        <v>24.49</v>
      </c>
      <c r="H109" s="3">
        <v>24.1</v>
      </c>
      <c r="I109" s="3">
        <v>34.169998</v>
      </c>
      <c r="J109" s="3">
        <v>97.970000999999996</v>
      </c>
      <c r="L109" s="11">
        <f t="shared" si="12"/>
        <v>-6.3560025555366769E-3</v>
      </c>
      <c r="M109" s="11">
        <f t="shared" si="14"/>
        <v>2.0934674462405618E-2</v>
      </c>
      <c r="N109" s="11">
        <f t="shared" si="15"/>
        <v>-2.4364442090395438E-2</v>
      </c>
      <c r="O109" s="11">
        <f t="shared" si="16"/>
        <v>-1.1705518590393758E-3</v>
      </c>
      <c r="P109" s="11">
        <f t="shared" si="17"/>
        <v>-6.2221777777777577E-3</v>
      </c>
      <c r="Q109" s="11">
        <f t="shared" si="18"/>
        <v>-1.4090177133655452E-2</v>
      </c>
      <c r="R109" s="11">
        <f t="shared" si="19"/>
        <v>1.1330255979857455E-2</v>
      </c>
      <c r="S109" s="11">
        <f t="shared" si="20"/>
        <v>-2.815705346985202E-2</v>
      </c>
      <c r="T109" s="11">
        <f t="shared" si="21"/>
        <v>9.2716699289173091E-3</v>
      </c>
      <c r="U109" s="11">
        <f t="shared" si="13"/>
        <v>-4.3137560572307047E-3</v>
      </c>
      <c r="V109" s="11" cm="1">
        <f t="array" ref="V109">SUMPRODUCT(L109:T109,TRANSPOSE($Y$5:$Y$13))</f>
        <v>-2.9552134586159034E-3</v>
      </c>
    </row>
    <row r="110" spans="1:22" x14ac:dyDescent="0.2">
      <c r="A110" s="1">
        <v>44285</v>
      </c>
      <c r="B110" s="3">
        <v>70.800003000000004</v>
      </c>
      <c r="C110" s="3">
        <v>17.833331999999999</v>
      </c>
      <c r="D110" s="3">
        <v>28.32</v>
      </c>
      <c r="E110" s="3">
        <v>59.799999</v>
      </c>
      <c r="F110" s="3">
        <v>22.5</v>
      </c>
      <c r="G110" s="3">
        <v>24.84</v>
      </c>
      <c r="H110" s="3">
        <v>23.83</v>
      </c>
      <c r="I110" s="3">
        <v>35.159999999999997</v>
      </c>
      <c r="J110" s="3">
        <v>97.07</v>
      </c>
      <c r="L110" s="11">
        <f t="shared" si="12"/>
        <v>2.4453797938738375E-2</v>
      </c>
      <c r="M110" s="11">
        <f t="shared" si="14"/>
        <v>-1.8657648905641439E-3</v>
      </c>
      <c r="N110" s="11">
        <f t="shared" si="15"/>
        <v>-1.0827768453641973E-2</v>
      </c>
      <c r="O110" s="11">
        <f t="shared" si="16"/>
        <v>3.909643855945158E-2</v>
      </c>
      <c r="P110" s="11">
        <f t="shared" si="17"/>
        <v>3.9260969976905383E-2</v>
      </c>
      <c r="Q110" s="11">
        <f t="shared" si="18"/>
        <v>5.612244897959185E-2</v>
      </c>
      <c r="R110" s="11">
        <f t="shared" si="19"/>
        <v>0</v>
      </c>
      <c r="S110" s="11">
        <f t="shared" si="20"/>
        <v>5.5354293181864835E-2</v>
      </c>
      <c r="T110" s="11">
        <f t="shared" si="21"/>
        <v>-9.2876400503886826E-3</v>
      </c>
      <c r="U110" s="11">
        <f t="shared" si="13"/>
        <v>2.1367419471328579E-2</v>
      </c>
      <c r="V110" s="11" cm="1">
        <f t="array" ref="V110">SUMPRODUCT(L110:T110,TRANSPOSE($Y$5:$Y$13))</f>
        <v>1.8301913519156856E-2</v>
      </c>
    </row>
    <row r="111" spans="1:22" x14ac:dyDescent="0.2">
      <c r="A111" s="1">
        <v>44284</v>
      </c>
      <c r="B111" s="3">
        <v>69.110000999999997</v>
      </c>
      <c r="C111" s="3">
        <v>17.866667</v>
      </c>
      <c r="D111" s="3">
        <v>28.629999000000002</v>
      </c>
      <c r="E111" s="3">
        <v>57.549999</v>
      </c>
      <c r="F111" s="3">
        <v>21.65</v>
      </c>
      <c r="G111" s="3">
        <v>23.52</v>
      </c>
      <c r="H111" s="3">
        <v>23.83</v>
      </c>
      <c r="I111" s="3">
        <v>33.315826000000001</v>
      </c>
      <c r="J111" s="3">
        <v>97.980002999999996</v>
      </c>
      <c r="L111" s="11">
        <f t="shared" si="12"/>
        <v>-1.9716297872340468E-2</v>
      </c>
      <c r="M111" s="11">
        <f t="shared" si="14"/>
        <v>-7.5910948040063195E-3</v>
      </c>
      <c r="N111" s="11">
        <f t="shared" si="15"/>
        <v>4.2090143809189748E-3</v>
      </c>
      <c r="O111" s="11">
        <f t="shared" si="16"/>
        <v>2.0894828486853556E-3</v>
      </c>
      <c r="P111" s="11">
        <f t="shared" si="17"/>
        <v>2.3148148148146833E-3</v>
      </c>
      <c r="Q111" s="11">
        <f t="shared" si="18"/>
        <v>-6.7567567567567632E-3</v>
      </c>
      <c r="R111" s="11">
        <f t="shared" si="19"/>
        <v>1.5771569299725823E-2</v>
      </c>
      <c r="S111" s="11">
        <f t="shared" si="20"/>
        <v>-3.0460931279790947E-2</v>
      </c>
      <c r="T111" s="11">
        <f t="shared" si="21"/>
        <v>2.5646435943121833E-2</v>
      </c>
      <c r="U111" s="11">
        <f t="shared" si="13"/>
        <v>-1.6104181584030925E-3</v>
      </c>
      <c r="V111" s="11" cm="1">
        <f t="array" ref="V111">SUMPRODUCT(L111:T111,TRANSPOSE($Y$5:$Y$13))</f>
        <v>1.1152672517493996E-3</v>
      </c>
    </row>
    <row r="112" spans="1:22" x14ac:dyDescent="0.2">
      <c r="A112" s="1">
        <v>44281</v>
      </c>
      <c r="B112" s="3">
        <v>70.5</v>
      </c>
      <c r="C112" s="3">
        <v>18.003332</v>
      </c>
      <c r="D112" s="3">
        <v>28.51</v>
      </c>
      <c r="E112" s="3">
        <v>57.43</v>
      </c>
      <c r="F112" s="3">
        <v>21.6</v>
      </c>
      <c r="G112" s="3">
        <v>23.68</v>
      </c>
      <c r="H112" s="3">
        <v>23.459999</v>
      </c>
      <c r="I112" s="3">
        <v>34.362541</v>
      </c>
      <c r="J112" s="3">
        <v>95.529999000000004</v>
      </c>
      <c r="L112" s="11">
        <f t="shared" si="12"/>
        <v>9.5947011429271742E-3</v>
      </c>
      <c r="M112" s="11">
        <f t="shared" si="14"/>
        <v>4.2766457521995144E-3</v>
      </c>
      <c r="N112" s="11">
        <f t="shared" si="15"/>
        <v>-1.4010158108936578E-3</v>
      </c>
      <c r="O112" s="11">
        <f t="shared" si="16"/>
        <v>1.109156709668252E-2</v>
      </c>
      <c r="P112" s="11">
        <f t="shared" si="17"/>
        <v>-7.3529411764705942E-3</v>
      </c>
      <c r="Q112" s="11">
        <f t="shared" si="18"/>
        <v>8.4530853761621188E-4</v>
      </c>
      <c r="R112" s="11">
        <f t="shared" si="19"/>
        <v>1.1206809861775415E-2</v>
      </c>
      <c r="S112" s="11">
        <f t="shared" si="20"/>
        <v>-1.0857796336863635E-2</v>
      </c>
      <c r="T112" s="11">
        <f t="shared" si="21"/>
        <v>3.3427054664061956E-2</v>
      </c>
      <c r="U112" s="11">
        <f t="shared" si="13"/>
        <v>5.6478148590038786E-3</v>
      </c>
      <c r="V112" s="11" cm="1">
        <f t="array" ref="V112">SUMPRODUCT(L112:T112,TRANSPOSE($Y$5:$Y$13))</f>
        <v>8.4257388395096861E-3</v>
      </c>
    </row>
    <row r="113" spans="1:22" x14ac:dyDescent="0.2">
      <c r="A113" s="1">
        <v>44280</v>
      </c>
      <c r="B113" s="3">
        <v>69.830001999999993</v>
      </c>
      <c r="C113" s="3">
        <v>17.926666000000001</v>
      </c>
      <c r="D113" s="3">
        <v>28.549999</v>
      </c>
      <c r="E113" s="3">
        <v>56.799999</v>
      </c>
      <c r="F113" s="3">
        <v>21.76</v>
      </c>
      <c r="G113" s="3">
        <v>23.66</v>
      </c>
      <c r="H113" s="3">
        <v>23.200001</v>
      </c>
      <c r="I113" s="3">
        <v>34.739738000000003</v>
      </c>
      <c r="J113" s="3">
        <v>92.440002000000007</v>
      </c>
      <c r="L113" s="11">
        <f t="shared" si="12"/>
        <v>1.0856977103156425E-2</v>
      </c>
      <c r="M113" s="11">
        <f t="shared" si="14"/>
        <v>-1.8594534300049291E-4</v>
      </c>
      <c r="N113" s="11">
        <f t="shared" si="15"/>
        <v>-5.2265503405383379E-3</v>
      </c>
      <c r="O113" s="11">
        <f t="shared" si="16"/>
        <v>3.0292000176092862E-2</v>
      </c>
      <c r="P113" s="11">
        <f t="shared" si="17"/>
        <v>1.4925325796393519E-2</v>
      </c>
      <c r="Q113" s="11">
        <f t="shared" si="18"/>
        <v>1.4144877839691464E-2</v>
      </c>
      <c r="R113" s="11">
        <f t="shared" si="19"/>
        <v>1.6652103418054339E-2</v>
      </c>
      <c r="S113" s="11">
        <f t="shared" si="20"/>
        <v>-3.0015820019613552E-2</v>
      </c>
      <c r="T113" s="11">
        <f t="shared" si="21"/>
        <v>-7.622114704839123E-3</v>
      </c>
      <c r="U113" s="11">
        <f t="shared" si="13"/>
        <v>4.868983769488567E-3</v>
      </c>
      <c r="V113" s="11" cm="1">
        <f t="array" ref="V113">SUMPRODUCT(L113:T113,TRANSPOSE($Y$5:$Y$13))</f>
        <v>3.619873922055798E-3</v>
      </c>
    </row>
    <row r="114" spans="1:22" x14ac:dyDescent="0.2">
      <c r="A114" s="1">
        <v>44279</v>
      </c>
      <c r="B114" s="3">
        <v>69.080001999999993</v>
      </c>
      <c r="C114" s="3">
        <v>17.93</v>
      </c>
      <c r="D114" s="3">
        <v>28.700001</v>
      </c>
      <c r="E114" s="3">
        <v>55.130001</v>
      </c>
      <c r="F114" s="3">
        <v>21.440000999999999</v>
      </c>
      <c r="G114" s="3">
        <v>23.33</v>
      </c>
      <c r="H114" s="3">
        <v>22.82</v>
      </c>
      <c r="I114" s="3">
        <v>35.814746999999997</v>
      </c>
      <c r="J114" s="3">
        <v>93.150002000000001</v>
      </c>
      <c r="L114" s="11">
        <f t="shared" si="12"/>
        <v>-5.9240065368378225E-2</v>
      </c>
      <c r="M114" s="11">
        <f t="shared" si="14"/>
        <v>-7.0148612714473653E-3</v>
      </c>
      <c r="N114" s="11">
        <f t="shared" si="15"/>
        <v>6.3113955119214844E-3</v>
      </c>
      <c r="O114" s="11">
        <f t="shared" si="16"/>
        <v>-2.5110486739354312E-2</v>
      </c>
      <c r="P114" s="11">
        <f t="shared" si="17"/>
        <v>-2.5011323328785799E-2</v>
      </c>
      <c r="Q114" s="11">
        <f t="shared" si="18"/>
        <v>-8.9210276584101196E-3</v>
      </c>
      <c r="R114" s="11">
        <f t="shared" si="19"/>
        <v>8.7723688058059129E-4</v>
      </c>
      <c r="S114" s="11">
        <f t="shared" si="20"/>
        <v>-3.7750226673687715E-2</v>
      </c>
      <c r="T114" s="11">
        <f t="shared" si="21"/>
        <v>2.2951944277442304E-2</v>
      </c>
      <c r="U114" s="11">
        <f t="shared" si="13"/>
        <v>-1.4767490485568795E-2</v>
      </c>
      <c r="V114" s="11" cm="1">
        <f t="array" ref="V114">SUMPRODUCT(L114:T114,TRANSPOSE($Y$5:$Y$13))</f>
        <v>-1.0995547009267685E-2</v>
      </c>
    </row>
    <row r="115" spans="1:22" x14ac:dyDescent="0.2">
      <c r="A115" s="1">
        <v>44278</v>
      </c>
      <c r="B115" s="3">
        <v>73.430000000000007</v>
      </c>
      <c r="C115" s="3">
        <v>18.056664999999999</v>
      </c>
      <c r="D115" s="3">
        <v>28.52</v>
      </c>
      <c r="E115" s="3">
        <v>56.549999</v>
      </c>
      <c r="F115" s="3">
        <v>21.99</v>
      </c>
      <c r="G115" s="3">
        <v>23.540001</v>
      </c>
      <c r="H115" s="3">
        <v>22.799999</v>
      </c>
      <c r="I115" s="3">
        <v>37.219802999999999</v>
      </c>
      <c r="J115" s="3">
        <v>91.059997999999993</v>
      </c>
      <c r="L115" s="11">
        <f t="shared" si="12"/>
        <v>1.5208046033235471E-2</v>
      </c>
      <c r="M115" s="11">
        <f t="shared" si="14"/>
        <v>-1.5449018538713249E-2</v>
      </c>
      <c r="N115" s="11">
        <f t="shared" si="15"/>
        <v>2.108257277169959E-3</v>
      </c>
      <c r="O115" s="11">
        <f t="shared" si="16"/>
        <v>-2.2302921853388721E-2</v>
      </c>
      <c r="P115" s="11">
        <f t="shared" si="17"/>
        <v>-9.9054034176229086E-3</v>
      </c>
      <c r="Q115" s="11">
        <f t="shared" si="18"/>
        <v>9.0013287612516878E-3</v>
      </c>
      <c r="R115" s="11">
        <f t="shared" si="19"/>
        <v>-3.0612287414965984E-2</v>
      </c>
      <c r="S115" s="11">
        <f t="shared" si="20"/>
        <v>3.8148672942709782E-3</v>
      </c>
      <c r="T115" s="11">
        <f t="shared" si="21"/>
        <v>-2.3066205590239339E-2</v>
      </c>
      <c r="U115" s="11">
        <f t="shared" si="13"/>
        <v>-7.9114819387780134E-3</v>
      </c>
      <c r="V115" s="11" cm="1">
        <f t="array" ref="V115">SUMPRODUCT(L115:T115,TRANSPOSE($Y$5:$Y$13))</f>
        <v>-9.4269543039241441E-3</v>
      </c>
    </row>
    <row r="116" spans="1:22" x14ac:dyDescent="0.2">
      <c r="A116" s="1">
        <v>44277</v>
      </c>
      <c r="B116" s="3">
        <v>72.330001999999993</v>
      </c>
      <c r="C116" s="3">
        <v>18.34</v>
      </c>
      <c r="D116" s="3">
        <v>28.459999</v>
      </c>
      <c r="E116" s="3">
        <v>57.84</v>
      </c>
      <c r="F116" s="3">
        <v>22.209999</v>
      </c>
      <c r="G116" s="3">
        <v>23.33</v>
      </c>
      <c r="H116" s="3">
        <v>23.52</v>
      </c>
      <c r="I116" s="3">
        <v>37.078353999999997</v>
      </c>
      <c r="J116" s="3">
        <v>93.209998999999996</v>
      </c>
      <c r="L116" s="11">
        <f t="shared" si="12"/>
        <v>-6.8653025713221877E-3</v>
      </c>
      <c r="M116" s="11">
        <f t="shared" si="14"/>
        <v>-1.1142973682869723E-2</v>
      </c>
      <c r="N116" s="11">
        <f t="shared" si="15"/>
        <v>6.364851260083096E-3</v>
      </c>
      <c r="O116" s="11">
        <f t="shared" si="16"/>
        <v>-2.4620556907597863E-2</v>
      </c>
      <c r="P116" s="11">
        <f t="shared" si="17"/>
        <v>3.1616984264543229E-3</v>
      </c>
      <c r="Q116" s="11">
        <f t="shared" si="18"/>
        <v>-3.4173430158052904E-3</v>
      </c>
      <c r="R116" s="11">
        <f t="shared" si="19"/>
        <v>-2.0000000000000018E-2</v>
      </c>
      <c r="S116" s="11">
        <f t="shared" si="20"/>
        <v>1.0183411007489828E-3</v>
      </c>
      <c r="T116" s="11">
        <f t="shared" si="21"/>
        <v>-1.6564676266772351E-2</v>
      </c>
      <c r="U116" s="11">
        <f t="shared" si="13"/>
        <v>-8.0073290730090039E-3</v>
      </c>
      <c r="V116" s="11" cm="1">
        <f t="array" ref="V116">SUMPRODUCT(L116:T116,TRANSPOSE($Y$5:$Y$13))</f>
        <v>-8.8630637923853388E-3</v>
      </c>
    </row>
    <row r="117" spans="1:22" x14ac:dyDescent="0.2">
      <c r="A117" s="1">
        <v>44274</v>
      </c>
      <c r="B117" s="3">
        <v>72.830001999999993</v>
      </c>
      <c r="C117" s="3">
        <v>18.546665000000001</v>
      </c>
      <c r="D117" s="3">
        <v>28.280000999999999</v>
      </c>
      <c r="E117" s="3">
        <v>59.299999</v>
      </c>
      <c r="F117" s="3">
        <v>22.139999</v>
      </c>
      <c r="G117" s="3">
        <v>23.41</v>
      </c>
      <c r="H117" s="3">
        <v>24</v>
      </c>
      <c r="I117" s="3">
        <v>37.040633999999997</v>
      </c>
      <c r="J117" s="3">
        <v>94.779999000000004</v>
      </c>
      <c r="L117" s="11">
        <f t="shared" si="12"/>
        <v>-1.9185829530138432E-3</v>
      </c>
      <c r="M117" s="11">
        <f t="shared" si="14"/>
        <v>3.5548017867113382E-2</v>
      </c>
      <c r="N117" s="11">
        <f t="shared" si="15"/>
        <v>-1.0842917103882519E-2</v>
      </c>
      <c r="O117" s="11">
        <f t="shared" si="16"/>
        <v>2.6839809523809519E-2</v>
      </c>
      <c r="P117" s="11">
        <f t="shared" si="17"/>
        <v>2.0276404595557355E-2</v>
      </c>
      <c r="Q117" s="11">
        <f t="shared" si="18"/>
        <v>4.9775831828512661E-2</v>
      </c>
      <c r="R117" s="11">
        <f t="shared" si="19"/>
        <v>3.2702237521514702E-2</v>
      </c>
      <c r="S117" s="11">
        <f t="shared" si="20"/>
        <v>7.9714096367789006E-2</v>
      </c>
      <c r="T117" s="11">
        <f t="shared" si="21"/>
        <v>-1.4351132930485289E-2</v>
      </c>
      <c r="U117" s="11">
        <f t="shared" si="13"/>
        <v>2.4193751635212771E-2</v>
      </c>
      <c r="V117" s="11" cm="1">
        <f t="array" ref="V117">SUMPRODUCT(L117:T117,TRANSPOSE($Y$5:$Y$13))</f>
        <v>2.0339263178642972E-2</v>
      </c>
    </row>
    <row r="118" spans="1:22" x14ac:dyDescent="0.2">
      <c r="A118" s="1">
        <v>44273</v>
      </c>
      <c r="B118" s="3">
        <v>72.970000999999996</v>
      </c>
      <c r="C118" s="3">
        <v>17.91</v>
      </c>
      <c r="D118" s="3">
        <v>28.59</v>
      </c>
      <c r="E118" s="3">
        <v>57.75</v>
      </c>
      <c r="F118" s="3">
        <v>21.700001</v>
      </c>
      <c r="G118" s="3">
        <v>22.299999</v>
      </c>
      <c r="H118" s="3">
        <v>23.24</v>
      </c>
      <c r="I118" s="3">
        <v>34.305965</v>
      </c>
      <c r="J118" s="3">
        <v>96.160004000000001</v>
      </c>
      <c r="L118" s="11">
        <f t="shared" si="12"/>
        <v>-2.0010717432322286E-2</v>
      </c>
      <c r="M118" s="11">
        <f t="shared" si="14"/>
        <v>1.4730878186968928E-2</v>
      </c>
      <c r="N118" s="11">
        <f t="shared" si="15"/>
        <v>-3.2814581624309301E-2</v>
      </c>
      <c r="O118" s="11">
        <f t="shared" si="16"/>
        <v>-3.3957829273299198E-2</v>
      </c>
      <c r="P118" s="11">
        <f t="shared" si="17"/>
        <v>-4.1942560706401691E-2</v>
      </c>
      <c r="Q118" s="11">
        <f t="shared" si="18"/>
        <v>-2.8322525999018501E-2</v>
      </c>
      <c r="R118" s="11">
        <f t="shared" si="19"/>
        <v>-3.4883720930232558E-2</v>
      </c>
      <c r="S118" s="11">
        <f t="shared" si="20"/>
        <v>2.5655556493001823E-2</v>
      </c>
      <c r="T118" s="11">
        <f t="shared" si="21"/>
        <v>-1.7773217205858689E-2</v>
      </c>
      <c r="U118" s="11">
        <f t="shared" si="13"/>
        <v>-1.881319094349683E-2</v>
      </c>
      <c r="V118" s="11" cm="1">
        <f t="array" ref="V118">SUMPRODUCT(L118:T118,TRANSPOSE($Y$5:$Y$13))</f>
        <v>-1.8709193569733017E-2</v>
      </c>
    </row>
    <row r="119" spans="1:22" x14ac:dyDescent="0.2">
      <c r="A119" s="1">
        <v>44272</v>
      </c>
      <c r="B119" s="3">
        <v>74.459998999999996</v>
      </c>
      <c r="C119" s="3">
        <v>17.649999999999999</v>
      </c>
      <c r="D119" s="3">
        <v>29.559999000000001</v>
      </c>
      <c r="E119" s="3">
        <v>59.779998999999997</v>
      </c>
      <c r="F119" s="3">
        <v>22.65</v>
      </c>
      <c r="G119" s="3">
        <v>22.950001</v>
      </c>
      <c r="H119" s="3">
        <v>24.08</v>
      </c>
      <c r="I119" s="3">
        <v>33.447842000000001</v>
      </c>
      <c r="J119" s="3">
        <v>97.900002000000001</v>
      </c>
      <c r="L119" s="11">
        <f t="shared" si="12"/>
        <v>1.52713807074655E-2</v>
      </c>
      <c r="M119" s="11">
        <f t="shared" si="14"/>
        <v>9.5328499701486762E-3</v>
      </c>
      <c r="N119" s="11">
        <f t="shared" si="15"/>
        <v>-1.6886861976127326E-3</v>
      </c>
      <c r="O119" s="11">
        <f t="shared" si="16"/>
        <v>3.0689637931034422E-2</v>
      </c>
      <c r="P119" s="11">
        <f t="shared" si="17"/>
        <v>1.2969543248231434E-2</v>
      </c>
      <c r="Q119" s="11">
        <f t="shared" si="18"/>
        <v>1.235116894574321E-2</v>
      </c>
      <c r="R119" s="11">
        <f t="shared" si="19"/>
        <v>3.4364216736932261E-2</v>
      </c>
      <c r="S119" s="11">
        <f t="shared" si="20"/>
        <v>8.7703111581182366E-2</v>
      </c>
      <c r="T119" s="11">
        <f t="shared" si="21"/>
        <v>1.4402652276393079E-2</v>
      </c>
      <c r="U119" s="11">
        <f t="shared" si="13"/>
        <v>2.3955097244390915E-2</v>
      </c>
      <c r="V119" s="11" cm="1">
        <f t="array" ref="V119">SUMPRODUCT(L119:T119,TRANSPOSE($Y$5:$Y$13))</f>
        <v>2.2999852747591133E-2</v>
      </c>
    </row>
    <row r="120" spans="1:22" x14ac:dyDescent="0.2">
      <c r="A120" s="1">
        <v>44271</v>
      </c>
      <c r="B120" s="3">
        <v>73.339995999999999</v>
      </c>
      <c r="C120" s="3">
        <v>17.483333999999999</v>
      </c>
      <c r="D120" s="3">
        <v>29.610001</v>
      </c>
      <c r="E120" s="3">
        <v>58</v>
      </c>
      <c r="F120" s="3">
        <v>22.360001</v>
      </c>
      <c r="G120" s="3">
        <v>22.67</v>
      </c>
      <c r="H120" s="3">
        <v>23.280000999999999</v>
      </c>
      <c r="I120" s="3">
        <v>30.750893000000001</v>
      </c>
      <c r="J120" s="3">
        <v>96.510002</v>
      </c>
      <c r="L120" s="11">
        <f t="shared" si="12"/>
        <v>-3.126328666575967E-3</v>
      </c>
      <c r="M120" s="11">
        <f t="shared" si="14"/>
        <v>-2.509282714444816E-2</v>
      </c>
      <c r="N120" s="11">
        <f t="shared" si="15"/>
        <v>4.3708140863301416E-2</v>
      </c>
      <c r="O120" s="11">
        <f t="shared" si="16"/>
        <v>-2.2581732389619202E-2</v>
      </c>
      <c r="P120" s="11">
        <f t="shared" si="17"/>
        <v>7.6611082622304394E-3</v>
      </c>
      <c r="Q120" s="11">
        <f t="shared" si="18"/>
        <v>-4.0220193047409133E-2</v>
      </c>
      <c r="R120" s="11">
        <f t="shared" si="19"/>
        <v>-1.564477801268499E-2</v>
      </c>
      <c r="S120" s="11">
        <f t="shared" si="20"/>
        <v>-2.752291316815769E-3</v>
      </c>
      <c r="T120" s="11">
        <f t="shared" si="21"/>
        <v>-3.2017971493492371E-3</v>
      </c>
      <c r="U120" s="11">
        <f t="shared" si="13"/>
        <v>-6.8056331779300667E-3</v>
      </c>
      <c r="V120" s="11" cm="1">
        <f t="array" ref="V120">SUMPRODUCT(L120:T120,TRANSPOSE($Y$5:$Y$13))</f>
        <v>-6.4452495750719849E-3</v>
      </c>
    </row>
    <row r="121" spans="1:22" x14ac:dyDescent="0.2">
      <c r="A121" s="1">
        <v>44270</v>
      </c>
      <c r="B121" s="3">
        <v>73.569999999999993</v>
      </c>
      <c r="C121" s="3">
        <v>17.933332</v>
      </c>
      <c r="D121" s="3">
        <v>28.370000999999998</v>
      </c>
      <c r="E121" s="3">
        <v>59.34</v>
      </c>
      <c r="F121" s="3">
        <v>22.190000999999999</v>
      </c>
      <c r="G121" s="3">
        <v>23.620000999999998</v>
      </c>
      <c r="H121" s="3">
        <v>23.65</v>
      </c>
      <c r="I121" s="3">
        <v>30.835761999999999</v>
      </c>
      <c r="J121" s="3">
        <v>96.82</v>
      </c>
      <c r="L121" s="11">
        <f t="shared" si="12"/>
        <v>7.946321631629491E-3</v>
      </c>
      <c r="M121" s="11">
        <f t="shared" si="14"/>
        <v>-2.782806238113375E-2</v>
      </c>
      <c r="N121" s="11">
        <f t="shared" si="15"/>
        <v>-3.5033979591836739E-2</v>
      </c>
      <c r="O121" s="11">
        <f t="shared" si="16"/>
        <v>-2.6890756302520437E-3</v>
      </c>
      <c r="P121" s="11">
        <f t="shared" si="17"/>
        <v>2.3996354407014166E-2</v>
      </c>
      <c r="Q121" s="11">
        <f t="shared" si="18"/>
        <v>1.7664886586164809E-2</v>
      </c>
      <c r="R121" s="11">
        <f t="shared" si="19"/>
        <v>2.0716443677168617E-2</v>
      </c>
      <c r="S121" s="11">
        <f t="shared" si="20"/>
        <v>2.5399858652280404E-2</v>
      </c>
      <c r="T121" s="11">
        <f t="shared" si="21"/>
        <v>-5.954845873617204E-3</v>
      </c>
      <c r="U121" s="11">
        <f t="shared" si="13"/>
        <v>2.6908779419353062E-3</v>
      </c>
      <c r="V121" s="11" cm="1">
        <f t="array" ref="V121">SUMPRODUCT(L121:T121,TRANSPOSE($Y$5:$Y$13))</f>
        <v>1.8263055603800549E-3</v>
      </c>
    </row>
    <row r="122" spans="1:22" x14ac:dyDescent="0.2">
      <c r="A122" s="1">
        <v>44267</v>
      </c>
      <c r="B122" s="3">
        <v>72.989998</v>
      </c>
      <c r="C122" s="3">
        <v>18.446667000000001</v>
      </c>
      <c r="D122" s="3">
        <v>29.4</v>
      </c>
      <c r="E122" s="3">
        <v>59.5</v>
      </c>
      <c r="F122" s="3">
        <v>21.67</v>
      </c>
      <c r="G122" s="3">
        <v>23.209999</v>
      </c>
      <c r="H122" s="3">
        <v>23.17</v>
      </c>
      <c r="I122" s="3">
        <v>30.071939</v>
      </c>
      <c r="J122" s="3">
        <v>97.400002000000001</v>
      </c>
      <c r="L122" s="11">
        <f t="shared" si="12"/>
        <v>-1.3248654680969876E-2</v>
      </c>
      <c r="M122" s="11">
        <f t="shared" si="14"/>
        <v>-2.3985873015872863E-2</v>
      </c>
      <c r="N122" s="11">
        <f t="shared" si="15"/>
        <v>1.4842976004244845E-2</v>
      </c>
      <c r="O122" s="11">
        <f t="shared" si="16"/>
        <v>-8.3961378404052837E-4</v>
      </c>
      <c r="P122" s="11">
        <f t="shared" si="17"/>
        <v>-3.5602983337916463E-2</v>
      </c>
      <c r="Q122" s="11">
        <f t="shared" si="18"/>
        <v>3.9408822212270558E-2</v>
      </c>
      <c r="R122" s="11">
        <f t="shared" si="19"/>
        <v>-5.1524686495289743E-3</v>
      </c>
      <c r="S122" s="11">
        <f t="shared" si="20"/>
        <v>-1.2527541411212991E-3</v>
      </c>
      <c r="T122" s="11">
        <f t="shared" si="21"/>
        <v>-2.3069158166574424E-2</v>
      </c>
      <c r="U122" s="11">
        <f t="shared" si="13"/>
        <v>-5.4333008399454468E-3</v>
      </c>
      <c r="V122" s="11" cm="1">
        <f t="array" ref="V122">SUMPRODUCT(L122:T122,TRANSPOSE($Y$5:$Y$13))</f>
        <v>-7.1968865726083448E-3</v>
      </c>
    </row>
    <row r="123" spans="1:22" x14ac:dyDescent="0.2">
      <c r="A123" s="1">
        <v>44266</v>
      </c>
      <c r="B123" s="3">
        <v>73.970000999999996</v>
      </c>
      <c r="C123" s="3">
        <v>18.899999999999999</v>
      </c>
      <c r="D123" s="3">
        <v>28.969999000000001</v>
      </c>
      <c r="E123" s="3">
        <v>59.549999</v>
      </c>
      <c r="F123" s="3">
        <v>22.469999000000001</v>
      </c>
      <c r="G123" s="3">
        <v>22.33</v>
      </c>
      <c r="H123" s="3">
        <v>23.290001</v>
      </c>
      <c r="I123" s="3">
        <v>30.109659000000001</v>
      </c>
      <c r="J123" s="3">
        <v>99.699996999999996</v>
      </c>
      <c r="L123" s="11">
        <f t="shared" si="12"/>
        <v>2.2249861494612191E-2</v>
      </c>
      <c r="M123" s="11">
        <f t="shared" si="14"/>
        <v>2.5131116439382248E-2</v>
      </c>
      <c r="N123" s="11">
        <f t="shared" si="15"/>
        <v>-1.4290575511758205E-2</v>
      </c>
      <c r="O123" s="11">
        <f t="shared" si="16"/>
        <v>5.3236610307099273E-2</v>
      </c>
      <c r="P123" s="11">
        <f t="shared" si="17"/>
        <v>2.2758307817856521E-2</v>
      </c>
      <c r="Q123" s="11">
        <f t="shared" si="18"/>
        <v>7.0983213429256439E-2</v>
      </c>
      <c r="R123" s="11">
        <f t="shared" si="19"/>
        <v>4.252466427931962E-2</v>
      </c>
      <c r="S123" s="11">
        <f t="shared" si="20"/>
        <v>2.1971032148224699E-3</v>
      </c>
      <c r="T123" s="11">
        <f t="shared" si="21"/>
        <v>2.6248017987688724E-2</v>
      </c>
      <c r="U123" s="11">
        <f t="shared" si="13"/>
        <v>2.7893146606475478E-2</v>
      </c>
      <c r="V123" s="11" cm="1">
        <f t="array" ref="V123">SUMPRODUCT(L123:T123,TRANSPOSE($Y$5:$Y$13))</f>
        <v>2.7728633744596803E-2</v>
      </c>
    </row>
    <row r="124" spans="1:22" x14ac:dyDescent="0.2">
      <c r="A124" s="1">
        <v>44265</v>
      </c>
      <c r="B124" s="3">
        <v>72.360000999999997</v>
      </c>
      <c r="C124" s="3">
        <v>18.436665999999999</v>
      </c>
      <c r="D124" s="3">
        <v>29.389999</v>
      </c>
      <c r="E124" s="3">
        <v>56.540000999999997</v>
      </c>
      <c r="F124" s="3">
        <v>21.969999000000001</v>
      </c>
      <c r="G124" s="3">
        <v>20.85</v>
      </c>
      <c r="H124" s="3">
        <v>22.34</v>
      </c>
      <c r="I124" s="3">
        <v>30.04365</v>
      </c>
      <c r="J124" s="3">
        <v>97.150002000000001</v>
      </c>
      <c r="L124" s="11">
        <f t="shared" si="12"/>
        <v>2.3914009449950601E-2</v>
      </c>
      <c r="M124" s="11">
        <f t="shared" si="14"/>
        <v>3.3831815613593705E-2</v>
      </c>
      <c r="N124" s="11">
        <f t="shared" si="15"/>
        <v>-3.5128037922785231E-2</v>
      </c>
      <c r="O124" s="11">
        <f t="shared" si="16"/>
        <v>1.7272381530320857E-2</v>
      </c>
      <c r="P124" s="11">
        <f t="shared" si="17"/>
        <v>4.6190428571428639E-2</v>
      </c>
      <c r="Q124" s="11">
        <f t="shared" si="18"/>
        <v>1.6577279375914179E-2</v>
      </c>
      <c r="R124" s="11">
        <f t="shared" si="19"/>
        <v>3.4738304770727188E-2</v>
      </c>
      <c r="S124" s="11">
        <f t="shared" si="20"/>
        <v>1.2392756353947185E-2</v>
      </c>
      <c r="T124" s="11">
        <f t="shared" si="21"/>
        <v>-1.5404844743181266E-2</v>
      </c>
      <c r="U124" s="11">
        <f t="shared" si="13"/>
        <v>1.493156588887954E-2</v>
      </c>
      <c r="V124" s="11" cm="1">
        <f t="array" ref="V124">SUMPRODUCT(L124:T124,TRANSPOSE($Y$5:$Y$13))</f>
        <v>1.1897924825673463E-2</v>
      </c>
    </row>
    <row r="125" spans="1:22" x14ac:dyDescent="0.2">
      <c r="A125" s="1">
        <v>44264</v>
      </c>
      <c r="B125" s="3">
        <v>70.669998000000007</v>
      </c>
      <c r="C125" s="3">
        <v>17.833331999999999</v>
      </c>
      <c r="D125" s="3">
        <v>30.459999</v>
      </c>
      <c r="E125" s="3">
        <v>55.580002</v>
      </c>
      <c r="F125" s="3">
        <v>21</v>
      </c>
      <c r="G125" s="3">
        <v>20.51</v>
      </c>
      <c r="H125" s="3">
        <v>21.59</v>
      </c>
      <c r="I125" s="3">
        <v>29.675884</v>
      </c>
      <c r="J125" s="3">
        <v>98.669998000000007</v>
      </c>
      <c r="L125" s="11">
        <f t="shared" si="12"/>
        <v>-2.3355486133837811E-2</v>
      </c>
      <c r="M125" s="11">
        <f t="shared" si="14"/>
        <v>1.5372821583874537E-2</v>
      </c>
      <c r="N125" s="11">
        <f t="shared" si="15"/>
        <v>3.2192443239579746E-2</v>
      </c>
      <c r="O125" s="11">
        <f t="shared" si="16"/>
        <v>8.3454827348599988E-3</v>
      </c>
      <c r="P125" s="11">
        <f t="shared" si="17"/>
        <v>-5.7027391109115387E-2</v>
      </c>
      <c r="Q125" s="11">
        <f t="shared" si="18"/>
        <v>4.8780487804885676E-4</v>
      </c>
      <c r="R125" s="11">
        <f t="shared" si="19"/>
        <v>2.3222748815165801E-2</v>
      </c>
      <c r="S125" s="11">
        <f t="shared" si="20"/>
        <v>-1.2860735846740665E-2</v>
      </c>
      <c r="T125" s="11">
        <f t="shared" si="21"/>
        <v>-1.0033109461886413E-2</v>
      </c>
      <c r="U125" s="11">
        <f t="shared" si="13"/>
        <v>-2.6283801444501485E-3</v>
      </c>
      <c r="V125" s="11" cm="1">
        <f t="array" ref="V125">SUMPRODUCT(L125:T125,TRANSPOSE($Y$5:$Y$13))</f>
        <v>-3.3688530761937746E-3</v>
      </c>
    </row>
    <row r="126" spans="1:22" x14ac:dyDescent="0.2">
      <c r="A126" s="1">
        <v>44263</v>
      </c>
      <c r="B126" s="3">
        <v>72.360000999999997</v>
      </c>
      <c r="C126" s="3">
        <v>17.563334000000001</v>
      </c>
      <c r="D126" s="3">
        <v>29.51</v>
      </c>
      <c r="E126" s="3">
        <v>55.119999</v>
      </c>
      <c r="F126" s="3">
        <v>22.27</v>
      </c>
      <c r="G126" s="3">
        <v>20.5</v>
      </c>
      <c r="H126" s="3">
        <v>21.1</v>
      </c>
      <c r="I126" s="3">
        <v>30.06251</v>
      </c>
      <c r="J126" s="3">
        <v>99.669998000000007</v>
      </c>
      <c r="L126" s="11">
        <f t="shared" si="12"/>
        <v>-7.8099084675731595E-2</v>
      </c>
      <c r="M126" s="11">
        <f t="shared" si="14"/>
        <v>-6.726850770047782E-2</v>
      </c>
      <c r="N126" s="11">
        <f t="shared" si="15"/>
        <v>-4.3745980435969486E-2</v>
      </c>
      <c r="O126" s="11">
        <f t="shared" si="16"/>
        <v>-9.3868203390820207E-2</v>
      </c>
      <c r="P126" s="11">
        <f t="shared" si="17"/>
        <v>-6.8979933110367972E-2</v>
      </c>
      <c r="Q126" s="11">
        <f t="shared" si="18"/>
        <v>-4.1159917734327374E-2</v>
      </c>
      <c r="R126" s="11">
        <f t="shared" si="19"/>
        <v>-5.7614964609868813E-2</v>
      </c>
      <c r="S126" s="11">
        <f t="shared" si="20"/>
        <v>-5.0059576451685454E-2</v>
      </c>
      <c r="T126" s="11">
        <f t="shared" si="21"/>
        <v>-5.3886937969133157E-3</v>
      </c>
      <c r="U126" s="11">
        <f t="shared" si="13"/>
        <v>-5.6242762434017997E-2</v>
      </c>
      <c r="V126" s="11" cm="1">
        <f t="array" ref="V126">SUMPRODUCT(L126:T126,TRANSPOSE($Y$5:$Y$13))</f>
        <v>-5.1157355570307539E-2</v>
      </c>
    </row>
    <row r="127" spans="1:22" x14ac:dyDescent="0.2">
      <c r="A127" s="1">
        <v>44260</v>
      </c>
      <c r="B127" s="3">
        <v>78.489998</v>
      </c>
      <c r="C127" s="3">
        <v>18.829999999999998</v>
      </c>
      <c r="D127" s="3">
        <v>30.860001</v>
      </c>
      <c r="E127" s="3">
        <v>60.830002</v>
      </c>
      <c r="F127" s="3">
        <v>23.92</v>
      </c>
      <c r="G127" s="3">
        <v>21.379999000000002</v>
      </c>
      <c r="H127" s="3">
        <v>22.389999</v>
      </c>
      <c r="I127" s="3">
        <v>31.646732</v>
      </c>
      <c r="J127" s="3">
        <v>100.209999</v>
      </c>
      <c r="L127" s="11">
        <f t="shared" si="12"/>
        <v>7.5205452054794522E-2</v>
      </c>
      <c r="M127" s="11">
        <f t="shared" si="14"/>
        <v>1.8021301784872858E-2</v>
      </c>
      <c r="N127" s="11">
        <f t="shared" si="15"/>
        <v>3.2452393190110208E-2</v>
      </c>
      <c r="O127" s="11">
        <f t="shared" si="16"/>
        <v>-1.4772817293920348E-3</v>
      </c>
      <c r="P127" s="11">
        <f t="shared" si="17"/>
        <v>-2.6058592266229308E-2</v>
      </c>
      <c r="Q127" s="11">
        <f t="shared" si="18"/>
        <v>4.7012683643486763E-2</v>
      </c>
      <c r="R127" s="11">
        <f t="shared" si="19"/>
        <v>7.6507654208264426E-3</v>
      </c>
      <c r="S127" s="11">
        <f t="shared" si="20"/>
        <v>3.7724134670038136E-2</v>
      </c>
      <c r="T127" s="11">
        <f t="shared" si="21"/>
        <v>1.3655654322722487E-2</v>
      </c>
      <c r="U127" s="11">
        <f t="shared" si="13"/>
        <v>2.2687390121247784E-2</v>
      </c>
      <c r="V127" s="11" cm="1">
        <f t="array" ref="V127">SUMPRODUCT(L127:T127,TRANSPOSE($Y$5:$Y$13))</f>
        <v>2.1784216541395261E-2</v>
      </c>
    </row>
    <row r="128" spans="1:22" x14ac:dyDescent="0.2">
      <c r="A128" s="1">
        <v>44259</v>
      </c>
      <c r="B128" s="3">
        <v>73</v>
      </c>
      <c r="C128" s="3">
        <v>18.496666000000001</v>
      </c>
      <c r="D128" s="3">
        <v>29.889999</v>
      </c>
      <c r="E128" s="3">
        <v>60.919998</v>
      </c>
      <c r="F128" s="3">
        <v>24.559999000000001</v>
      </c>
      <c r="G128" s="3">
        <v>20.420000000000002</v>
      </c>
      <c r="H128" s="3">
        <v>22.219999000000001</v>
      </c>
      <c r="I128" s="3">
        <v>30.496286000000001</v>
      </c>
      <c r="J128" s="3">
        <v>98.860000999999997</v>
      </c>
      <c r="L128" s="11">
        <f t="shared" si="12"/>
        <v>2.9619152902139543E-2</v>
      </c>
      <c r="M128" s="11">
        <f t="shared" si="14"/>
        <v>-1.9438081276516701E-2</v>
      </c>
      <c r="N128" s="11">
        <f t="shared" si="15"/>
        <v>-7.6361883254917207E-3</v>
      </c>
      <c r="O128" s="11">
        <f t="shared" si="16"/>
        <v>3.5702108126487581E-2</v>
      </c>
      <c r="P128" s="11">
        <f t="shared" si="17"/>
        <v>2.7185236302802222E-2</v>
      </c>
      <c r="Q128" s="11">
        <f t="shared" si="18"/>
        <v>2.8715365239294723E-2</v>
      </c>
      <c r="R128" s="11">
        <f t="shared" si="19"/>
        <v>4.8607737205864344E-2</v>
      </c>
      <c r="S128" s="11">
        <f t="shared" si="20"/>
        <v>-7.3664656604779909E-3</v>
      </c>
      <c r="T128" s="11">
        <f t="shared" si="21"/>
        <v>-1.4848002288948749E-2</v>
      </c>
      <c r="U128" s="11">
        <f t="shared" si="13"/>
        <v>1.3393429136128137E-2</v>
      </c>
      <c r="V128" s="11" cm="1">
        <f t="array" ref="V128">SUMPRODUCT(L128:T128,TRANSPOSE($Y$5:$Y$13))</f>
        <v>1.0569285993620451E-2</v>
      </c>
    </row>
    <row r="129" spans="1:22" x14ac:dyDescent="0.2">
      <c r="A129" s="1">
        <v>44258</v>
      </c>
      <c r="B129" s="3">
        <v>70.900002000000001</v>
      </c>
      <c r="C129" s="3">
        <v>18.863333000000001</v>
      </c>
      <c r="D129" s="3">
        <v>30.120000999999998</v>
      </c>
      <c r="E129" s="3">
        <v>58.82</v>
      </c>
      <c r="F129" s="3">
        <v>23.91</v>
      </c>
      <c r="G129" s="3">
        <v>19.850000000000001</v>
      </c>
      <c r="H129" s="3">
        <v>21.190000999999999</v>
      </c>
      <c r="I129" s="3">
        <v>30.722602999999999</v>
      </c>
      <c r="J129" s="3">
        <v>100.349998</v>
      </c>
      <c r="L129" s="11">
        <f t="shared" si="12"/>
        <v>-1.2947236170200757E-2</v>
      </c>
      <c r="M129" s="11">
        <f t="shared" si="14"/>
        <v>1.0355275843599307E-2</v>
      </c>
      <c r="N129" s="11">
        <f t="shared" si="15"/>
        <v>-1.2135093473269925E-2</v>
      </c>
      <c r="O129" s="11">
        <f t="shared" si="16"/>
        <v>3.7543004694300659E-3</v>
      </c>
      <c r="P129" s="11">
        <f t="shared" si="17"/>
        <v>-1.4020618556701026E-2</v>
      </c>
      <c r="Q129" s="11">
        <f t="shared" si="18"/>
        <v>3.0317835759584473E-3</v>
      </c>
      <c r="R129" s="11">
        <f t="shared" si="19"/>
        <v>-3.6380127330604806E-2</v>
      </c>
      <c r="S129" s="11">
        <f t="shared" si="20"/>
        <v>-1.3325306575475475E-2</v>
      </c>
      <c r="T129" s="11">
        <f t="shared" si="21"/>
        <v>-1.2303149848487202E-2</v>
      </c>
      <c r="U129" s="11">
        <f t="shared" si="13"/>
        <v>-9.3300191184168199E-3</v>
      </c>
      <c r="V129" s="11" cm="1">
        <f t="array" ref="V129">SUMPRODUCT(L129:T129,TRANSPOSE($Y$5:$Y$13))</f>
        <v>-9.6273321914238583E-3</v>
      </c>
    </row>
    <row r="130" spans="1:22" x14ac:dyDescent="0.2">
      <c r="A130" s="1">
        <v>44257</v>
      </c>
      <c r="B130" s="3">
        <v>71.830001999999993</v>
      </c>
      <c r="C130" s="3">
        <v>18.670000000000002</v>
      </c>
      <c r="D130" s="3">
        <v>30.49</v>
      </c>
      <c r="E130" s="3">
        <v>58.599997999999999</v>
      </c>
      <c r="F130" s="3">
        <v>24.25</v>
      </c>
      <c r="G130" s="3">
        <v>19.790001</v>
      </c>
      <c r="H130" s="3">
        <v>21.99</v>
      </c>
      <c r="I130" s="3">
        <v>31.137519999999999</v>
      </c>
      <c r="J130" s="3">
        <v>101.599998</v>
      </c>
      <c r="L130" s="11">
        <f t="shared" si="12"/>
        <v>8.8483852042858524E-3</v>
      </c>
      <c r="M130" s="11">
        <f t="shared" si="14"/>
        <v>3.0542759327640237E-2</v>
      </c>
      <c r="N130" s="11">
        <f t="shared" si="15"/>
        <v>-1.3268608414239488E-2</v>
      </c>
      <c r="O130" s="11">
        <f t="shared" si="16"/>
        <v>-9.4658891142663498E-3</v>
      </c>
      <c r="P130" s="11">
        <f t="shared" si="17"/>
        <v>-1.7423014586709876E-2</v>
      </c>
      <c r="Q130" s="11">
        <f t="shared" si="18"/>
        <v>2.1155935044165824E-2</v>
      </c>
      <c r="R130" s="11">
        <f t="shared" si="19"/>
        <v>-4.5454545454552561E-4</v>
      </c>
      <c r="S130" s="11">
        <f t="shared" si="20"/>
        <v>2.4287492935919771E-3</v>
      </c>
      <c r="T130" s="11">
        <f t="shared" si="21"/>
        <v>3.0739555645734062E-2</v>
      </c>
      <c r="U130" s="11">
        <f t="shared" si="13"/>
        <v>5.9003696606285232E-3</v>
      </c>
      <c r="V130" s="11" cm="1">
        <f t="array" ref="V130">SUMPRODUCT(L130:T130,TRANSPOSE($Y$5:$Y$13))</f>
        <v>8.3842882591390784E-3</v>
      </c>
    </row>
    <row r="131" spans="1:22" x14ac:dyDescent="0.2">
      <c r="A131" s="1">
        <v>44256</v>
      </c>
      <c r="B131" s="3">
        <v>71.199996999999996</v>
      </c>
      <c r="C131" s="3">
        <v>18.116667</v>
      </c>
      <c r="D131" s="3">
        <v>30.9</v>
      </c>
      <c r="E131" s="3">
        <v>59.16</v>
      </c>
      <c r="F131" s="3">
        <v>24.68</v>
      </c>
      <c r="G131" s="3">
        <v>19.379999000000002</v>
      </c>
      <c r="H131" s="3">
        <v>22</v>
      </c>
      <c r="I131" s="3">
        <v>31.062078</v>
      </c>
      <c r="J131" s="3">
        <v>98.57</v>
      </c>
      <c r="L131" s="11">
        <f t="shared" si="12"/>
        <v>-1.682599551317961E-3</v>
      </c>
      <c r="M131" s="11">
        <f t="shared" si="14"/>
        <v>9.2082872928166907E-4</v>
      </c>
      <c r="N131" s="11">
        <f t="shared" si="15"/>
        <v>3.4482723987856581E-2</v>
      </c>
      <c r="O131" s="11">
        <f t="shared" si="16"/>
        <v>1.9999999999999941E-2</v>
      </c>
      <c r="P131" s="11">
        <f t="shared" si="17"/>
        <v>-9.2332396627860473E-3</v>
      </c>
      <c r="Q131" s="11">
        <f t="shared" si="18"/>
        <v>-1.5243953252032429E-2</v>
      </c>
      <c r="R131" s="11">
        <f t="shared" si="19"/>
        <v>-1.0791366906474751E-2</v>
      </c>
      <c r="S131" s="11">
        <f t="shared" si="20"/>
        <v>-3.3283269921960236E-3</v>
      </c>
      <c r="T131" s="11">
        <f t="shared" si="21"/>
        <v>4.2848107580875074E-2</v>
      </c>
      <c r="U131" s="11">
        <f t="shared" si="13"/>
        <v>6.4413526592451177E-3</v>
      </c>
      <c r="V131" s="11" cm="1">
        <f t="array" ref="V131">SUMPRODUCT(L131:T131,TRANSPOSE($Y$5:$Y$13))</f>
        <v>1.0082028151408112E-2</v>
      </c>
    </row>
    <row r="132" spans="1:22" x14ac:dyDescent="0.2">
      <c r="A132" s="1">
        <v>44253</v>
      </c>
      <c r="B132" s="3">
        <v>71.319999999999993</v>
      </c>
      <c r="C132" s="3">
        <v>18.100000000000001</v>
      </c>
      <c r="D132" s="3">
        <v>29.870000999999998</v>
      </c>
      <c r="E132" s="3">
        <v>58</v>
      </c>
      <c r="F132" s="3">
        <v>24.91</v>
      </c>
      <c r="G132" s="3">
        <v>19.68</v>
      </c>
      <c r="H132" s="3">
        <v>22.24</v>
      </c>
      <c r="I132" s="3">
        <v>31.165807999999998</v>
      </c>
      <c r="J132" s="3">
        <v>94.519997000000004</v>
      </c>
      <c r="L132" s="11">
        <f t="shared" si="12"/>
        <v>-1.3691025133204955E-2</v>
      </c>
      <c r="M132" s="11">
        <f t="shared" si="14"/>
        <v>-1.0748680155645819E-2</v>
      </c>
      <c r="N132" s="11">
        <f t="shared" si="15"/>
        <v>-3.6690793862575702E-3</v>
      </c>
      <c r="O132" s="11">
        <f t="shared" si="16"/>
        <v>-3.107251869240692E-2</v>
      </c>
      <c r="P132" s="11">
        <f t="shared" si="17"/>
        <v>-4.2291426374471412E-2</v>
      </c>
      <c r="Q132" s="11">
        <f t="shared" si="18"/>
        <v>-1.9920318725099532E-2</v>
      </c>
      <c r="R132" s="11">
        <f t="shared" si="19"/>
        <v>-4.0965974947564703E-2</v>
      </c>
      <c r="S132" s="11">
        <f t="shared" si="20"/>
        <v>-5.3550983733312151E-2</v>
      </c>
      <c r="T132" s="11">
        <f t="shared" si="21"/>
        <v>-1.2433413566329602E-2</v>
      </c>
      <c r="U132" s="11">
        <f t="shared" si="13"/>
        <v>-2.5371491190476964E-2</v>
      </c>
      <c r="V132" s="11" cm="1">
        <f t="array" ref="V132">SUMPRODUCT(L132:T132,TRANSPOSE($Y$5:$Y$13))</f>
        <v>-2.4077683428062227E-2</v>
      </c>
    </row>
    <row r="133" spans="1:22" x14ac:dyDescent="0.2">
      <c r="A133" s="1">
        <v>44252</v>
      </c>
      <c r="B133" s="3">
        <v>72.309997999999993</v>
      </c>
      <c r="C133" s="3">
        <v>18.296665000000001</v>
      </c>
      <c r="D133" s="3">
        <v>29.98</v>
      </c>
      <c r="E133" s="3">
        <v>59.860000999999997</v>
      </c>
      <c r="F133" s="3">
        <v>26.01</v>
      </c>
      <c r="G133" s="3">
        <v>20.079999999999998</v>
      </c>
      <c r="H133" s="3">
        <v>23.190000999999999</v>
      </c>
      <c r="I133" s="3">
        <v>32.929198999999997</v>
      </c>
      <c r="J133" s="3">
        <v>95.709998999999996</v>
      </c>
      <c r="L133" s="11">
        <f t="shared" si="12"/>
        <v>-3.0177039436079387E-2</v>
      </c>
      <c r="M133" s="11">
        <f t="shared" si="14"/>
        <v>-1.3124918385926696E-2</v>
      </c>
      <c r="N133" s="11">
        <f t="shared" si="15"/>
        <v>-4.0332906530089564E-2</v>
      </c>
      <c r="O133" s="11">
        <f t="shared" si="16"/>
        <v>-1.1232242959493835E-2</v>
      </c>
      <c r="P133" s="11">
        <f t="shared" si="17"/>
        <v>-2.2180451127819543E-2</v>
      </c>
      <c r="Q133" s="11">
        <f t="shared" si="18"/>
        <v>1.0568645668412389E-2</v>
      </c>
      <c r="R133" s="11">
        <f t="shared" si="19"/>
        <v>-4.9590122950819666E-2</v>
      </c>
      <c r="S133" s="11">
        <f t="shared" si="20"/>
        <v>-4.0131971218416489E-2</v>
      </c>
      <c r="T133" s="11">
        <f t="shared" si="21"/>
        <v>-2.2669263759828556E-2</v>
      </c>
      <c r="U133" s="11">
        <f t="shared" si="13"/>
        <v>-2.4318918966673483E-2</v>
      </c>
      <c r="V133" s="11" cm="1">
        <f t="array" ref="V133">SUMPRODUCT(L133:T133,TRANSPOSE($Y$5:$Y$13))</f>
        <v>-2.4153953445988995E-2</v>
      </c>
    </row>
    <row r="134" spans="1:22" x14ac:dyDescent="0.2">
      <c r="A134" s="1">
        <v>44251</v>
      </c>
      <c r="B134" s="3">
        <v>74.559997999999993</v>
      </c>
      <c r="C134" s="3">
        <v>18.540001</v>
      </c>
      <c r="D134" s="3">
        <v>31.24</v>
      </c>
      <c r="E134" s="3">
        <v>60.540000999999997</v>
      </c>
      <c r="F134" s="3">
        <v>26.6</v>
      </c>
      <c r="G134" s="3">
        <v>19.870000999999998</v>
      </c>
      <c r="H134" s="3">
        <v>24.4</v>
      </c>
      <c r="I134" s="3">
        <v>34.305965</v>
      </c>
      <c r="J134" s="3">
        <v>97.93</v>
      </c>
      <c r="L134" s="11">
        <f t="shared" si="12"/>
        <v>-1.022174405358439E-2</v>
      </c>
      <c r="M134" s="11">
        <f t="shared" si="14"/>
        <v>5.0596674185097333E-3</v>
      </c>
      <c r="N134" s="11">
        <f t="shared" si="15"/>
        <v>1.3298734998378208E-2</v>
      </c>
      <c r="O134" s="11">
        <f t="shared" si="16"/>
        <v>-1.2398009990179659E-2</v>
      </c>
      <c r="P134" s="11">
        <f t="shared" si="17"/>
        <v>-2.3136246786632352E-2</v>
      </c>
      <c r="Q134" s="11">
        <f t="shared" si="18"/>
        <v>-1.1442736318408106E-2</v>
      </c>
      <c r="R134" s="11">
        <f t="shared" si="19"/>
        <v>1.4131380470963333E-2</v>
      </c>
      <c r="S134" s="11">
        <f t="shared" si="20"/>
        <v>6.6408551708296484E-3</v>
      </c>
      <c r="T134" s="11">
        <f t="shared" si="21"/>
        <v>1.0108334505673174E-2</v>
      </c>
      <c r="U134" s="11">
        <f t="shared" si="13"/>
        <v>-8.8441828716115693E-4</v>
      </c>
      <c r="V134" s="11" cm="1">
        <f t="array" ref="V134">SUMPRODUCT(L134:T134,TRANSPOSE($Y$5:$Y$13))</f>
        <v>2.1485699212227694E-4</v>
      </c>
    </row>
    <row r="135" spans="1:22" x14ac:dyDescent="0.2">
      <c r="A135" s="1">
        <v>44250</v>
      </c>
      <c r="B135" s="3">
        <v>75.330001999999993</v>
      </c>
      <c r="C135" s="3">
        <v>18.446667000000001</v>
      </c>
      <c r="D135" s="3">
        <v>30.83</v>
      </c>
      <c r="E135" s="3">
        <v>61.299999</v>
      </c>
      <c r="F135" s="3">
        <v>27.23</v>
      </c>
      <c r="G135" s="3">
        <v>20.100000000000001</v>
      </c>
      <c r="H135" s="3">
        <v>24.059999000000001</v>
      </c>
      <c r="I135" s="3">
        <v>34.079647000000001</v>
      </c>
      <c r="J135" s="3">
        <v>96.949996999999996</v>
      </c>
      <c r="L135" s="11">
        <f t="shared" ref="L135:L198" si="22">(B135-B136)/B136</f>
        <v>-2.5232880761295175E-2</v>
      </c>
      <c r="M135" s="11">
        <f t="shared" si="14"/>
        <v>-7.1761571582344905E-3</v>
      </c>
      <c r="N135" s="11">
        <f t="shared" si="15"/>
        <v>-2.2653721682847992E-3</v>
      </c>
      <c r="O135" s="11">
        <f t="shared" si="16"/>
        <v>3.4375347847437595E-3</v>
      </c>
      <c r="P135" s="11">
        <f t="shared" si="17"/>
        <v>-5.9412813146362237E-2</v>
      </c>
      <c r="Q135" s="11">
        <f t="shared" si="18"/>
        <v>-1.9860477649476607E-3</v>
      </c>
      <c r="R135" s="11">
        <f t="shared" si="19"/>
        <v>0.11029067835717579</v>
      </c>
      <c r="S135" s="11">
        <f t="shared" si="20"/>
        <v>-1.6598591095525323E-2</v>
      </c>
      <c r="T135" s="11">
        <f t="shared" si="21"/>
        <v>1.6780273031573603E-2</v>
      </c>
      <c r="U135" s="11">
        <f t="shared" ref="U135:U198" si="23">AVERAGE(L135:T135)</f>
        <v>1.9818471198714961E-3</v>
      </c>
      <c r="V135" s="11" cm="1">
        <f t="array" ref="V135">SUMPRODUCT(L135:T135,TRANSPOSE($Y$5:$Y$13))</f>
        <v>3.4616897110417073E-3</v>
      </c>
    </row>
    <row r="136" spans="1:22" x14ac:dyDescent="0.2">
      <c r="A136" s="1">
        <v>44249</v>
      </c>
      <c r="B136" s="3">
        <v>77.279999000000004</v>
      </c>
      <c r="C136" s="3">
        <v>18.579999999999998</v>
      </c>
      <c r="D136" s="3">
        <v>30.9</v>
      </c>
      <c r="E136" s="3">
        <v>61.09</v>
      </c>
      <c r="F136" s="3">
        <v>28.950001</v>
      </c>
      <c r="G136" s="3">
        <v>20.139999</v>
      </c>
      <c r="H136" s="3">
        <v>21.67</v>
      </c>
      <c r="I136" s="3">
        <v>34.654868999999998</v>
      </c>
      <c r="J136" s="3">
        <v>95.349997999999999</v>
      </c>
      <c r="L136" s="11">
        <f t="shared" si="22"/>
        <v>3.6363506493506969E-3</v>
      </c>
      <c r="M136" s="11">
        <f t="shared" si="14"/>
        <v>-3.9793281653746931E-2</v>
      </c>
      <c r="N136" s="11">
        <f t="shared" si="15"/>
        <v>5.7133082449538082E-2</v>
      </c>
      <c r="O136" s="11">
        <f t="shared" si="16"/>
        <v>-6.1597513413133992E-2</v>
      </c>
      <c r="P136" s="11">
        <f t="shared" si="17"/>
        <v>0.19875780538302285</v>
      </c>
      <c r="Q136" s="11">
        <f t="shared" si="18"/>
        <v>-2.5641074020319406E-2</v>
      </c>
      <c r="R136" s="11">
        <f t="shared" si="19"/>
        <v>-0.20709842663739469</v>
      </c>
      <c r="S136" s="11">
        <f t="shared" si="20"/>
        <v>-7.2933776693361691E-3</v>
      </c>
      <c r="T136" s="11">
        <f t="shared" si="21"/>
        <v>-2.4751959438026824E-2</v>
      </c>
      <c r="U136" s="11">
        <f t="shared" si="23"/>
        <v>-1.1849821594449601E-2</v>
      </c>
      <c r="V136" s="11" cm="1">
        <f t="array" ref="V136">SUMPRODUCT(L136:T136,TRANSPOSE($Y$5:$Y$13))</f>
        <v>-1.314003537880732E-2</v>
      </c>
    </row>
    <row r="137" spans="1:22" x14ac:dyDescent="0.2">
      <c r="A137" s="1">
        <v>44246</v>
      </c>
      <c r="B137" s="3">
        <v>77</v>
      </c>
      <c r="C137" s="3">
        <v>19.350000000000001</v>
      </c>
      <c r="D137" s="3">
        <v>29.23</v>
      </c>
      <c r="E137" s="3">
        <v>65.099997999999999</v>
      </c>
      <c r="F137" s="3">
        <v>24.15</v>
      </c>
      <c r="G137" s="3">
        <v>20.67</v>
      </c>
      <c r="H137" s="3">
        <v>27.33</v>
      </c>
      <c r="I137" s="3">
        <v>34.909477000000003</v>
      </c>
      <c r="J137" s="3">
        <v>97.769997000000004</v>
      </c>
      <c r="L137" s="11">
        <f t="shared" si="22"/>
        <v>1.9867549668874173E-2</v>
      </c>
      <c r="M137" s="11">
        <f t="shared" si="14"/>
        <v>5.1706308169604772E-4</v>
      </c>
      <c r="N137" s="11">
        <f t="shared" si="15"/>
        <v>7.2363886974500637E-3</v>
      </c>
      <c r="O137" s="11">
        <f t="shared" si="16"/>
        <v>7.5839187806234906E-3</v>
      </c>
      <c r="P137" s="11">
        <f t="shared" si="17"/>
        <v>1.3853904282115798E-2</v>
      </c>
      <c r="Q137" s="11">
        <f t="shared" si="18"/>
        <v>-1.242236024844711E-2</v>
      </c>
      <c r="R137" s="11">
        <f t="shared" si="19"/>
        <v>-6.6279467031089903E-2</v>
      </c>
      <c r="S137" s="11">
        <f t="shared" si="20"/>
        <v>-1.3326286608164019E-2</v>
      </c>
      <c r="T137" s="11">
        <f t="shared" si="21"/>
        <v>3.7987165544411689E-3</v>
      </c>
      <c r="U137" s="11">
        <f t="shared" si="23"/>
        <v>-4.3522858691666996E-3</v>
      </c>
      <c r="V137" s="11" cm="1">
        <f t="array" ref="V137">SUMPRODUCT(L137:T137,TRANSPOSE($Y$5:$Y$13))</f>
        <v>-3.5371856268059127E-3</v>
      </c>
    </row>
    <row r="138" spans="1:22" x14ac:dyDescent="0.2">
      <c r="A138" s="1">
        <v>44245</v>
      </c>
      <c r="B138" s="3">
        <v>75.5</v>
      </c>
      <c r="C138" s="3">
        <v>19.34</v>
      </c>
      <c r="D138" s="3">
        <v>29.02</v>
      </c>
      <c r="E138" s="3">
        <v>64.610000999999997</v>
      </c>
      <c r="F138" s="3">
        <v>23.82</v>
      </c>
      <c r="G138" s="3">
        <v>20.93</v>
      </c>
      <c r="H138" s="3">
        <v>29.27</v>
      </c>
      <c r="I138" s="3">
        <v>35.380974000000002</v>
      </c>
      <c r="J138" s="3">
        <v>97.400002000000001</v>
      </c>
      <c r="L138" s="11">
        <f t="shared" si="22"/>
        <v>-6.5789473684210523E-3</v>
      </c>
      <c r="M138" s="11">
        <f t="shared" si="14"/>
        <v>-3.0738373383534509E-2</v>
      </c>
      <c r="N138" s="11">
        <f t="shared" si="15"/>
        <v>3.5688793718772309E-2</v>
      </c>
      <c r="O138" s="11">
        <f t="shared" si="16"/>
        <v>-3.4230208244238974E-2</v>
      </c>
      <c r="P138" s="11">
        <f t="shared" si="17"/>
        <v>-3.2100811373392477E-2</v>
      </c>
      <c r="Q138" s="11">
        <f t="shared" si="18"/>
        <v>-2.1505330598659674E-2</v>
      </c>
      <c r="R138" s="11">
        <f t="shared" si="19"/>
        <v>2.9184211350766157E-2</v>
      </c>
      <c r="S138" s="11">
        <f t="shared" si="20"/>
        <v>-8.4565843732574333E-3</v>
      </c>
      <c r="T138" s="11">
        <f t="shared" si="21"/>
        <v>3.7384205318822056E-2</v>
      </c>
      <c r="U138" s="11">
        <f t="shared" si="23"/>
        <v>-3.4836716614604002E-3</v>
      </c>
      <c r="V138" s="11" cm="1">
        <f t="array" ref="V138">SUMPRODUCT(L138:T138,TRANSPOSE($Y$5:$Y$13))</f>
        <v>6.0311603656784587E-4</v>
      </c>
    </row>
    <row r="139" spans="1:22" x14ac:dyDescent="0.2">
      <c r="A139" s="1">
        <v>44239</v>
      </c>
      <c r="B139" s="3">
        <v>76</v>
      </c>
      <c r="C139" s="3">
        <v>19.953333000000001</v>
      </c>
      <c r="D139" s="3">
        <v>28.02</v>
      </c>
      <c r="E139" s="3">
        <v>66.900002000000001</v>
      </c>
      <c r="F139" s="3">
        <v>24.610001</v>
      </c>
      <c r="G139" s="3">
        <v>21.389999</v>
      </c>
      <c r="H139" s="3">
        <v>28.440000999999999</v>
      </c>
      <c r="I139" s="3">
        <v>35.682727999999997</v>
      </c>
      <c r="J139" s="3">
        <v>93.889999000000003</v>
      </c>
      <c r="L139" s="11">
        <f t="shared" si="22"/>
        <v>1.9723614916457952E-2</v>
      </c>
      <c r="M139" s="11">
        <f t="shared" si="14"/>
        <v>-7.6260277250327444E-3</v>
      </c>
      <c r="N139" s="11">
        <f t="shared" si="15"/>
        <v>-3.5679627696049809E-4</v>
      </c>
      <c r="O139" s="11">
        <f t="shared" si="16"/>
        <v>-8.9601255818411293E-4</v>
      </c>
      <c r="P139" s="11">
        <f t="shared" si="17"/>
        <v>1.2757284475608447E-2</v>
      </c>
      <c r="Q139" s="11">
        <f t="shared" si="18"/>
        <v>1.8734894613582256E-3</v>
      </c>
      <c r="R139" s="11">
        <f t="shared" si="19"/>
        <v>1.2820548433048451E-2</v>
      </c>
      <c r="S139" s="11">
        <f t="shared" si="20"/>
        <v>-1.3555825099126343E-2</v>
      </c>
      <c r="T139" s="11">
        <f t="shared" si="21"/>
        <v>8.485510386369759E-3</v>
      </c>
      <c r="U139" s="11">
        <f t="shared" si="23"/>
        <v>3.6917540015043485E-3</v>
      </c>
      <c r="V139" s="11" cm="1">
        <f t="array" ref="V139">SUMPRODUCT(L139:T139,TRANSPOSE($Y$5:$Y$13))</f>
        <v>4.1711296399908893E-3</v>
      </c>
    </row>
    <row r="140" spans="1:22" x14ac:dyDescent="0.2">
      <c r="A140" s="1">
        <v>44238</v>
      </c>
      <c r="B140" s="3">
        <v>74.529999000000004</v>
      </c>
      <c r="C140" s="3">
        <v>20.106667000000002</v>
      </c>
      <c r="D140" s="3">
        <v>28.030000999999999</v>
      </c>
      <c r="E140" s="3">
        <v>66.959998999999996</v>
      </c>
      <c r="F140" s="3">
        <v>24.299999</v>
      </c>
      <c r="G140" s="3">
        <v>21.35</v>
      </c>
      <c r="H140" s="3">
        <v>28.08</v>
      </c>
      <c r="I140" s="3">
        <v>36.173084000000003</v>
      </c>
      <c r="J140" s="3">
        <v>93.099997999999999</v>
      </c>
      <c r="L140" s="11">
        <f t="shared" si="22"/>
        <v>7.1621486486486982E-3</v>
      </c>
      <c r="M140" s="11">
        <f t="shared" si="14"/>
        <v>4.4963032305180535E-3</v>
      </c>
      <c r="N140" s="11">
        <f t="shared" si="15"/>
        <v>3.9398638968480264E-3</v>
      </c>
      <c r="O140" s="11">
        <f t="shared" si="16"/>
        <v>-5.7906312038792209E-3</v>
      </c>
      <c r="P140" s="11">
        <f t="shared" si="17"/>
        <v>2.0151091519731292E-2</v>
      </c>
      <c r="Q140" s="11">
        <f t="shared" si="18"/>
        <v>4.7058823529412437E-3</v>
      </c>
      <c r="R140" s="11">
        <f t="shared" si="19"/>
        <v>1.0071978779567533E-2</v>
      </c>
      <c r="S140" s="11">
        <f t="shared" si="20"/>
        <v>2.6136966641199101E-3</v>
      </c>
      <c r="T140" s="11">
        <f t="shared" si="21"/>
        <v>-1.6895449320869536E-2</v>
      </c>
      <c r="U140" s="11">
        <f t="shared" si="23"/>
        <v>3.3838760630695557E-3</v>
      </c>
      <c r="V140" s="11" cm="1">
        <f t="array" ref="V140">SUMPRODUCT(L140:T140,TRANSPOSE($Y$5:$Y$13))</f>
        <v>1.3559435246756463E-3</v>
      </c>
    </row>
    <row r="141" spans="1:22" x14ac:dyDescent="0.2">
      <c r="A141" s="1">
        <v>44237</v>
      </c>
      <c r="B141" s="3">
        <v>74</v>
      </c>
      <c r="C141" s="3">
        <v>20.016666000000001</v>
      </c>
      <c r="D141" s="3">
        <v>27.92</v>
      </c>
      <c r="E141" s="3">
        <v>67.349997999999999</v>
      </c>
      <c r="F141" s="3">
        <v>23.82</v>
      </c>
      <c r="G141" s="3">
        <v>21.25</v>
      </c>
      <c r="H141" s="3">
        <v>27.799999</v>
      </c>
      <c r="I141" s="3">
        <v>36.078785000000003</v>
      </c>
      <c r="J141" s="3">
        <v>94.699996999999996</v>
      </c>
      <c r="L141" s="11">
        <f t="shared" si="22"/>
        <v>-1.3990712298838999E-2</v>
      </c>
      <c r="M141" s="11">
        <f t="shared" si="14"/>
        <v>-3.4876277724204326E-2</v>
      </c>
      <c r="N141" s="11">
        <f t="shared" si="15"/>
        <v>-7.1585537881681E-4</v>
      </c>
      <c r="O141" s="11">
        <f t="shared" si="16"/>
        <v>-1.7075292633185669E-2</v>
      </c>
      <c r="P141" s="11">
        <f t="shared" si="17"/>
        <v>-1.854140914709515E-2</v>
      </c>
      <c r="Q141" s="11">
        <f t="shared" si="18"/>
        <v>-6.08040252948569E-3</v>
      </c>
      <c r="R141" s="11">
        <f t="shared" si="19"/>
        <v>9.4407403979396912E-3</v>
      </c>
      <c r="S141" s="11">
        <f t="shared" si="20"/>
        <v>-1.8974322691528996E-2</v>
      </c>
      <c r="T141" s="11">
        <f t="shared" si="21"/>
        <v>4.7745039787798005E-3</v>
      </c>
      <c r="U141" s="11">
        <f t="shared" si="23"/>
        <v>-1.067100311404846E-2</v>
      </c>
      <c r="V141" s="11" cm="1">
        <f t="array" ref="V141">SUMPRODUCT(L141:T141,TRANSPOSE($Y$5:$Y$13))</f>
        <v>-9.1264524047656344E-3</v>
      </c>
    </row>
    <row r="142" spans="1:22" x14ac:dyDescent="0.2">
      <c r="A142" s="1">
        <v>44236</v>
      </c>
      <c r="B142" s="3">
        <v>75.050003000000004</v>
      </c>
      <c r="C142" s="3">
        <v>20.74</v>
      </c>
      <c r="D142" s="3">
        <v>27.940000999999999</v>
      </c>
      <c r="E142" s="3">
        <v>68.519997000000004</v>
      </c>
      <c r="F142" s="3">
        <v>24.27</v>
      </c>
      <c r="G142" s="3">
        <v>21.379999000000002</v>
      </c>
      <c r="H142" s="3">
        <v>27.540001</v>
      </c>
      <c r="I142" s="3">
        <v>36.776595999999998</v>
      </c>
      <c r="J142" s="3">
        <v>94.25</v>
      </c>
      <c r="L142" s="11">
        <f t="shared" si="22"/>
        <v>6.5719556483895122E-3</v>
      </c>
      <c r="M142" s="11">
        <f t="shared" si="14"/>
        <v>-4.6392258723157815E-3</v>
      </c>
      <c r="N142" s="11">
        <f t="shared" si="15"/>
        <v>0</v>
      </c>
      <c r="O142" s="11">
        <f t="shared" si="16"/>
        <v>-1.0684449590399903E-2</v>
      </c>
      <c r="P142" s="11">
        <f t="shared" si="17"/>
        <v>-1.0195758564437194E-2</v>
      </c>
      <c r="Q142" s="11">
        <f t="shared" si="18"/>
        <v>-1.0185231481481476E-2</v>
      </c>
      <c r="R142" s="11">
        <f t="shared" si="19"/>
        <v>-2.0277480602010661E-2</v>
      </c>
      <c r="S142" s="11">
        <f t="shared" si="20"/>
        <v>-1.9854317894716603E-2</v>
      </c>
      <c r="T142" s="11">
        <f t="shared" si="21"/>
        <v>2.5528985734943389E-3</v>
      </c>
      <c r="U142" s="11">
        <f t="shared" si="23"/>
        <v>-7.412401087053086E-3</v>
      </c>
      <c r="V142" s="11" cm="1">
        <f t="array" ref="V142">SUMPRODUCT(L142:T142,TRANSPOSE($Y$5:$Y$13))</f>
        <v>-6.4158711209983442E-3</v>
      </c>
    </row>
    <row r="143" spans="1:22" x14ac:dyDescent="0.2">
      <c r="A143" s="1">
        <v>44235</v>
      </c>
      <c r="B143" s="3">
        <v>74.559997999999993</v>
      </c>
      <c r="C143" s="3">
        <v>20.836666000000001</v>
      </c>
      <c r="D143" s="3">
        <v>27.940000999999999</v>
      </c>
      <c r="E143" s="3">
        <v>69.260002</v>
      </c>
      <c r="F143" s="3">
        <v>24.52</v>
      </c>
      <c r="G143" s="3">
        <v>21.6</v>
      </c>
      <c r="H143" s="3">
        <v>28.110001</v>
      </c>
      <c r="I143" s="3">
        <v>37.521560999999998</v>
      </c>
      <c r="J143" s="3">
        <v>94.010002</v>
      </c>
      <c r="L143" s="11">
        <f t="shared" si="22"/>
        <v>7.5675405405404477E-3</v>
      </c>
      <c r="M143" s="11">
        <f t="shared" si="14"/>
        <v>-1.4814846335697286E-2</v>
      </c>
      <c r="N143" s="11">
        <f t="shared" si="15"/>
        <v>-1.7926185661645552E-2</v>
      </c>
      <c r="O143" s="11">
        <f t="shared" si="16"/>
        <v>5.6628282708221043E-3</v>
      </c>
      <c r="P143" s="11">
        <f t="shared" si="17"/>
        <v>-1.1290282713317857E-2</v>
      </c>
      <c r="Q143" s="11">
        <f t="shared" si="18"/>
        <v>-1.0989010989010917E-2</v>
      </c>
      <c r="R143" s="11">
        <f t="shared" si="19"/>
        <v>-2.5312031900138674E-2</v>
      </c>
      <c r="S143" s="11">
        <f t="shared" si="20"/>
        <v>-7.9779892375906897E-3</v>
      </c>
      <c r="T143" s="11">
        <f t="shared" si="21"/>
        <v>1.4241018141309276E-2</v>
      </c>
      <c r="U143" s="11">
        <f t="shared" si="23"/>
        <v>-6.759884431636571E-3</v>
      </c>
      <c r="V143" s="11" cm="1">
        <f t="array" ref="V143">SUMPRODUCT(L143:T143,TRANSPOSE($Y$5:$Y$13))</f>
        <v>-4.6597941743419871E-3</v>
      </c>
    </row>
    <row r="144" spans="1:22" x14ac:dyDescent="0.2">
      <c r="A144" s="1">
        <v>44232</v>
      </c>
      <c r="B144" s="3">
        <v>74</v>
      </c>
      <c r="C144" s="3">
        <v>21.15</v>
      </c>
      <c r="D144" s="3">
        <v>28.450001</v>
      </c>
      <c r="E144" s="3">
        <v>68.870002999999997</v>
      </c>
      <c r="F144" s="3">
        <v>24.799999</v>
      </c>
      <c r="G144" s="3">
        <v>21.84</v>
      </c>
      <c r="H144" s="3">
        <v>28.84</v>
      </c>
      <c r="I144" s="3">
        <v>37.823315000000001</v>
      </c>
      <c r="J144" s="3">
        <v>92.690002000000007</v>
      </c>
      <c r="L144" s="11">
        <f t="shared" si="22"/>
        <v>-6.8447454879950222E-3</v>
      </c>
      <c r="M144" s="11">
        <f t="shared" si="14"/>
        <v>1.617549595850417E-2</v>
      </c>
      <c r="N144" s="11">
        <f t="shared" si="15"/>
        <v>1.1016418301933869E-2</v>
      </c>
      <c r="O144" s="11">
        <f t="shared" si="16"/>
        <v>-1.0488434209437798E-2</v>
      </c>
      <c r="P144" s="11">
        <f t="shared" si="17"/>
        <v>-4.0306329718117127E-4</v>
      </c>
      <c r="Q144" s="11">
        <f t="shared" si="18"/>
        <v>-1.3104338594863997E-2</v>
      </c>
      <c r="R144" s="11">
        <f t="shared" si="19"/>
        <v>6.9396252602357995E-4</v>
      </c>
      <c r="S144" s="11">
        <f t="shared" si="20"/>
        <v>1.3390560143129025E-2</v>
      </c>
      <c r="T144" s="11">
        <f t="shared" si="21"/>
        <v>3.8078183020739391E-2</v>
      </c>
      <c r="U144" s="11">
        <f t="shared" si="23"/>
        <v>5.3904487067613395E-3</v>
      </c>
      <c r="V144" s="11" cm="1">
        <f t="array" ref="V144">SUMPRODUCT(L144:T144,TRANSPOSE($Y$5:$Y$13))</f>
        <v>8.659222138159145E-3</v>
      </c>
    </row>
    <row r="145" spans="1:22" x14ac:dyDescent="0.2">
      <c r="A145" s="1">
        <v>44231</v>
      </c>
      <c r="B145" s="3">
        <v>74.510002</v>
      </c>
      <c r="C145" s="3">
        <v>20.813334000000001</v>
      </c>
      <c r="D145" s="3">
        <v>28.139999</v>
      </c>
      <c r="E145" s="3">
        <v>69.599997999999999</v>
      </c>
      <c r="F145" s="3">
        <v>24.809999000000001</v>
      </c>
      <c r="G145" s="3">
        <v>22.129999000000002</v>
      </c>
      <c r="H145" s="3">
        <v>28.82</v>
      </c>
      <c r="I145" s="3">
        <v>37.323532</v>
      </c>
      <c r="J145" s="3">
        <v>89.290001000000004</v>
      </c>
      <c r="L145" s="11">
        <f t="shared" si="22"/>
        <v>2.772416551724138E-2</v>
      </c>
      <c r="M145" s="11">
        <f t="shared" si="14"/>
        <v>-8.2591489281812792E-3</v>
      </c>
      <c r="N145" s="11">
        <f t="shared" si="15"/>
        <v>-1.0200527611677812E-2</v>
      </c>
      <c r="O145" s="11">
        <f t="shared" si="16"/>
        <v>1.162783379529788E-2</v>
      </c>
      <c r="P145" s="11">
        <f t="shared" si="17"/>
        <v>-1.7425782178217771E-2</v>
      </c>
      <c r="Q145" s="11">
        <f t="shared" si="18"/>
        <v>-1.644448888888882E-2</v>
      </c>
      <c r="R145" s="11">
        <f t="shared" si="19"/>
        <v>-4.1465444317019366E-3</v>
      </c>
      <c r="S145" s="11">
        <f t="shared" si="20"/>
        <v>-2.1991577555436796E-2</v>
      </c>
      <c r="T145" s="11">
        <f t="shared" si="21"/>
        <v>-1.2606424859007001E-2</v>
      </c>
      <c r="U145" s="11">
        <f t="shared" si="23"/>
        <v>-5.746943904508018E-3</v>
      </c>
      <c r="V145" s="11" cm="1">
        <f t="array" ref="V145">SUMPRODUCT(L145:T145,TRANSPOSE($Y$5:$Y$13))</f>
        <v>-6.4328919999579147E-3</v>
      </c>
    </row>
    <row r="146" spans="1:22" x14ac:dyDescent="0.2">
      <c r="A146" s="1">
        <v>44230</v>
      </c>
      <c r="B146" s="3">
        <v>72.5</v>
      </c>
      <c r="C146" s="3">
        <v>20.986666</v>
      </c>
      <c r="D146" s="3">
        <v>28.43</v>
      </c>
      <c r="E146" s="3">
        <v>68.800003000000004</v>
      </c>
      <c r="F146" s="3">
        <v>25.25</v>
      </c>
      <c r="G146" s="3">
        <v>22.5</v>
      </c>
      <c r="H146" s="3">
        <v>28.940000999999999</v>
      </c>
      <c r="I146" s="3">
        <v>38.162792000000003</v>
      </c>
      <c r="J146" s="3">
        <v>90.43</v>
      </c>
      <c r="L146" s="11">
        <f t="shared" si="22"/>
        <v>0</v>
      </c>
      <c r="M146" s="11">
        <f t="shared" si="14"/>
        <v>4.3069071401150719E-3</v>
      </c>
      <c r="N146" s="11">
        <f t="shared" si="15"/>
        <v>1.3908665695126029E-2</v>
      </c>
      <c r="O146" s="11">
        <f t="shared" si="16"/>
        <v>1.9108294501309655E-2</v>
      </c>
      <c r="P146" s="11">
        <f t="shared" si="17"/>
        <v>0</v>
      </c>
      <c r="Q146" s="11">
        <f t="shared" si="18"/>
        <v>5.6338077762351085E-2</v>
      </c>
      <c r="R146" s="11">
        <f t="shared" si="19"/>
        <v>9.7697487787857164E-3</v>
      </c>
      <c r="S146" s="11">
        <f t="shared" si="20"/>
        <v>2.8201204685603484E-2</v>
      </c>
      <c r="T146" s="11">
        <f t="shared" si="21"/>
        <v>3.1599314095399837E-2</v>
      </c>
      <c r="U146" s="11">
        <f t="shared" si="23"/>
        <v>1.8136912517632317E-2</v>
      </c>
      <c r="V146" s="11" cm="1">
        <f t="array" ref="V146">SUMPRODUCT(L146:T146,TRANSPOSE($Y$5:$Y$13))</f>
        <v>1.9483152675409073E-2</v>
      </c>
    </row>
    <row r="147" spans="1:22" x14ac:dyDescent="0.2">
      <c r="A147" s="1">
        <v>44229</v>
      </c>
      <c r="B147" s="3">
        <v>72.5</v>
      </c>
      <c r="C147" s="3">
        <v>20.896666</v>
      </c>
      <c r="D147" s="3">
        <v>28.040001</v>
      </c>
      <c r="E147" s="3">
        <v>67.510002</v>
      </c>
      <c r="F147" s="3">
        <v>25.25</v>
      </c>
      <c r="G147" s="3">
        <v>21.299999</v>
      </c>
      <c r="H147" s="3">
        <v>28.66</v>
      </c>
      <c r="I147" s="3">
        <v>37.116073999999998</v>
      </c>
      <c r="J147" s="3">
        <v>87.660004000000001</v>
      </c>
      <c r="L147" s="11">
        <f t="shared" si="22"/>
        <v>8.3448954563311323E-3</v>
      </c>
      <c r="M147" s="11">
        <f t="shared" si="14"/>
        <v>2.3510204849312832E-2</v>
      </c>
      <c r="N147" s="11">
        <f t="shared" si="15"/>
        <v>-8.4865626419178154E-3</v>
      </c>
      <c r="O147" s="11">
        <f t="shared" si="16"/>
        <v>5.5668505775316561E-2</v>
      </c>
      <c r="P147" s="11">
        <f t="shared" si="17"/>
        <v>5.5160885917258685E-2</v>
      </c>
      <c r="Q147" s="11">
        <f t="shared" si="18"/>
        <v>-4.6926327870787615E-4</v>
      </c>
      <c r="R147" s="11">
        <f t="shared" si="19"/>
        <v>4.1046093677947981E-2</v>
      </c>
      <c r="S147" s="11">
        <f t="shared" si="20"/>
        <v>-5.3070552253944303E-3</v>
      </c>
      <c r="T147" s="11">
        <f t="shared" si="21"/>
        <v>-3.955289929504438E-2</v>
      </c>
      <c r="U147" s="11">
        <f t="shared" si="23"/>
        <v>1.4434978359455853E-2</v>
      </c>
      <c r="V147" s="11" cm="1">
        <f t="array" ref="V147">SUMPRODUCT(L147:T147,TRANSPOSE($Y$5:$Y$13))</f>
        <v>9.0361905940058319E-3</v>
      </c>
    </row>
    <row r="148" spans="1:22" x14ac:dyDescent="0.2">
      <c r="A148" s="1">
        <v>44228</v>
      </c>
      <c r="B148" s="3">
        <v>71.900002000000001</v>
      </c>
      <c r="C148" s="3">
        <v>20.416665999999999</v>
      </c>
      <c r="D148" s="3">
        <v>28.280000999999999</v>
      </c>
      <c r="E148" s="3">
        <v>63.950001</v>
      </c>
      <c r="F148" s="3">
        <v>23.93</v>
      </c>
      <c r="G148" s="3">
        <v>21.309999000000001</v>
      </c>
      <c r="H148" s="3">
        <v>27.530000999999999</v>
      </c>
      <c r="I148" s="3">
        <v>37.314101999999998</v>
      </c>
      <c r="J148" s="3">
        <v>91.269997000000004</v>
      </c>
      <c r="L148" s="11">
        <f t="shared" si="22"/>
        <v>1.8846563695621477E-2</v>
      </c>
      <c r="M148" s="11">
        <f t="shared" si="14"/>
        <v>2.4247526705520144E-2</v>
      </c>
      <c r="N148" s="11">
        <f t="shared" si="15"/>
        <v>1.3620107526881722E-2</v>
      </c>
      <c r="O148" s="11">
        <f t="shared" si="16"/>
        <v>1.0958046165340588E-3</v>
      </c>
      <c r="P148" s="11">
        <f t="shared" si="17"/>
        <v>-6.6417600664176067E-3</v>
      </c>
      <c r="Q148" s="11">
        <f t="shared" si="18"/>
        <v>5.1885846609158615E-3</v>
      </c>
      <c r="R148" s="11">
        <f t="shared" si="19"/>
        <v>3.1472460416917925E-2</v>
      </c>
      <c r="S148" s="11">
        <f t="shared" si="20"/>
        <v>-2.2721646512309141E-2</v>
      </c>
      <c r="T148" s="11">
        <f t="shared" si="21"/>
        <v>3.7748722151747287E-2</v>
      </c>
      <c r="U148" s="11">
        <f t="shared" si="23"/>
        <v>1.1428484799490192E-2</v>
      </c>
      <c r="V148" s="11" cm="1">
        <f t="array" ref="V148">SUMPRODUCT(L148:T148,TRANSPOSE($Y$5:$Y$13))</f>
        <v>1.4060508534715901E-2</v>
      </c>
    </row>
    <row r="149" spans="1:22" x14ac:dyDescent="0.2">
      <c r="A149" s="1">
        <v>44225</v>
      </c>
      <c r="B149" s="3">
        <v>70.569999999999993</v>
      </c>
      <c r="C149" s="3">
        <v>19.933332</v>
      </c>
      <c r="D149" s="3">
        <v>27.9</v>
      </c>
      <c r="E149" s="3">
        <v>63.880001</v>
      </c>
      <c r="F149" s="3">
        <v>24.09</v>
      </c>
      <c r="G149" s="3">
        <v>21.200001</v>
      </c>
      <c r="H149" s="3">
        <v>26.690000999999999</v>
      </c>
      <c r="I149" s="3">
        <v>38.181652</v>
      </c>
      <c r="J149" s="3">
        <v>87.949996999999996</v>
      </c>
      <c r="L149" s="11">
        <f t="shared" si="22"/>
        <v>-2.7827470881800383E-2</v>
      </c>
      <c r="M149" s="11">
        <f t="shared" si="14"/>
        <v>-2.4310719530102776E-2</v>
      </c>
      <c r="N149" s="11">
        <f t="shared" si="15"/>
        <v>-1.3785824892689173E-2</v>
      </c>
      <c r="O149" s="11">
        <f t="shared" si="16"/>
        <v>-4.9970212670143149E-2</v>
      </c>
      <c r="P149" s="11">
        <f t="shared" si="17"/>
        <v>-3.0583501006036278E-2</v>
      </c>
      <c r="Q149" s="11">
        <f t="shared" si="18"/>
        <v>-2.7522845299213058E-2</v>
      </c>
      <c r="R149" s="11">
        <f t="shared" si="19"/>
        <v>-3.8544632564841599E-2</v>
      </c>
      <c r="S149" s="11">
        <f t="shared" si="20"/>
        <v>-1.2920487567227038E-2</v>
      </c>
      <c r="T149" s="11">
        <f t="shared" si="21"/>
        <v>-3.4577399222335915E-2</v>
      </c>
      <c r="U149" s="11">
        <f t="shared" si="23"/>
        <v>-2.8893677070487709E-2</v>
      </c>
      <c r="V149" s="11" cm="1">
        <f t="array" ref="V149">SUMPRODUCT(L149:T149,TRANSPOSE($Y$5:$Y$13))</f>
        <v>-2.9462049285672528E-2</v>
      </c>
    </row>
    <row r="150" spans="1:22" x14ac:dyDescent="0.2">
      <c r="A150" s="1">
        <v>44224</v>
      </c>
      <c r="B150" s="3">
        <v>72.589995999999999</v>
      </c>
      <c r="C150" s="3">
        <v>20.43</v>
      </c>
      <c r="D150" s="3">
        <v>28.290001</v>
      </c>
      <c r="E150" s="3">
        <v>67.239998</v>
      </c>
      <c r="F150" s="3">
        <v>24.85</v>
      </c>
      <c r="G150" s="3">
        <v>21.799999</v>
      </c>
      <c r="H150" s="3">
        <v>27.76</v>
      </c>
      <c r="I150" s="3">
        <v>38.681435</v>
      </c>
      <c r="J150" s="3">
        <v>91.099997999999999</v>
      </c>
      <c r="L150" s="11">
        <f t="shared" si="22"/>
        <v>2.1962509108299375E-2</v>
      </c>
      <c r="M150" s="11">
        <f t="shared" ref="M150:M213" si="24">(C150-C151)/C151</f>
        <v>3.8637519064565223E-2</v>
      </c>
      <c r="N150" s="11">
        <f t="shared" ref="N150:N213" si="25">(D150-D151)/D151</f>
        <v>-1.4285713787954228E-2</v>
      </c>
      <c r="O150" s="11">
        <f t="shared" ref="O150:O213" si="26">(E150-E151)/E151</f>
        <v>3.477985373438662E-2</v>
      </c>
      <c r="P150" s="11">
        <f t="shared" ref="P150:P213" si="27">(F150-F151)/F151</f>
        <v>1.6359876631497933E-2</v>
      </c>
      <c r="Q150" s="11">
        <f t="shared" ref="Q150:Q213" si="28">(G150-G151)/G151</f>
        <v>6.7058198727361726E-2</v>
      </c>
      <c r="R150" s="11">
        <f t="shared" ref="R150:R213" si="29">(H150-H151)/H151</f>
        <v>1.3138686131386971E-2</v>
      </c>
      <c r="S150" s="11">
        <f t="shared" ref="S150:S213" si="30">(I150-I151)/I151</f>
        <v>1.7361091111379172E-2</v>
      </c>
      <c r="T150" s="11">
        <f t="shared" ref="T150:T213" si="31">(J150-J151)/J151</f>
        <v>2.1300460357638839E-2</v>
      </c>
      <c r="U150" s="11">
        <f t="shared" si="23"/>
        <v>2.4034720119840178E-2</v>
      </c>
      <c r="V150" s="11" cm="1">
        <f t="array" ref="V150">SUMPRODUCT(L150:T150,TRANSPOSE($Y$5:$Y$13))</f>
        <v>2.3761294143620049E-2</v>
      </c>
    </row>
    <row r="151" spans="1:22" x14ac:dyDescent="0.2">
      <c r="A151" s="1">
        <v>44223</v>
      </c>
      <c r="B151" s="3">
        <v>71.029999000000004</v>
      </c>
      <c r="C151" s="3">
        <v>19.670000000000002</v>
      </c>
      <c r="D151" s="3">
        <v>28.700001</v>
      </c>
      <c r="E151" s="3">
        <v>64.980002999999996</v>
      </c>
      <c r="F151" s="3">
        <v>24.450001</v>
      </c>
      <c r="G151" s="3">
        <v>20.43</v>
      </c>
      <c r="H151" s="3">
        <v>27.4</v>
      </c>
      <c r="I151" s="3">
        <v>38.021343000000002</v>
      </c>
      <c r="J151" s="3">
        <v>89.199996999999996</v>
      </c>
      <c r="L151" s="11">
        <f t="shared" si="22"/>
        <v>2.9271075807243183E-2</v>
      </c>
      <c r="M151" s="11">
        <f t="shared" si="24"/>
        <v>-4.8903542964705846E-3</v>
      </c>
      <c r="N151" s="11">
        <f t="shared" si="25"/>
        <v>-2.014339296198726E-2</v>
      </c>
      <c r="O151" s="11">
        <f t="shared" si="26"/>
        <v>-1.4857428969942828E-2</v>
      </c>
      <c r="P151" s="11">
        <f t="shared" si="27"/>
        <v>4.1068172484599137E-3</v>
      </c>
      <c r="Q151" s="11">
        <f t="shared" si="28"/>
        <v>-3.9005363237446045E-3</v>
      </c>
      <c r="R151" s="11">
        <f t="shared" si="29"/>
        <v>1.4814814814814762E-2</v>
      </c>
      <c r="S151" s="11">
        <f t="shared" si="30"/>
        <v>5.7371016193727541E-3</v>
      </c>
      <c r="T151" s="11">
        <f t="shared" si="31"/>
        <v>-2.7792948228882876E-2</v>
      </c>
      <c r="U151" s="11">
        <f t="shared" si="23"/>
        <v>-1.9616501434597268E-3</v>
      </c>
      <c r="V151" s="11" cm="1">
        <f t="array" ref="V151">SUMPRODUCT(L151:T151,TRANSPOSE($Y$5:$Y$13))</f>
        <v>-4.544779952002042E-3</v>
      </c>
    </row>
    <row r="152" spans="1:22" x14ac:dyDescent="0.2">
      <c r="A152" s="1">
        <v>44222</v>
      </c>
      <c r="B152" s="3">
        <v>69.010002</v>
      </c>
      <c r="C152" s="3">
        <v>19.766666000000001</v>
      </c>
      <c r="D152" s="3">
        <v>29.290001</v>
      </c>
      <c r="E152" s="3">
        <v>65.959998999999996</v>
      </c>
      <c r="F152" s="3">
        <v>24.35</v>
      </c>
      <c r="G152" s="3">
        <v>20.51</v>
      </c>
      <c r="H152" s="3">
        <v>27</v>
      </c>
      <c r="I152" s="3">
        <v>37.804454999999997</v>
      </c>
      <c r="J152" s="3">
        <v>91.75</v>
      </c>
      <c r="L152" s="11">
        <f t="shared" si="22"/>
        <v>-6.7645506578345475E-3</v>
      </c>
      <c r="M152" s="11">
        <f t="shared" si="24"/>
        <v>1.2809564912367717E-2</v>
      </c>
      <c r="N152" s="11">
        <f t="shared" si="25"/>
        <v>2.7358856541564312E-2</v>
      </c>
      <c r="O152" s="11">
        <f t="shared" si="26"/>
        <v>-2.2959605304114845E-2</v>
      </c>
      <c r="P152" s="11">
        <f t="shared" si="27"/>
        <v>-1.6955995155429882E-2</v>
      </c>
      <c r="Q152" s="11">
        <f t="shared" si="28"/>
        <v>6.3788521285010873E-3</v>
      </c>
      <c r="R152" s="11">
        <f t="shared" si="29"/>
        <v>-3.3222591362126195E-3</v>
      </c>
      <c r="S152" s="11">
        <f t="shared" si="30"/>
        <v>9.9876253533698897E-4</v>
      </c>
      <c r="T152" s="11">
        <f t="shared" si="31"/>
        <v>-1.5240936250744651E-2</v>
      </c>
      <c r="U152" s="11">
        <f t="shared" si="23"/>
        <v>-1.9663678207296042E-3</v>
      </c>
      <c r="V152" s="11" cm="1">
        <f t="array" ref="V152">SUMPRODUCT(L152:T152,TRANSPOSE($Y$5:$Y$13))</f>
        <v>-3.2938246637311095E-3</v>
      </c>
    </row>
    <row r="153" spans="1:22" x14ac:dyDescent="0.2">
      <c r="A153" s="1">
        <v>44218</v>
      </c>
      <c r="B153" s="3">
        <v>69.480002999999996</v>
      </c>
      <c r="C153" s="3">
        <v>19.516666000000001</v>
      </c>
      <c r="D153" s="3">
        <v>28.51</v>
      </c>
      <c r="E153" s="3">
        <v>67.510002</v>
      </c>
      <c r="F153" s="3">
        <v>24.77</v>
      </c>
      <c r="G153" s="3">
        <v>20.379999000000002</v>
      </c>
      <c r="H153" s="3">
        <v>27.09</v>
      </c>
      <c r="I153" s="3">
        <v>37.766734999999997</v>
      </c>
      <c r="J153" s="3">
        <v>93.169998000000007</v>
      </c>
      <c r="L153" s="11">
        <f t="shared" si="22"/>
        <v>-7.4285285714286225E-3</v>
      </c>
      <c r="M153" s="11">
        <f t="shared" si="24"/>
        <v>7.7452150129911929E-3</v>
      </c>
      <c r="N153" s="11">
        <f t="shared" si="25"/>
        <v>-1.9938123066345764E-2</v>
      </c>
      <c r="O153" s="11">
        <f t="shared" si="26"/>
        <v>-5.8901778300587439E-3</v>
      </c>
      <c r="P153" s="11">
        <f t="shared" si="27"/>
        <v>-2.0561525481948402E-2</v>
      </c>
      <c r="Q153" s="11">
        <f t="shared" si="28"/>
        <v>-1.0199174356483648E-2</v>
      </c>
      <c r="R153" s="11">
        <f t="shared" si="29"/>
        <v>-1.6696879008961118E-2</v>
      </c>
      <c r="S153" s="11">
        <f t="shared" si="30"/>
        <v>-1.2086881508868748E-2</v>
      </c>
      <c r="T153" s="11">
        <f t="shared" si="31"/>
        <v>-2.0351649310713926E-3</v>
      </c>
      <c r="U153" s="11">
        <f t="shared" si="23"/>
        <v>-9.676804415797248E-3</v>
      </c>
      <c r="V153" s="11" cm="1">
        <f t="array" ref="V153">SUMPRODUCT(L153:T153,TRANSPOSE($Y$5:$Y$13))</f>
        <v>-8.9126404673246645E-3</v>
      </c>
    </row>
    <row r="154" spans="1:22" x14ac:dyDescent="0.2">
      <c r="A154" s="1">
        <v>44217</v>
      </c>
      <c r="B154" s="3">
        <v>70</v>
      </c>
      <c r="C154" s="3">
        <v>19.366667</v>
      </c>
      <c r="D154" s="3">
        <v>29.09</v>
      </c>
      <c r="E154" s="3">
        <v>67.910004000000001</v>
      </c>
      <c r="F154" s="3">
        <v>25.290001</v>
      </c>
      <c r="G154" s="3">
        <v>20.59</v>
      </c>
      <c r="H154" s="3">
        <v>27.549999</v>
      </c>
      <c r="I154" s="3">
        <v>38.228802000000002</v>
      </c>
      <c r="J154" s="3">
        <v>93.360000999999997</v>
      </c>
      <c r="L154" s="11">
        <f t="shared" si="22"/>
        <v>0</v>
      </c>
      <c r="M154" s="11">
        <f t="shared" si="24"/>
        <v>-3.1666650000000018E-2</v>
      </c>
      <c r="N154" s="11">
        <f t="shared" si="25"/>
        <v>-4.1081480351984941E-3</v>
      </c>
      <c r="O154" s="11">
        <f t="shared" si="26"/>
        <v>-2.3860802069857592E-2</v>
      </c>
      <c r="P154" s="11">
        <f t="shared" si="27"/>
        <v>-1.4035048732943409E-2</v>
      </c>
      <c r="Q154" s="11">
        <f t="shared" si="28"/>
        <v>-1.765262488800691E-2</v>
      </c>
      <c r="R154" s="11">
        <f t="shared" si="29"/>
        <v>-2.3395959709179719E-2</v>
      </c>
      <c r="S154" s="11">
        <f t="shared" si="30"/>
        <v>-8.8018714863446219E-3</v>
      </c>
      <c r="T154" s="11">
        <f t="shared" si="31"/>
        <v>1.126517547660316E-2</v>
      </c>
      <c r="U154" s="11">
        <f t="shared" si="23"/>
        <v>-1.2472881049436399E-2</v>
      </c>
      <c r="V154" s="11" cm="1">
        <f t="array" ref="V154">SUMPRODUCT(L154:T154,TRANSPOSE($Y$5:$Y$13))</f>
        <v>-1.0099075396832446E-2</v>
      </c>
    </row>
    <row r="155" spans="1:22" x14ac:dyDescent="0.2">
      <c r="A155" s="1">
        <v>44216</v>
      </c>
      <c r="B155" s="3">
        <v>70</v>
      </c>
      <c r="C155" s="3">
        <v>20</v>
      </c>
      <c r="D155" s="3">
        <v>29.209999</v>
      </c>
      <c r="E155" s="3">
        <v>69.569999999999993</v>
      </c>
      <c r="F155" s="3">
        <v>25.65</v>
      </c>
      <c r="G155" s="3">
        <v>20.959999</v>
      </c>
      <c r="H155" s="3">
        <v>28.209999</v>
      </c>
      <c r="I155" s="3">
        <v>38.568275</v>
      </c>
      <c r="J155" s="3">
        <v>92.32</v>
      </c>
      <c r="L155" s="11">
        <f t="shared" si="22"/>
        <v>-3.5587188612099642E-3</v>
      </c>
      <c r="M155" s="11">
        <f t="shared" si="24"/>
        <v>-9.7375968024823838E-3</v>
      </c>
      <c r="N155" s="11">
        <f t="shared" si="25"/>
        <v>6.850976127065248E-4</v>
      </c>
      <c r="O155" s="11">
        <f t="shared" si="26"/>
        <v>1.1191816372449712E-2</v>
      </c>
      <c r="P155" s="11">
        <f t="shared" si="27"/>
        <v>4.0567951318458417E-2</v>
      </c>
      <c r="Q155" s="11">
        <f t="shared" si="28"/>
        <v>-1.0854270370256186E-2</v>
      </c>
      <c r="R155" s="11">
        <f t="shared" si="29"/>
        <v>-1.6730637269758163E-2</v>
      </c>
      <c r="S155" s="11">
        <f t="shared" si="30"/>
        <v>-4.8662077338849233E-3</v>
      </c>
      <c r="T155" s="11">
        <f t="shared" si="31"/>
        <v>-1.8498809664018918E-2</v>
      </c>
      <c r="U155" s="11">
        <f t="shared" si="23"/>
        <v>-1.3112639331106536E-3</v>
      </c>
      <c r="V155" s="11" cm="1">
        <f t="array" ref="V155">SUMPRODUCT(L155:T155,TRANSPOSE($Y$5:$Y$13))</f>
        <v>-3.0300185062014807E-3</v>
      </c>
    </row>
    <row r="156" spans="1:22" x14ac:dyDescent="0.2">
      <c r="A156" s="1">
        <v>44215</v>
      </c>
      <c r="B156" s="3">
        <v>70.25</v>
      </c>
      <c r="C156" s="3">
        <v>20.196667000000001</v>
      </c>
      <c r="D156" s="3">
        <v>29.190000999999999</v>
      </c>
      <c r="E156" s="3">
        <v>68.800003000000004</v>
      </c>
      <c r="F156" s="3">
        <v>24.65</v>
      </c>
      <c r="G156" s="3">
        <v>21.190000999999999</v>
      </c>
      <c r="H156" s="3">
        <v>28.690000999999999</v>
      </c>
      <c r="I156" s="3">
        <v>38.756874000000003</v>
      </c>
      <c r="J156" s="3">
        <v>94.059997999999993</v>
      </c>
      <c r="L156" s="11">
        <f t="shared" si="22"/>
        <v>2.2413055194484922E-2</v>
      </c>
      <c r="M156" s="11">
        <f t="shared" si="24"/>
        <v>-3.453898139930823E-3</v>
      </c>
      <c r="N156" s="11">
        <f t="shared" si="25"/>
        <v>-3.4141344003368736E-3</v>
      </c>
      <c r="O156" s="11">
        <f t="shared" si="26"/>
        <v>-2.6736440041407877E-2</v>
      </c>
      <c r="P156" s="11">
        <f t="shared" si="27"/>
        <v>1.1489494809622705E-2</v>
      </c>
      <c r="Q156" s="11">
        <f t="shared" si="28"/>
        <v>-1.0737581699346542E-2</v>
      </c>
      <c r="R156" s="11">
        <f t="shared" si="29"/>
        <v>2.2087673672960401E-2</v>
      </c>
      <c r="S156" s="11">
        <f t="shared" si="30"/>
        <v>-1.5097115800986742E-2</v>
      </c>
      <c r="T156" s="11">
        <f t="shared" si="31"/>
        <v>-2.6508324175767667E-3</v>
      </c>
      <c r="U156" s="11">
        <f t="shared" si="23"/>
        <v>-6.7775320250195532E-4</v>
      </c>
      <c r="V156" s="11" cm="1">
        <f t="array" ref="V156">SUMPRODUCT(L156:T156,TRANSPOSE($Y$5:$Y$13))</f>
        <v>-8.750611240094364E-4</v>
      </c>
    </row>
    <row r="157" spans="1:22" x14ac:dyDescent="0.2">
      <c r="A157" s="1">
        <v>44214</v>
      </c>
      <c r="B157" s="3">
        <v>68.709998999999996</v>
      </c>
      <c r="C157" s="3">
        <v>20.266666000000001</v>
      </c>
      <c r="D157" s="3">
        <v>29.290001</v>
      </c>
      <c r="E157" s="3">
        <v>70.690002000000007</v>
      </c>
      <c r="F157" s="3">
        <v>24.370000999999998</v>
      </c>
      <c r="G157" s="3">
        <v>21.42</v>
      </c>
      <c r="H157" s="3">
        <v>28.07</v>
      </c>
      <c r="I157" s="3">
        <v>39.350960000000001</v>
      </c>
      <c r="J157" s="3">
        <v>94.309997999999993</v>
      </c>
      <c r="L157" s="11">
        <f t="shared" si="22"/>
        <v>1.9284897238694653E-2</v>
      </c>
      <c r="M157" s="11">
        <f t="shared" si="24"/>
        <v>1.6382396369990251E-2</v>
      </c>
      <c r="N157" s="11">
        <f t="shared" si="25"/>
        <v>1.3845691029618957E-2</v>
      </c>
      <c r="O157" s="11">
        <f t="shared" si="26"/>
        <v>-2.8280300216083139E-4</v>
      </c>
      <c r="P157" s="11">
        <f t="shared" si="27"/>
        <v>2.8807408592896972E-3</v>
      </c>
      <c r="Q157" s="11">
        <f t="shared" si="28"/>
        <v>3.2786885245901769E-3</v>
      </c>
      <c r="R157" s="11">
        <f t="shared" si="29"/>
        <v>-1.7781293820010244E-3</v>
      </c>
      <c r="S157" s="11">
        <f t="shared" si="30"/>
        <v>-1.0433896421687978E-2</v>
      </c>
      <c r="T157" s="11">
        <f t="shared" si="31"/>
        <v>8.1239441542293629E-3</v>
      </c>
      <c r="U157" s="11">
        <f t="shared" si="23"/>
        <v>5.700169930062584E-3</v>
      </c>
      <c r="V157" s="11" cm="1">
        <f t="array" ref="V157">SUMPRODUCT(L157:T157,TRANSPOSE($Y$5:$Y$13))</f>
        <v>5.9425473524792631E-3</v>
      </c>
    </row>
    <row r="158" spans="1:22" x14ac:dyDescent="0.2">
      <c r="A158" s="1">
        <v>44211</v>
      </c>
      <c r="B158" s="3">
        <v>67.410004000000001</v>
      </c>
      <c r="C158" s="3">
        <v>19.940000999999999</v>
      </c>
      <c r="D158" s="3">
        <v>28.889999</v>
      </c>
      <c r="E158" s="3">
        <v>70.709998999999996</v>
      </c>
      <c r="F158" s="3">
        <v>24.299999</v>
      </c>
      <c r="G158" s="3">
        <v>21.35</v>
      </c>
      <c r="H158" s="3">
        <v>28.120000999999998</v>
      </c>
      <c r="I158" s="3">
        <v>39.765872999999999</v>
      </c>
      <c r="J158" s="3">
        <v>93.550003000000004</v>
      </c>
      <c r="L158" s="11">
        <f t="shared" si="22"/>
        <v>1.8124226221480601E-2</v>
      </c>
      <c r="M158" s="11">
        <f t="shared" si="24"/>
        <v>-2.9840999510882239E-2</v>
      </c>
      <c r="N158" s="11">
        <f t="shared" si="25"/>
        <v>1.6537614356087187E-2</v>
      </c>
      <c r="O158" s="11">
        <f t="shared" si="26"/>
        <v>-4.3554727444880433E-2</v>
      </c>
      <c r="P158" s="11">
        <f t="shared" si="27"/>
        <v>1.3344412010008308E-2</v>
      </c>
      <c r="Q158" s="11">
        <f t="shared" si="28"/>
        <v>-2.6891566686801763E-2</v>
      </c>
      <c r="R158" s="11">
        <f t="shared" si="29"/>
        <v>-4.5161288789090426E-2</v>
      </c>
      <c r="S158" s="11">
        <f t="shared" si="30"/>
        <v>-1.5639636515742315E-2</v>
      </c>
      <c r="T158" s="11">
        <f t="shared" si="31"/>
        <v>-4.3456031386829304E-2</v>
      </c>
      <c r="U158" s="11">
        <f t="shared" si="23"/>
        <v>-1.7393110860738931E-2</v>
      </c>
      <c r="V158" s="11" cm="1">
        <f t="array" ref="V158">SUMPRODUCT(L158:T158,TRANSPOSE($Y$5:$Y$13))</f>
        <v>-1.999940291334797E-2</v>
      </c>
    </row>
    <row r="159" spans="1:22" x14ac:dyDescent="0.2">
      <c r="A159" s="1">
        <v>44210</v>
      </c>
      <c r="B159" s="3">
        <v>66.209998999999996</v>
      </c>
      <c r="C159" s="3">
        <v>20.553332999999999</v>
      </c>
      <c r="D159" s="3">
        <v>28.42</v>
      </c>
      <c r="E159" s="3">
        <v>73.930000000000007</v>
      </c>
      <c r="F159" s="3">
        <v>23.98</v>
      </c>
      <c r="G159" s="3">
        <v>21.940000999999999</v>
      </c>
      <c r="H159" s="3">
        <v>29.450001</v>
      </c>
      <c r="I159" s="3">
        <v>40.397677999999999</v>
      </c>
      <c r="J159" s="3">
        <v>97.800003000000004</v>
      </c>
      <c r="L159" s="11">
        <f t="shared" si="22"/>
        <v>3.7774295262919935E-2</v>
      </c>
      <c r="M159" s="11">
        <f t="shared" si="24"/>
        <v>-7.0854102857290588E-3</v>
      </c>
      <c r="N159" s="11">
        <f t="shared" si="25"/>
        <v>-1.592794376481799E-2</v>
      </c>
      <c r="O159" s="11">
        <f t="shared" si="26"/>
        <v>4.0534790688186217E-2</v>
      </c>
      <c r="P159" s="11">
        <f t="shared" si="27"/>
        <v>1.6101694915254195E-2</v>
      </c>
      <c r="Q159" s="11">
        <f t="shared" si="28"/>
        <v>2.141531657355672E-2</v>
      </c>
      <c r="R159" s="11">
        <f t="shared" si="29"/>
        <v>1.0291629502572959E-2</v>
      </c>
      <c r="S159" s="11">
        <f t="shared" si="30"/>
        <v>4.4548641906424951E-3</v>
      </c>
      <c r="T159" s="11">
        <f t="shared" si="31"/>
        <v>1.6420723171682441E-2</v>
      </c>
      <c r="U159" s="11">
        <f t="shared" si="23"/>
        <v>1.37755511393631E-2</v>
      </c>
      <c r="V159" s="11" cm="1">
        <f t="array" ref="V159">SUMPRODUCT(L159:T159,TRANSPOSE($Y$5:$Y$13))</f>
        <v>1.4040068342595037E-2</v>
      </c>
    </row>
    <row r="160" spans="1:22" x14ac:dyDescent="0.2">
      <c r="A160" s="1">
        <v>44209</v>
      </c>
      <c r="B160" s="3">
        <v>63.799999</v>
      </c>
      <c r="C160" s="3">
        <v>20.700001</v>
      </c>
      <c r="D160" s="3">
        <v>28.879999000000002</v>
      </c>
      <c r="E160" s="3">
        <v>71.050003000000004</v>
      </c>
      <c r="F160" s="3">
        <v>23.6</v>
      </c>
      <c r="G160" s="3">
        <v>21.48</v>
      </c>
      <c r="H160" s="3">
        <v>29.15</v>
      </c>
      <c r="I160" s="3">
        <v>40.218510000000002</v>
      </c>
      <c r="J160" s="3">
        <v>96.220000999999996</v>
      </c>
      <c r="L160" s="11">
        <f t="shared" si="22"/>
        <v>-1.5674658898689041E-4</v>
      </c>
      <c r="M160" s="11">
        <f t="shared" si="24"/>
        <v>4.0420694576868647E-3</v>
      </c>
      <c r="N160" s="11">
        <f t="shared" si="25"/>
        <v>-2.7281979545908309E-2</v>
      </c>
      <c r="O160" s="11">
        <f t="shared" si="26"/>
        <v>-4.2204557056694305E-4</v>
      </c>
      <c r="P160" s="11">
        <f t="shared" si="27"/>
        <v>-2.5359256128486356E-3</v>
      </c>
      <c r="Q160" s="11">
        <f t="shared" si="28"/>
        <v>-7.3936694729052031E-3</v>
      </c>
      <c r="R160" s="11">
        <f t="shared" si="29"/>
        <v>-4.831861078415324E-2</v>
      </c>
      <c r="S160" s="11">
        <f t="shared" si="30"/>
        <v>5.4220052732363491E-3</v>
      </c>
      <c r="T160" s="11">
        <f t="shared" si="31"/>
        <v>-2.9942544007610872E-2</v>
      </c>
      <c r="U160" s="11">
        <f t="shared" si="23"/>
        <v>-1.1843049650228542E-2</v>
      </c>
      <c r="V160" s="11" cm="1">
        <f t="array" ref="V160">SUMPRODUCT(L160:T160,TRANSPOSE($Y$5:$Y$13))</f>
        <v>-1.3652999085966778E-2</v>
      </c>
    </row>
    <row r="161" spans="1:22" x14ac:dyDescent="0.2">
      <c r="A161" s="1">
        <v>44208</v>
      </c>
      <c r="B161" s="3">
        <v>63.810001</v>
      </c>
      <c r="C161" s="3">
        <v>20.616667</v>
      </c>
      <c r="D161" s="3">
        <v>29.690000999999999</v>
      </c>
      <c r="E161" s="3">
        <v>71.080001999999993</v>
      </c>
      <c r="F161" s="3">
        <v>23.66</v>
      </c>
      <c r="G161" s="3">
        <v>21.639999</v>
      </c>
      <c r="H161" s="3">
        <v>30.629999000000002</v>
      </c>
      <c r="I161" s="3">
        <v>40.001621</v>
      </c>
      <c r="J161" s="3">
        <v>99.190002000000007</v>
      </c>
      <c r="L161" s="11">
        <f t="shared" si="22"/>
        <v>1.1252028882790146E-2</v>
      </c>
      <c r="M161" s="11">
        <f t="shared" si="24"/>
        <v>2.8946930145617444E-2</v>
      </c>
      <c r="N161" s="11">
        <f t="shared" si="25"/>
        <v>6.4407118644067372E-3</v>
      </c>
      <c r="O161" s="11">
        <f t="shared" si="26"/>
        <v>2.0970970081687534E-2</v>
      </c>
      <c r="P161" s="11">
        <f t="shared" si="27"/>
        <v>1.1976091188027792E-2</v>
      </c>
      <c r="Q161" s="11">
        <f t="shared" si="28"/>
        <v>1.0270728291316424E-2</v>
      </c>
      <c r="R161" s="11">
        <f t="shared" si="29"/>
        <v>-7.4530781771523251E-3</v>
      </c>
      <c r="S161" s="11">
        <f t="shared" si="30"/>
        <v>2.3579603328064287E-4</v>
      </c>
      <c r="T161" s="11">
        <f t="shared" si="31"/>
        <v>-2.7358314551137929E-2</v>
      </c>
      <c r="U161" s="11">
        <f t="shared" si="23"/>
        <v>6.1424293065373845E-3</v>
      </c>
      <c r="V161" s="11" cm="1">
        <f t="array" ref="V161">SUMPRODUCT(L161:T161,TRANSPOSE($Y$5:$Y$13))</f>
        <v>2.7923549207698531E-3</v>
      </c>
    </row>
    <row r="162" spans="1:22" x14ac:dyDescent="0.2">
      <c r="A162" s="1">
        <v>44207</v>
      </c>
      <c r="B162" s="3">
        <v>63.099997999999999</v>
      </c>
      <c r="C162" s="3">
        <v>20.036667000000001</v>
      </c>
      <c r="D162" s="3">
        <v>29.5</v>
      </c>
      <c r="E162" s="3">
        <v>69.620002999999997</v>
      </c>
      <c r="F162" s="3">
        <v>23.379999000000002</v>
      </c>
      <c r="G162" s="3">
        <v>21.42</v>
      </c>
      <c r="H162" s="3">
        <v>30.860001</v>
      </c>
      <c r="I162" s="3">
        <v>39.992190999999998</v>
      </c>
      <c r="J162" s="3">
        <v>101.980003</v>
      </c>
      <c r="L162" s="11">
        <f t="shared" si="22"/>
        <v>-1.5600624511719953E-2</v>
      </c>
      <c r="M162" s="11">
        <f t="shared" si="24"/>
        <v>-4.1154842595464675E-2</v>
      </c>
      <c r="N162" s="11">
        <f t="shared" si="25"/>
        <v>2.111460786135716E-2</v>
      </c>
      <c r="O162" s="11">
        <f t="shared" si="26"/>
        <v>-1.9436577464788773E-2</v>
      </c>
      <c r="P162" s="11">
        <f t="shared" si="27"/>
        <v>-1.9295343959731474E-2</v>
      </c>
      <c r="Q162" s="11">
        <f t="shared" si="28"/>
        <v>-4.289539959318138E-2</v>
      </c>
      <c r="R162" s="11">
        <f t="shared" si="29"/>
        <v>-8.3547555155926261E-3</v>
      </c>
      <c r="S162" s="11">
        <f t="shared" si="30"/>
        <v>-7.4889160156528601E-3</v>
      </c>
      <c r="T162" s="11">
        <f t="shared" si="31"/>
        <v>-1.960490196078784E-4</v>
      </c>
      <c r="U162" s="11">
        <f t="shared" si="23"/>
        <v>-1.4811988979375829E-2</v>
      </c>
      <c r="V162" s="11" cm="1">
        <f t="array" ref="V162">SUMPRODUCT(L162:T162,TRANSPOSE($Y$5:$Y$13))</f>
        <v>-1.3350394983399036E-2</v>
      </c>
    </row>
    <row r="163" spans="1:22" x14ac:dyDescent="0.2">
      <c r="A163" s="1">
        <v>44204</v>
      </c>
      <c r="B163" s="3">
        <v>64.099997999999999</v>
      </c>
      <c r="C163" s="3">
        <v>20.896666</v>
      </c>
      <c r="D163" s="3">
        <v>28.889999</v>
      </c>
      <c r="E163" s="3">
        <v>71</v>
      </c>
      <c r="F163" s="3">
        <v>23.84</v>
      </c>
      <c r="G163" s="3">
        <v>22.379999000000002</v>
      </c>
      <c r="H163" s="3">
        <v>31.120000999999998</v>
      </c>
      <c r="I163" s="3">
        <v>40.293948999999998</v>
      </c>
      <c r="J163" s="3">
        <v>102</v>
      </c>
      <c r="L163" s="11">
        <f t="shared" si="22"/>
        <v>1.8753973895549069E-2</v>
      </c>
      <c r="M163" s="11">
        <f t="shared" si="24"/>
        <v>1.4729719309143345E-2</v>
      </c>
      <c r="N163" s="11">
        <f t="shared" si="25"/>
        <v>4.0706015850144016E-2</v>
      </c>
      <c r="O163" s="11">
        <f t="shared" si="26"/>
        <v>6.7508613215798735E-2</v>
      </c>
      <c r="P163" s="11">
        <f t="shared" si="27"/>
        <v>2.8472821397756694E-2</v>
      </c>
      <c r="Q163" s="11">
        <f t="shared" si="28"/>
        <v>3.6111064814814818E-2</v>
      </c>
      <c r="R163" s="11">
        <f t="shared" si="29"/>
        <v>3.8709999999999504E-3</v>
      </c>
      <c r="S163" s="11">
        <f t="shared" si="30"/>
        <v>4.0925763252664796E-2</v>
      </c>
      <c r="T163" s="11">
        <f t="shared" si="31"/>
        <v>-3.1274433150898476E-3</v>
      </c>
      <c r="U163" s="11">
        <f t="shared" si="23"/>
        <v>2.755016982453129E-2</v>
      </c>
      <c r="V163" s="11" cm="1">
        <f t="array" ref="V163">SUMPRODUCT(L163:T163,TRANSPOSE($Y$5:$Y$13))</f>
        <v>2.4482408510569174E-2</v>
      </c>
    </row>
    <row r="164" spans="1:22" x14ac:dyDescent="0.2">
      <c r="A164" s="1">
        <v>44203</v>
      </c>
      <c r="B164" s="3">
        <v>62.919998</v>
      </c>
      <c r="C164" s="3">
        <v>20.593332</v>
      </c>
      <c r="D164" s="3">
        <v>27.76</v>
      </c>
      <c r="E164" s="3">
        <v>66.510002</v>
      </c>
      <c r="F164" s="3">
        <v>23.18</v>
      </c>
      <c r="G164" s="3">
        <v>21.6</v>
      </c>
      <c r="H164" s="3">
        <v>31</v>
      </c>
      <c r="I164" s="3">
        <v>38.709724000000001</v>
      </c>
      <c r="J164" s="3">
        <v>102.32</v>
      </c>
      <c r="L164" s="11">
        <f t="shared" si="22"/>
        <v>-1.2698730158730214E-3</v>
      </c>
      <c r="M164" s="11">
        <f t="shared" si="24"/>
        <v>2.795336153000608E-2</v>
      </c>
      <c r="N164" s="11">
        <f t="shared" si="25"/>
        <v>5.3110733948758239E-2</v>
      </c>
      <c r="O164" s="11">
        <f t="shared" si="26"/>
        <v>4.7401606299212598E-2</v>
      </c>
      <c r="P164" s="11">
        <f t="shared" si="27"/>
        <v>-1.2356157322375756E-2</v>
      </c>
      <c r="Q164" s="11">
        <f t="shared" si="28"/>
        <v>-9.2511559088258365E-4</v>
      </c>
      <c r="R164" s="11">
        <f t="shared" si="29"/>
        <v>2.9900332225913574E-2</v>
      </c>
      <c r="S164" s="11">
        <f t="shared" si="30"/>
        <v>-1.5351469377746505E-2</v>
      </c>
      <c r="T164" s="11">
        <f t="shared" si="31"/>
        <v>6.5278467508220583E-2</v>
      </c>
      <c r="U164" s="11">
        <f t="shared" si="23"/>
        <v>2.152687624502591E-2</v>
      </c>
      <c r="V164" s="11" cm="1">
        <f t="array" ref="V164">SUMPRODUCT(L164:T164,TRANSPOSE($Y$5:$Y$13))</f>
        <v>2.5902035371345382E-2</v>
      </c>
    </row>
    <row r="165" spans="1:22" x14ac:dyDescent="0.2">
      <c r="A165" s="1">
        <v>44202</v>
      </c>
      <c r="B165" s="3">
        <v>63</v>
      </c>
      <c r="C165" s="3">
        <v>20.033332999999999</v>
      </c>
      <c r="D165" s="3">
        <v>26.360001</v>
      </c>
      <c r="E165" s="3">
        <v>63.5</v>
      </c>
      <c r="F165" s="3">
        <v>23.469999000000001</v>
      </c>
      <c r="G165" s="3">
        <v>21.620000999999998</v>
      </c>
      <c r="H165" s="3">
        <v>30.1</v>
      </c>
      <c r="I165" s="3">
        <v>39.31324</v>
      </c>
      <c r="J165" s="3">
        <v>96.050003000000004</v>
      </c>
      <c r="L165" s="11">
        <f t="shared" si="22"/>
        <v>-5.9139770895157817E-2</v>
      </c>
      <c r="M165" s="11">
        <f t="shared" si="24"/>
        <v>-1.6366644576650696E-2</v>
      </c>
      <c r="N165" s="11">
        <f t="shared" si="25"/>
        <v>1.8940857404682824E-2</v>
      </c>
      <c r="O165" s="11">
        <f t="shared" si="26"/>
        <v>-5.7583810815545193E-2</v>
      </c>
      <c r="P165" s="11">
        <f t="shared" si="27"/>
        <v>-5.8564019253910887E-2</v>
      </c>
      <c r="Q165" s="11">
        <f t="shared" si="28"/>
        <v>-4.2515456155890162E-2</v>
      </c>
      <c r="R165" s="11">
        <f t="shared" si="29"/>
        <v>1.9973035287182994E-3</v>
      </c>
      <c r="S165" s="11">
        <f t="shared" si="30"/>
        <v>-2.113170358097825E-2</v>
      </c>
      <c r="T165" s="11">
        <f t="shared" si="31"/>
        <v>3.2795731182795738E-2</v>
      </c>
      <c r="U165" s="11">
        <f t="shared" si="23"/>
        <v>-2.2396390351326238E-2</v>
      </c>
      <c r="V165" s="11" cm="1">
        <f t="array" ref="V165">SUMPRODUCT(L165:T165,TRANSPOSE($Y$5:$Y$13))</f>
        <v>-1.6877178197914039E-2</v>
      </c>
    </row>
    <row r="166" spans="1:22" x14ac:dyDescent="0.2">
      <c r="A166" s="1">
        <v>44201</v>
      </c>
      <c r="B166" s="3">
        <v>66.959998999999996</v>
      </c>
      <c r="C166" s="3">
        <v>20.366667</v>
      </c>
      <c r="D166" s="3">
        <v>25.870000999999998</v>
      </c>
      <c r="E166" s="3">
        <v>67.379997000000003</v>
      </c>
      <c r="F166" s="3">
        <v>24.93</v>
      </c>
      <c r="G166" s="3">
        <v>22.58</v>
      </c>
      <c r="H166" s="3">
        <v>30.040001</v>
      </c>
      <c r="I166" s="3">
        <v>40.161929999999998</v>
      </c>
      <c r="J166" s="3">
        <v>93</v>
      </c>
      <c r="L166" s="11">
        <f t="shared" si="22"/>
        <v>-1.5294132352941232E-2</v>
      </c>
      <c r="M166" s="11">
        <f t="shared" si="24"/>
        <v>1.9679075752019625E-3</v>
      </c>
      <c r="N166" s="11">
        <f t="shared" si="25"/>
        <v>-6.9097123573786398E-3</v>
      </c>
      <c r="O166" s="11">
        <f t="shared" si="26"/>
        <v>-5.9014754485316621E-3</v>
      </c>
      <c r="P166" s="11">
        <f t="shared" si="27"/>
        <v>-2.0157171034572506E-2</v>
      </c>
      <c r="Q166" s="11">
        <f t="shared" si="28"/>
        <v>1.3304213450297099E-3</v>
      </c>
      <c r="R166" s="11">
        <f t="shared" si="29"/>
        <v>3.9086855759252852E-2</v>
      </c>
      <c r="S166" s="11">
        <f t="shared" si="30"/>
        <v>-3.2763976546453582E-3</v>
      </c>
      <c r="T166" s="11">
        <f t="shared" si="31"/>
        <v>1.6837973068423103E-2</v>
      </c>
      <c r="U166" s="11">
        <f t="shared" si="23"/>
        <v>8.5380765553758108E-4</v>
      </c>
      <c r="V166" s="11" cm="1">
        <f t="array" ref="V166">SUMPRODUCT(L166:T166,TRANSPOSE($Y$5:$Y$13))</f>
        <v>2.4522241968261333E-3</v>
      </c>
    </row>
    <row r="167" spans="1:22" x14ac:dyDescent="0.2">
      <c r="A167" s="1">
        <v>44200</v>
      </c>
      <c r="B167" s="3">
        <v>68</v>
      </c>
      <c r="C167" s="3">
        <v>20.326665999999999</v>
      </c>
      <c r="D167" s="3">
        <v>26.049999</v>
      </c>
      <c r="E167" s="3">
        <v>67.779999000000004</v>
      </c>
      <c r="F167" s="3">
        <v>25.442855999999999</v>
      </c>
      <c r="G167" s="3">
        <v>22.549999</v>
      </c>
      <c r="H167" s="3">
        <v>28.91</v>
      </c>
      <c r="I167" s="3">
        <v>40.293948999999998</v>
      </c>
      <c r="J167" s="3">
        <v>91.459998999999996</v>
      </c>
      <c r="L167" s="11">
        <f t="shared" si="22"/>
        <v>-2.6400704018774831E-3</v>
      </c>
      <c r="M167" s="11">
        <f t="shared" si="24"/>
        <v>-1.6134269119070701E-2</v>
      </c>
      <c r="N167" s="11">
        <f t="shared" si="25"/>
        <v>-1.8832392423065628E-2</v>
      </c>
      <c r="O167" s="11">
        <f t="shared" si="26"/>
        <v>-1.6968789715828308E-2</v>
      </c>
      <c r="P167" s="11">
        <f t="shared" si="27"/>
        <v>-3.0049424185084269E-2</v>
      </c>
      <c r="Q167" s="11">
        <f t="shared" si="28"/>
        <v>-4.1649042003865572E-2</v>
      </c>
      <c r="R167" s="11">
        <f t="shared" si="29"/>
        <v>2.0112914608327464E-2</v>
      </c>
      <c r="S167" s="11">
        <f t="shared" si="30"/>
        <v>-3.1065692982722382E-2</v>
      </c>
      <c r="T167" s="11">
        <f t="shared" si="31"/>
        <v>4.5854798599935916E-2</v>
      </c>
      <c r="U167" s="11">
        <f t="shared" si="23"/>
        <v>-1.0152440847027884E-2</v>
      </c>
      <c r="V167" s="11" cm="1">
        <f t="array" ref="V167">SUMPRODUCT(L167:T167,TRANSPOSE($Y$5:$Y$13))</f>
        <v>-4.5517169023315054E-3</v>
      </c>
    </row>
    <row r="168" spans="1:22" x14ac:dyDescent="0.2">
      <c r="A168" s="1">
        <v>44195</v>
      </c>
      <c r="B168" s="3">
        <v>68.180000000000007</v>
      </c>
      <c r="C168" s="3">
        <v>20.66</v>
      </c>
      <c r="D168" s="3">
        <v>26.549999</v>
      </c>
      <c r="E168" s="3">
        <v>68.949996999999996</v>
      </c>
      <c r="F168" s="3">
        <v>26.231085</v>
      </c>
      <c r="G168" s="3">
        <v>23.530000999999999</v>
      </c>
      <c r="H168" s="3">
        <v>28.34</v>
      </c>
      <c r="I168" s="3">
        <v>41.585842</v>
      </c>
      <c r="J168" s="3">
        <v>87.449996999999996</v>
      </c>
      <c r="L168" s="11">
        <f t="shared" si="22"/>
        <v>5.8704139399831407E-4</v>
      </c>
      <c r="M168" s="11">
        <f t="shared" si="24"/>
        <v>2.5881429539283823E-3</v>
      </c>
      <c r="N168" s="11">
        <f t="shared" si="25"/>
        <v>3.8326124364489615E-2</v>
      </c>
      <c r="O168" s="11">
        <f t="shared" si="26"/>
        <v>2.8183702003689342E-2</v>
      </c>
      <c r="P168" s="11">
        <f t="shared" si="27"/>
        <v>3.0522807616488071E-3</v>
      </c>
      <c r="Q168" s="11">
        <f t="shared" si="28"/>
        <v>7.2773969487414901E-3</v>
      </c>
      <c r="R168" s="11">
        <f t="shared" si="29"/>
        <v>2.4761230986912021E-3</v>
      </c>
      <c r="S168" s="11">
        <f t="shared" si="30"/>
        <v>-1.5405274872754121E-2</v>
      </c>
      <c r="T168" s="11">
        <f t="shared" si="31"/>
        <v>4.3642701274836685E-3</v>
      </c>
      <c r="U168" s="11">
        <f t="shared" si="23"/>
        <v>7.9388674199907458E-3</v>
      </c>
      <c r="V168" s="11" cm="1">
        <f t="array" ref="V168">SUMPRODUCT(L168:T168,TRANSPOSE($Y$5:$Y$13))</f>
        <v>7.5814076907400364E-3</v>
      </c>
    </row>
    <row r="169" spans="1:22" x14ac:dyDescent="0.2">
      <c r="A169" s="1">
        <v>44194</v>
      </c>
      <c r="B169" s="3">
        <v>68.139999000000003</v>
      </c>
      <c r="C169" s="3">
        <v>20.606667000000002</v>
      </c>
      <c r="D169" s="3">
        <v>25.57</v>
      </c>
      <c r="E169" s="3">
        <v>67.059997999999993</v>
      </c>
      <c r="F169" s="3">
        <v>26.151264000000001</v>
      </c>
      <c r="G169" s="3">
        <v>23.360001</v>
      </c>
      <c r="H169" s="3">
        <v>28.27</v>
      </c>
      <c r="I169" s="3">
        <v>42.236507000000003</v>
      </c>
      <c r="J169" s="3">
        <v>87.07</v>
      </c>
      <c r="L169" s="11">
        <f t="shared" si="22"/>
        <v>-6.7055249768374087E-3</v>
      </c>
      <c r="M169" s="11">
        <f t="shared" si="24"/>
        <v>5.2032682926830059E-3</v>
      </c>
      <c r="N169" s="11">
        <f t="shared" si="25"/>
        <v>5.110023384040022E-3</v>
      </c>
      <c r="O169" s="11">
        <f t="shared" si="26"/>
        <v>5.3973165845869068E-3</v>
      </c>
      <c r="P169" s="11">
        <f t="shared" si="27"/>
        <v>5.7559534797859109E-3</v>
      </c>
      <c r="Q169" s="11">
        <f t="shared" si="28"/>
        <v>-3.7098062654575478E-2</v>
      </c>
      <c r="R169" s="11">
        <f t="shared" si="29"/>
        <v>3.1937544357700447E-3</v>
      </c>
      <c r="S169" s="11">
        <f t="shared" si="30"/>
        <v>3.5367565781919748E-2</v>
      </c>
      <c r="T169" s="11">
        <f t="shared" si="31"/>
        <v>-2.7488031783026723E-3</v>
      </c>
      <c r="U169" s="11">
        <f t="shared" si="23"/>
        <v>1.4972767943411199E-3</v>
      </c>
      <c r="V169" s="11" cm="1">
        <f t="array" ref="V169">SUMPRODUCT(L169:T169,TRANSPOSE($Y$5:$Y$13))</f>
        <v>1.0726687970767409E-3</v>
      </c>
    </row>
    <row r="170" spans="1:22" x14ac:dyDescent="0.2">
      <c r="A170" s="1">
        <v>44193</v>
      </c>
      <c r="B170" s="3">
        <v>68.599997999999999</v>
      </c>
      <c r="C170" s="3">
        <v>20.5</v>
      </c>
      <c r="D170" s="3">
        <v>25.440000999999999</v>
      </c>
      <c r="E170" s="3">
        <v>66.699996999999996</v>
      </c>
      <c r="F170" s="3">
        <v>26.0016</v>
      </c>
      <c r="G170" s="3">
        <v>24.26</v>
      </c>
      <c r="H170" s="3">
        <v>28.18</v>
      </c>
      <c r="I170" s="3">
        <v>40.793731999999999</v>
      </c>
      <c r="J170" s="3">
        <v>87.309997999999993</v>
      </c>
      <c r="L170" s="11">
        <f t="shared" si="22"/>
        <v>1.6898888480564655E-2</v>
      </c>
      <c r="M170" s="11">
        <f t="shared" si="24"/>
        <v>2.5170895988361201E-2</v>
      </c>
      <c r="N170" s="11">
        <f t="shared" si="25"/>
        <v>1.1933254253510481E-2</v>
      </c>
      <c r="O170" s="11">
        <f t="shared" si="26"/>
        <v>1.5014865315761247E-3</v>
      </c>
      <c r="P170" s="11">
        <f t="shared" si="27"/>
        <v>3.5771060401375628E-2</v>
      </c>
      <c r="Q170" s="11">
        <f t="shared" si="28"/>
        <v>2.1903959561920941E-2</v>
      </c>
      <c r="R170" s="11">
        <f t="shared" si="29"/>
        <v>8.2289442494116339E-3</v>
      </c>
      <c r="S170" s="11">
        <f t="shared" si="30"/>
        <v>4.1781954641242156E-3</v>
      </c>
      <c r="T170" s="11">
        <f t="shared" si="31"/>
        <v>-5.72378656451753E-4</v>
      </c>
      <c r="U170" s="11">
        <f t="shared" si="23"/>
        <v>1.3890478474932568E-2</v>
      </c>
      <c r="V170" s="11" cm="1">
        <f t="array" ref="V170">SUMPRODUCT(L170:T170,TRANSPOSE($Y$5:$Y$13))</f>
        <v>1.2444192761794138E-2</v>
      </c>
    </row>
    <row r="171" spans="1:22" x14ac:dyDescent="0.2">
      <c r="A171" s="1">
        <v>44188</v>
      </c>
      <c r="B171" s="3">
        <v>67.459998999999996</v>
      </c>
      <c r="C171" s="3">
        <v>19.996666000000001</v>
      </c>
      <c r="D171" s="3">
        <v>25.139999</v>
      </c>
      <c r="E171" s="3">
        <v>66.599997999999999</v>
      </c>
      <c r="F171" s="3">
        <v>25.103617</v>
      </c>
      <c r="G171" s="3">
        <v>23.74</v>
      </c>
      <c r="H171" s="3">
        <v>27.950001</v>
      </c>
      <c r="I171" s="3">
        <v>40.623997000000003</v>
      </c>
      <c r="J171" s="3">
        <v>87.360000999999997</v>
      </c>
      <c r="L171" s="11">
        <f t="shared" si="22"/>
        <v>-6.480161812071881E-3</v>
      </c>
      <c r="M171" s="11">
        <f t="shared" si="24"/>
        <v>-4.8108496888420015E-3</v>
      </c>
      <c r="N171" s="11">
        <f t="shared" si="25"/>
        <v>-2.1028076323987545E-2</v>
      </c>
      <c r="O171" s="11">
        <f t="shared" si="26"/>
        <v>2.6510497526687559E-2</v>
      </c>
      <c r="P171" s="11">
        <f t="shared" si="27"/>
        <v>1.1254038592272926E-2</v>
      </c>
      <c r="Q171" s="11">
        <f t="shared" si="28"/>
        <v>2.151462994836489E-2</v>
      </c>
      <c r="R171" s="11">
        <f t="shared" si="29"/>
        <v>2.4560116401755327E-2</v>
      </c>
      <c r="S171" s="11">
        <f t="shared" si="30"/>
        <v>4.429960735647131E-3</v>
      </c>
      <c r="T171" s="11">
        <f t="shared" si="31"/>
        <v>4.8309062610786459E-3</v>
      </c>
      <c r="U171" s="11">
        <f t="shared" si="23"/>
        <v>6.7534512934338941E-3</v>
      </c>
      <c r="V171" s="11" cm="1">
        <f t="array" ref="V171">SUMPRODUCT(L171:T171,TRANSPOSE($Y$5:$Y$13))</f>
        <v>6.5611967901983703E-3</v>
      </c>
    </row>
    <row r="172" spans="1:22" x14ac:dyDescent="0.2">
      <c r="A172" s="1">
        <v>44187</v>
      </c>
      <c r="B172" s="3">
        <v>67.900002000000001</v>
      </c>
      <c r="C172" s="3">
        <v>20.093332</v>
      </c>
      <c r="D172" s="3">
        <v>25.68</v>
      </c>
      <c r="E172" s="3">
        <v>64.879997000000003</v>
      </c>
      <c r="F172" s="3">
        <v>24.824244</v>
      </c>
      <c r="G172" s="3">
        <v>23.24</v>
      </c>
      <c r="H172" s="3">
        <v>27.280000999999999</v>
      </c>
      <c r="I172" s="3">
        <v>40.444828000000001</v>
      </c>
      <c r="J172" s="3">
        <v>86.940002000000007</v>
      </c>
      <c r="L172" s="11">
        <f t="shared" si="22"/>
        <v>-8.8282814718693039E-4</v>
      </c>
      <c r="M172" s="11">
        <f t="shared" si="24"/>
        <v>2.169488209135198E-2</v>
      </c>
      <c r="N172" s="11">
        <f t="shared" si="25"/>
        <v>3.0497592295345023E-2</v>
      </c>
      <c r="O172" s="11">
        <f t="shared" si="26"/>
        <v>-1.3081853151258035E-2</v>
      </c>
      <c r="P172" s="11">
        <f t="shared" si="27"/>
        <v>-2.0056177236656646E-3</v>
      </c>
      <c r="Q172" s="11">
        <f t="shared" si="28"/>
        <v>-2.3529370736528235E-2</v>
      </c>
      <c r="R172" s="11">
        <f t="shared" si="29"/>
        <v>9.6225388601035907E-3</v>
      </c>
      <c r="S172" s="11">
        <f t="shared" si="30"/>
        <v>-1.8759996068715427E-2</v>
      </c>
      <c r="T172" s="11">
        <f t="shared" si="31"/>
        <v>9.2103383696725931E-4</v>
      </c>
      <c r="U172" s="11">
        <f t="shared" si="23"/>
        <v>4.9737569515706298E-4</v>
      </c>
      <c r="V172" s="11" cm="1">
        <f t="array" ref="V172">SUMPRODUCT(L172:T172,TRANSPOSE($Y$5:$Y$13))</f>
        <v>5.3974150933808109E-4</v>
      </c>
    </row>
    <row r="173" spans="1:22" x14ac:dyDescent="0.2">
      <c r="A173" s="1">
        <v>44186</v>
      </c>
      <c r="B173" s="3">
        <v>67.959998999999996</v>
      </c>
      <c r="C173" s="3">
        <v>19.666665999999999</v>
      </c>
      <c r="D173" s="3">
        <v>24.92</v>
      </c>
      <c r="E173" s="3">
        <v>65.739998</v>
      </c>
      <c r="F173" s="3">
        <v>24.874131999999999</v>
      </c>
      <c r="G173" s="3">
        <v>23.799999</v>
      </c>
      <c r="H173" s="3">
        <v>27.02</v>
      </c>
      <c r="I173" s="3">
        <v>41.218079000000003</v>
      </c>
      <c r="J173" s="3">
        <v>86.860000999999997</v>
      </c>
      <c r="L173" s="11">
        <f t="shared" si="22"/>
        <v>-7.0134860603892233E-3</v>
      </c>
      <c r="M173" s="11">
        <f t="shared" si="24"/>
        <v>-1.3377893871431065E-2</v>
      </c>
      <c r="N173" s="11">
        <f t="shared" si="25"/>
        <v>-2.8081085338575788E-2</v>
      </c>
      <c r="O173" s="11">
        <f t="shared" si="26"/>
        <v>-1.4540563851604861E-2</v>
      </c>
      <c r="P173" s="11">
        <f t="shared" si="27"/>
        <v>-2.3501785513230896E-2</v>
      </c>
      <c r="Q173" s="11">
        <f t="shared" si="28"/>
        <v>-2.3389494321317379E-2</v>
      </c>
      <c r="R173" s="11">
        <f t="shared" si="29"/>
        <v>-3.8434163701067676E-2</v>
      </c>
      <c r="S173" s="11">
        <f t="shared" si="30"/>
        <v>-1.1756663778601366E-2</v>
      </c>
      <c r="T173" s="11">
        <f t="shared" si="31"/>
        <v>-1.0706172754914449E-2</v>
      </c>
      <c r="U173" s="11">
        <f t="shared" si="23"/>
        <v>-1.8977923243459191E-2</v>
      </c>
      <c r="V173" s="11" cm="1">
        <f t="array" ref="V173">SUMPRODUCT(L173:T173,TRANSPOSE($Y$5:$Y$13))</f>
        <v>-1.8150748194604719E-2</v>
      </c>
    </row>
    <row r="174" spans="1:22" x14ac:dyDescent="0.2">
      <c r="A174" s="1">
        <v>44183</v>
      </c>
      <c r="B174" s="3">
        <v>68.440002000000007</v>
      </c>
      <c r="C174" s="3">
        <v>19.933332</v>
      </c>
      <c r="D174" s="3">
        <v>25.639999</v>
      </c>
      <c r="E174" s="3">
        <v>66.709998999999996</v>
      </c>
      <c r="F174" s="3">
        <v>25.472788000000001</v>
      </c>
      <c r="G174" s="3">
        <v>24.370000999999998</v>
      </c>
      <c r="H174" s="3">
        <v>28.1</v>
      </c>
      <c r="I174" s="3">
        <v>41.708430999999997</v>
      </c>
      <c r="J174" s="3">
        <v>87.800003000000004</v>
      </c>
      <c r="L174" s="11">
        <f t="shared" si="22"/>
        <v>-2.5348888844362014E-2</v>
      </c>
      <c r="M174" s="11">
        <f t="shared" si="24"/>
        <v>-1.0752754342431689E-2</v>
      </c>
      <c r="N174" s="11">
        <f t="shared" si="25"/>
        <v>2.5189884046381367E-2</v>
      </c>
      <c r="O174" s="11">
        <f t="shared" si="26"/>
        <v>-6.2564876920820764E-3</v>
      </c>
      <c r="P174" s="11">
        <f t="shared" si="27"/>
        <v>-2.5572535889300214E-2</v>
      </c>
      <c r="Q174" s="11">
        <f t="shared" si="28"/>
        <v>-2.1678000802890472E-2</v>
      </c>
      <c r="R174" s="11">
        <f t="shared" si="29"/>
        <v>-4.9575070821528695E-3</v>
      </c>
      <c r="S174" s="11">
        <f t="shared" si="30"/>
        <v>-1.1399249071294264E-2</v>
      </c>
      <c r="T174" s="11">
        <f t="shared" si="31"/>
        <v>6.880802989018539E-3</v>
      </c>
      <c r="U174" s="11">
        <f t="shared" si="23"/>
        <v>-8.2105262987904118E-3</v>
      </c>
      <c r="V174" s="11" cm="1">
        <f t="array" ref="V174">SUMPRODUCT(L174:T174,TRANSPOSE($Y$5:$Y$13))</f>
        <v>-6.7013933700095151E-3</v>
      </c>
    </row>
    <row r="175" spans="1:22" x14ac:dyDescent="0.2">
      <c r="A175" s="1">
        <v>44182</v>
      </c>
      <c r="B175" s="3">
        <v>70.220000999999996</v>
      </c>
      <c r="C175" s="3">
        <v>20.149999999999999</v>
      </c>
      <c r="D175" s="3">
        <v>25.01</v>
      </c>
      <c r="E175" s="3">
        <v>67.129997000000003</v>
      </c>
      <c r="F175" s="3">
        <v>26.141286999999998</v>
      </c>
      <c r="G175" s="3">
        <v>24.91</v>
      </c>
      <c r="H175" s="3">
        <v>28.24</v>
      </c>
      <c r="I175" s="3">
        <v>42.189357999999999</v>
      </c>
      <c r="J175" s="3">
        <v>87.199996999999996</v>
      </c>
      <c r="L175" s="11">
        <f t="shared" si="22"/>
        <v>-8.7520473603640934E-3</v>
      </c>
      <c r="M175" s="11">
        <f t="shared" si="24"/>
        <v>-1.6514617110792941E-3</v>
      </c>
      <c r="N175" s="11">
        <f t="shared" si="25"/>
        <v>1.0505050505050567E-2</v>
      </c>
      <c r="O175" s="11">
        <f t="shared" si="26"/>
        <v>1.7737992991782896E-2</v>
      </c>
      <c r="P175" s="11">
        <f t="shared" si="27"/>
        <v>2.2638593763557365E-2</v>
      </c>
      <c r="Q175" s="11">
        <f t="shared" si="28"/>
        <v>-1.5414980846441913E-2</v>
      </c>
      <c r="R175" s="11">
        <f t="shared" si="29"/>
        <v>1.7736430729463147E-3</v>
      </c>
      <c r="S175" s="11">
        <f t="shared" si="30"/>
        <v>-9.0807772579567844E-3</v>
      </c>
      <c r="T175" s="11">
        <f t="shared" si="31"/>
        <v>1.1366225801829902E-2</v>
      </c>
      <c r="U175" s="11">
        <f t="shared" si="23"/>
        <v>3.2358043288138847E-3</v>
      </c>
      <c r="V175" s="11" cm="1">
        <f t="array" ref="V175">SUMPRODUCT(L175:T175,TRANSPOSE($Y$5:$Y$13))</f>
        <v>4.0488464761154856E-3</v>
      </c>
    </row>
    <row r="176" spans="1:22" x14ac:dyDescent="0.2">
      <c r="A176" s="1">
        <v>44181</v>
      </c>
      <c r="B176" s="3">
        <v>70.839995999999999</v>
      </c>
      <c r="C176" s="3">
        <v>20.183332</v>
      </c>
      <c r="D176" s="3">
        <v>24.75</v>
      </c>
      <c r="E176" s="3">
        <v>65.959998999999996</v>
      </c>
      <c r="F176" s="3">
        <v>25.562586</v>
      </c>
      <c r="G176" s="3">
        <v>25.299999</v>
      </c>
      <c r="H176" s="3">
        <v>28.190000999999999</v>
      </c>
      <c r="I176" s="3">
        <v>42.575980999999999</v>
      </c>
      <c r="J176" s="3">
        <v>86.220000999999996</v>
      </c>
      <c r="L176" s="11">
        <f t="shared" si="22"/>
        <v>5.9641864800960729E-3</v>
      </c>
      <c r="M176" s="11">
        <f t="shared" si="24"/>
        <v>2.8362791131351196E-2</v>
      </c>
      <c r="N176" s="11">
        <f t="shared" si="25"/>
        <v>1.4344262295082027E-2</v>
      </c>
      <c r="O176" s="11">
        <f t="shared" si="26"/>
        <v>1.9474529496500598E-2</v>
      </c>
      <c r="P176" s="11">
        <f t="shared" si="27"/>
        <v>1.3850469566363759E-2</v>
      </c>
      <c r="Q176" s="11">
        <f t="shared" si="28"/>
        <v>9.5770155457707094E-3</v>
      </c>
      <c r="R176" s="11">
        <f t="shared" si="29"/>
        <v>1.2208294434470281E-2</v>
      </c>
      <c r="S176" s="11">
        <f t="shared" si="30"/>
        <v>1.3240529382239283E-2</v>
      </c>
      <c r="T176" s="11">
        <f t="shared" si="31"/>
        <v>2.0355041420118299E-2</v>
      </c>
      <c r="U176" s="11">
        <f t="shared" si="23"/>
        <v>1.5264124416888026E-2</v>
      </c>
      <c r="V176" s="11" cm="1">
        <f t="array" ref="V176">SUMPRODUCT(L176:T176,TRANSPOSE($Y$5:$Y$13))</f>
        <v>1.5773216117211053E-2</v>
      </c>
    </row>
    <row r="177" spans="1:22" x14ac:dyDescent="0.2">
      <c r="A177" s="1">
        <v>44180</v>
      </c>
      <c r="B177" s="3">
        <v>70.419998000000007</v>
      </c>
      <c r="C177" s="3">
        <v>19.626664999999999</v>
      </c>
      <c r="D177" s="3">
        <v>24.4</v>
      </c>
      <c r="E177" s="3">
        <v>64.699996999999996</v>
      </c>
      <c r="F177" s="3">
        <v>25.213369</v>
      </c>
      <c r="G177" s="3">
        <v>25.059999000000001</v>
      </c>
      <c r="H177" s="3">
        <v>27.85</v>
      </c>
      <c r="I177" s="3">
        <v>42.019618999999999</v>
      </c>
      <c r="J177" s="3">
        <v>84.5</v>
      </c>
      <c r="L177" s="11">
        <f t="shared" si="22"/>
        <v>3.4197492163009391E-3</v>
      </c>
      <c r="M177" s="11">
        <f t="shared" si="24"/>
        <v>1.0295075850894758E-2</v>
      </c>
      <c r="N177" s="11">
        <f t="shared" si="25"/>
        <v>1.8789101511937235E-2</v>
      </c>
      <c r="O177" s="11">
        <f t="shared" si="26"/>
        <v>2.227833745807651E-2</v>
      </c>
      <c r="P177" s="11">
        <f t="shared" si="27"/>
        <v>7.4861725430285839E-2</v>
      </c>
      <c r="Q177" s="11">
        <f t="shared" si="28"/>
        <v>0</v>
      </c>
      <c r="R177" s="11">
        <f t="shared" si="29"/>
        <v>8.3272625515112379E-3</v>
      </c>
      <c r="S177" s="11">
        <f t="shared" si="30"/>
        <v>-6.4660212672581962E-3</v>
      </c>
      <c r="T177" s="11">
        <f t="shared" si="31"/>
        <v>1.1370400549237516E-2</v>
      </c>
      <c r="U177" s="11">
        <f t="shared" si="23"/>
        <v>1.5875070144553981E-2</v>
      </c>
      <c r="V177" s="11" cm="1">
        <f t="array" ref="V177">SUMPRODUCT(L177:T177,TRANSPOSE($Y$5:$Y$13))</f>
        <v>1.5424603185022335E-2</v>
      </c>
    </row>
    <row r="178" spans="1:22" x14ac:dyDescent="0.2">
      <c r="A178" s="1">
        <v>44179</v>
      </c>
      <c r="B178" s="3">
        <v>70.180000000000007</v>
      </c>
      <c r="C178" s="3">
        <v>19.426666000000001</v>
      </c>
      <c r="D178" s="3">
        <v>23.950001</v>
      </c>
      <c r="E178" s="3">
        <v>63.290000999999997</v>
      </c>
      <c r="F178" s="3">
        <v>23.457314</v>
      </c>
      <c r="G178" s="3">
        <v>25.059999000000001</v>
      </c>
      <c r="H178" s="3">
        <v>27.620000999999998</v>
      </c>
      <c r="I178" s="3">
        <v>42.293087</v>
      </c>
      <c r="J178" s="3">
        <v>83.550003000000004</v>
      </c>
      <c r="L178" s="11">
        <f t="shared" si="22"/>
        <v>8.1884641834728596E-3</v>
      </c>
      <c r="M178" s="11">
        <f t="shared" si="24"/>
        <v>-9.517352303150102E-3</v>
      </c>
      <c r="N178" s="11">
        <f t="shared" si="25"/>
        <v>5.457640638119229E-3</v>
      </c>
      <c r="O178" s="11">
        <f t="shared" si="26"/>
        <v>-6.4364206210923555E-3</v>
      </c>
      <c r="P178" s="11">
        <f t="shared" si="27"/>
        <v>-4.2355399484596615E-3</v>
      </c>
      <c r="Q178" s="11">
        <f t="shared" si="28"/>
        <v>1.5986810551559421E-3</v>
      </c>
      <c r="R178" s="11">
        <f t="shared" si="29"/>
        <v>1.8136017410227852E-3</v>
      </c>
      <c r="S178" s="11">
        <f t="shared" si="30"/>
        <v>-4.218495010013164E-3</v>
      </c>
      <c r="T178" s="11">
        <f t="shared" si="31"/>
        <v>-1.5437166916837454E-2</v>
      </c>
      <c r="U178" s="11">
        <f t="shared" si="23"/>
        <v>-2.5318430201979911E-3</v>
      </c>
      <c r="V178" s="11" cm="1">
        <f t="array" ref="V178">SUMPRODUCT(L178:T178,TRANSPOSE($Y$5:$Y$13))</f>
        <v>-3.8223754098619376E-3</v>
      </c>
    </row>
    <row r="179" spans="1:22" x14ac:dyDescent="0.2">
      <c r="A179" s="1">
        <v>44176</v>
      </c>
      <c r="B179" s="3">
        <v>69.610000999999997</v>
      </c>
      <c r="C179" s="3">
        <v>19.613333000000001</v>
      </c>
      <c r="D179" s="3">
        <v>23.82</v>
      </c>
      <c r="E179" s="3">
        <v>63.700001</v>
      </c>
      <c r="F179" s="3">
        <v>23.557091</v>
      </c>
      <c r="G179" s="3">
        <v>25.02</v>
      </c>
      <c r="H179" s="3">
        <v>27.57</v>
      </c>
      <c r="I179" s="3">
        <v>42.472256000000002</v>
      </c>
      <c r="J179" s="3">
        <v>84.860000999999997</v>
      </c>
      <c r="L179" s="11">
        <f t="shared" si="22"/>
        <v>1.4372126849770229E-4</v>
      </c>
      <c r="M179" s="11">
        <f t="shared" si="24"/>
        <v>1.082283075681735E-2</v>
      </c>
      <c r="N179" s="11">
        <f t="shared" si="25"/>
        <v>4.2003361696903212E-4</v>
      </c>
      <c r="O179" s="11">
        <f t="shared" si="26"/>
        <v>2.6759326723742555E-3</v>
      </c>
      <c r="P179" s="11">
        <f t="shared" si="27"/>
        <v>-5.4843879324287199E-2</v>
      </c>
      <c r="Q179" s="11">
        <f t="shared" si="28"/>
        <v>-3.5838187443615159E-2</v>
      </c>
      <c r="R179" s="11">
        <f t="shared" si="29"/>
        <v>-8.986340762041696E-3</v>
      </c>
      <c r="S179" s="11">
        <f t="shared" si="30"/>
        <v>1.3273391069592085E-2</v>
      </c>
      <c r="T179" s="11">
        <f t="shared" si="31"/>
        <v>-1.6470470588235658E-3</v>
      </c>
      <c r="U179" s="11">
        <f t="shared" si="23"/>
        <v>-8.2199494671685771E-3</v>
      </c>
      <c r="V179" s="11" cm="1">
        <f t="array" ref="V179">SUMPRODUCT(L179:T179,TRANSPOSE($Y$5:$Y$13))</f>
        <v>-7.5626592263340776E-3</v>
      </c>
    </row>
    <row r="180" spans="1:22" x14ac:dyDescent="0.2">
      <c r="A180" s="1">
        <v>44175</v>
      </c>
      <c r="B180" s="3">
        <v>69.599997999999999</v>
      </c>
      <c r="C180" s="3">
        <v>19.403334000000001</v>
      </c>
      <c r="D180" s="3">
        <v>23.809999000000001</v>
      </c>
      <c r="E180" s="3">
        <v>63.529998999999997</v>
      </c>
      <c r="F180" s="3">
        <v>24.924021</v>
      </c>
      <c r="G180" s="3">
        <v>25.950001</v>
      </c>
      <c r="H180" s="3">
        <v>27.82</v>
      </c>
      <c r="I180" s="3">
        <v>41.915889999999997</v>
      </c>
      <c r="J180" s="3">
        <v>85</v>
      </c>
      <c r="L180" s="11">
        <f t="shared" si="22"/>
        <v>-5.0035599000811514E-3</v>
      </c>
      <c r="M180" s="11">
        <f t="shared" si="24"/>
        <v>2.7537564475508671E-2</v>
      </c>
      <c r="N180" s="11">
        <f t="shared" si="25"/>
        <v>3.7942666017818909E-3</v>
      </c>
      <c r="O180" s="11">
        <f t="shared" si="26"/>
        <v>-5.323313062835705E-3</v>
      </c>
      <c r="P180" s="11">
        <f t="shared" si="27"/>
        <v>2.629421710625621E-2</v>
      </c>
      <c r="Q180" s="11">
        <f t="shared" si="28"/>
        <v>4.4686030595813227E-2</v>
      </c>
      <c r="R180" s="11">
        <f t="shared" si="29"/>
        <v>3.2665143553632446E-2</v>
      </c>
      <c r="S180" s="11">
        <f t="shared" si="30"/>
        <v>4.8843779068420301E-2</v>
      </c>
      <c r="T180" s="11">
        <f t="shared" si="31"/>
        <v>2.7811403669095708E-2</v>
      </c>
      <c r="U180" s="11">
        <f t="shared" si="23"/>
        <v>2.2367281345287957E-2</v>
      </c>
      <c r="V180" s="11" cm="1">
        <f t="array" ref="V180">SUMPRODUCT(L180:T180,TRANSPOSE($Y$5:$Y$13))</f>
        <v>2.2911693577668729E-2</v>
      </c>
    </row>
    <row r="181" spans="1:22" x14ac:dyDescent="0.2">
      <c r="A181" s="1">
        <v>44174</v>
      </c>
      <c r="B181" s="3">
        <v>69.949996999999996</v>
      </c>
      <c r="C181" s="3">
        <v>18.883333</v>
      </c>
      <c r="D181" s="3">
        <v>23.719999000000001</v>
      </c>
      <c r="E181" s="3">
        <v>63.869999</v>
      </c>
      <c r="F181" s="3">
        <v>24.285454000000001</v>
      </c>
      <c r="G181" s="3">
        <v>24.84</v>
      </c>
      <c r="H181" s="3">
        <v>26.940000999999999</v>
      </c>
      <c r="I181" s="3">
        <v>39.963901999999997</v>
      </c>
      <c r="J181" s="3">
        <v>82.699996999999996</v>
      </c>
      <c r="L181" s="11">
        <f t="shared" si="22"/>
        <v>-2.7088965313502053E-3</v>
      </c>
      <c r="M181" s="11">
        <f t="shared" si="24"/>
        <v>-2.5292498714599005E-2</v>
      </c>
      <c r="N181" s="11">
        <f t="shared" si="25"/>
        <v>-6.2841220660190622E-3</v>
      </c>
      <c r="O181" s="11">
        <f t="shared" si="26"/>
        <v>-3.1685870704758444E-2</v>
      </c>
      <c r="P181" s="11">
        <f t="shared" si="27"/>
        <v>-4.3239035275197998E-2</v>
      </c>
      <c r="Q181" s="11">
        <f t="shared" si="28"/>
        <v>1.4291547570436972E-2</v>
      </c>
      <c r="R181" s="11">
        <f t="shared" si="29"/>
        <v>1.0502663165791395E-2</v>
      </c>
      <c r="S181" s="11">
        <f t="shared" si="30"/>
        <v>-1.0968515737379758E-2</v>
      </c>
      <c r="T181" s="11">
        <f t="shared" si="31"/>
        <v>-2.4126054906488956E-3</v>
      </c>
      <c r="U181" s="11">
        <f t="shared" si="23"/>
        <v>-1.086637042041389E-2</v>
      </c>
      <c r="V181" s="11" cm="1">
        <f t="array" ref="V181">SUMPRODUCT(L181:T181,TRANSPOSE($Y$5:$Y$13))</f>
        <v>-1.002099392743739E-2</v>
      </c>
    </row>
    <row r="182" spans="1:22" x14ac:dyDescent="0.2">
      <c r="A182" s="1">
        <v>44173</v>
      </c>
      <c r="B182" s="3">
        <v>70.139999000000003</v>
      </c>
      <c r="C182" s="3">
        <v>19.373332999999999</v>
      </c>
      <c r="D182" s="3">
        <v>23.870000999999998</v>
      </c>
      <c r="E182" s="3">
        <v>65.959998999999996</v>
      </c>
      <c r="F182" s="3">
        <v>25.382989999999999</v>
      </c>
      <c r="G182" s="3">
        <v>24.49</v>
      </c>
      <c r="H182" s="3">
        <v>26.66</v>
      </c>
      <c r="I182" s="3">
        <v>40.407108000000001</v>
      </c>
      <c r="J182" s="3">
        <v>82.900002000000001</v>
      </c>
      <c r="L182" s="11">
        <f t="shared" si="22"/>
        <v>-7.1239490775344032E-4</v>
      </c>
      <c r="M182" s="11">
        <f t="shared" si="24"/>
        <v>-5.8159256180611296E-3</v>
      </c>
      <c r="N182" s="11">
        <f t="shared" si="25"/>
        <v>-1.8099465985169427E-2</v>
      </c>
      <c r="O182" s="11">
        <f t="shared" si="26"/>
        <v>1.5394088906928709E-2</v>
      </c>
      <c r="P182" s="11">
        <f t="shared" si="27"/>
        <v>0</v>
      </c>
      <c r="Q182" s="11">
        <f t="shared" si="28"/>
        <v>-1.6465863453815267E-2</v>
      </c>
      <c r="R182" s="11">
        <f t="shared" si="29"/>
        <v>-1.2592592592592588E-2</v>
      </c>
      <c r="S182" s="11">
        <f t="shared" si="30"/>
        <v>-5.8004048091801381E-3</v>
      </c>
      <c r="T182" s="11">
        <f t="shared" si="31"/>
        <v>-6.0271249919388874E-4</v>
      </c>
      <c r="U182" s="11">
        <f t="shared" si="23"/>
        <v>-4.9661412176485748E-3</v>
      </c>
      <c r="V182" s="11" cm="1">
        <f t="array" ref="V182">SUMPRODUCT(L182:T182,TRANSPOSE($Y$5:$Y$13))</f>
        <v>-4.5297983458031056E-3</v>
      </c>
    </row>
    <row r="183" spans="1:22" x14ac:dyDescent="0.2">
      <c r="A183" s="1">
        <v>44172</v>
      </c>
      <c r="B183" s="3">
        <v>70.190002000000007</v>
      </c>
      <c r="C183" s="3">
        <v>19.486666</v>
      </c>
      <c r="D183" s="3">
        <v>24.309999000000001</v>
      </c>
      <c r="E183" s="3">
        <v>64.959998999999996</v>
      </c>
      <c r="F183" s="3">
        <v>25.382989999999999</v>
      </c>
      <c r="G183" s="3">
        <v>24.9</v>
      </c>
      <c r="H183" s="3">
        <v>27</v>
      </c>
      <c r="I183" s="3">
        <v>40.642853000000002</v>
      </c>
      <c r="J183" s="3">
        <v>82.949996999999996</v>
      </c>
      <c r="L183" s="11">
        <f t="shared" si="22"/>
        <v>-1.0014104089870036E-2</v>
      </c>
      <c r="M183" s="11">
        <f t="shared" si="24"/>
        <v>-5.2748340990301304E-3</v>
      </c>
      <c r="N183" s="11">
        <f t="shared" si="25"/>
        <v>5.3763027295285993E-3</v>
      </c>
      <c r="O183" s="11">
        <f t="shared" si="26"/>
        <v>-3.0737064938991376E-2</v>
      </c>
      <c r="P183" s="11">
        <f t="shared" si="27"/>
        <v>5.1363226821892292E-3</v>
      </c>
      <c r="Q183" s="11">
        <f t="shared" si="28"/>
        <v>5.6542810985459211E-3</v>
      </c>
      <c r="R183" s="11">
        <f t="shared" si="29"/>
        <v>-1.9251761015192069E-2</v>
      </c>
      <c r="S183" s="11">
        <f t="shared" si="30"/>
        <v>-2.1788539873013792E-2</v>
      </c>
      <c r="T183" s="11">
        <f t="shared" si="31"/>
        <v>1.1832080562378118E-2</v>
      </c>
      <c r="U183" s="11">
        <f t="shared" si="23"/>
        <v>-6.5630352159395042E-3</v>
      </c>
      <c r="V183" s="11" cm="1">
        <f t="array" ref="V183">SUMPRODUCT(L183:T183,TRANSPOSE($Y$5:$Y$13))</f>
        <v>-4.7235236381077414E-3</v>
      </c>
    </row>
    <row r="184" spans="1:22" x14ac:dyDescent="0.2">
      <c r="A184" s="1">
        <v>44169</v>
      </c>
      <c r="B184" s="3">
        <v>70.900002000000001</v>
      </c>
      <c r="C184" s="3">
        <v>19.59</v>
      </c>
      <c r="D184" s="3">
        <v>24.18</v>
      </c>
      <c r="E184" s="3">
        <v>67.019997000000004</v>
      </c>
      <c r="F184" s="3">
        <v>25.253281000000001</v>
      </c>
      <c r="G184" s="3">
        <v>24.76</v>
      </c>
      <c r="H184" s="3">
        <v>27.530000999999999</v>
      </c>
      <c r="I184" s="3">
        <v>41.548126000000003</v>
      </c>
      <c r="J184" s="3">
        <v>81.980002999999996</v>
      </c>
      <c r="L184" s="11">
        <f t="shared" si="22"/>
        <v>2.1466617405756092E-2</v>
      </c>
      <c r="M184" s="11">
        <f t="shared" si="24"/>
        <v>-2.0376465633035268E-3</v>
      </c>
      <c r="N184" s="11">
        <f t="shared" si="25"/>
        <v>-2.0635575732563232E-3</v>
      </c>
      <c r="O184" s="11">
        <f t="shared" si="26"/>
        <v>-1.5714481757349432E-2</v>
      </c>
      <c r="P184" s="11">
        <f t="shared" si="27"/>
        <v>7.0190320803491954E-2</v>
      </c>
      <c r="Q184" s="11">
        <f t="shared" si="28"/>
        <v>-1.5506958250496901E-2</v>
      </c>
      <c r="R184" s="11">
        <f t="shared" si="29"/>
        <v>3.3408484737555699E-2</v>
      </c>
      <c r="S184" s="11">
        <f t="shared" si="30"/>
        <v>-5.417547059456752E-3</v>
      </c>
      <c r="T184" s="11">
        <f t="shared" si="31"/>
        <v>3.8247264922077827E-2</v>
      </c>
      <c r="U184" s="11">
        <f t="shared" si="23"/>
        <v>1.3619166296113181E-2</v>
      </c>
      <c r="V184" s="11" cm="1">
        <f t="array" ref="V184">SUMPRODUCT(L184:T184,TRANSPOSE($Y$5:$Y$13))</f>
        <v>1.6081976158709647E-2</v>
      </c>
    </row>
    <row r="185" spans="1:22" x14ac:dyDescent="0.2">
      <c r="A185" s="1">
        <v>44168</v>
      </c>
      <c r="B185" s="3">
        <v>69.410004000000001</v>
      </c>
      <c r="C185" s="3">
        <v>19.629999000000002</v>
      </c>
      <c r="D185" s="3">
        <v>24.23</v>
      </c>
      <c r="E185" s="3">
        <v>68.089995999999999</v>
      </c>
      <c r="F185" s="3">
        <v>23.597000000000001</v>
      </c>
      <c r="G185" s="3">
        <v>25.15</v>
      </c>
      <c r="H185" s="3">
        <v>26.639999</v>
      </c>
      <c r="I185" s="3">
        <v>41.774441000000003</v>
      </c>
      <c r="J185" s="3">
        <v>78.959998999999996</v>
      </c>
      <c r="L185" s="11">
        <f t="shared" si="22"/>
        <v>-2.032454538671968E-2</v>
      </c>
      <c r="M185" s="11">
        <f t="shared" si="24"/>
        <v>-1.1912818592066707E-2</v>
      </c>
      <c r="N185" s="11">
        <f t="shared" si="25"/>
        <v>-2.7298273785628251E-2</v>
      </c>
      <c r="O185" s="11">
        <f t="shared" si="26"/>
        <v>3.8432148848558889E-2</v>
      </c>
      <c r="P185" s="11">
        <f t="shared" si="27"/>
        <v>2.7367499329078587E-2</v>
      </c>
      <c r="Q185" s="11">
        <f t="shared" si="28"/>
        <v>3.073770491803279E-2</v>
      </c>
      <c r="R185" s="11">
        <f t="shared" si="29"/>
        <v>2.8174411424160533E-2</v>
      </c>
      <c r="S185" s="11">
        <f t="shared" si="30"/>
        <v>7.7342436923858969E-3</v>
      </c>
      <c r="T185" s="11">
        <f t="shared" si="31"/>
        <v>-1.1022007065230852E-2</v>
      </c>
      <c r="U185" s="11">
        <f t="shared" si="23"/>
        <v>6.8764848202856905E-3</v>
      </c>
      <c r="V185" s="11" cm="1">
        <f t="array" ref="V185">SUMPRODUCT(L185:T185,TRANSPOSE($Y$5:$Y$13))</f>
        <v>5.0866356317340357E-3</v>
      </c>
    </row>
    <row r="186" spans="1:22" x14ac:dyDescent="0.2">
      <c r="A186" s="1">
        <v>44167</v>
      </c>
      <c r="B186" s="3">
        <v>70.849997999999999</v>
      </c>
      <c r="C186" s="3">
        <v>19.866667</v>
      </c>
      <c r="D186" s="3">
        <v>24.91</v>
      </c>
      <c r="E186" s="3">
        <v>65.569999999999993</v>
      </c>
      <c r="F186" s="3">
        <v>22.968412000000001</v>
      </c>
      <c r="G186" s="3">
        <v>24.4</v>
      </c>
      <c r="H186" s="3">
        <v>25.91</v>
      </c>
      <c r="I186" s="3">
        <v>41.453826999999997</v>
      </c>
      <c r="J186" s="3">
        <v>79.839995999999999</v>
      </c>
      <c r="L186" s="11">
        <f t="shared" si="22"/>
        <v>2.443600205691137E-2</v>
      </c>
      <c r="M186" s="11">
        <f t="shared" si="24"/>
        <v>4.9665429716992879E-2</v>
      </c>
      <c r="N186" s="11">
        <f t="shared" si="25"/>
        <v>-2.543032180869808E-2</v>
      </c>
      <c r="O186" s="11">
        <f t="shared" si="26"/>
        <v>1.8335065775480018E-3</v>
      </c>
      <c r="P186" s="11">
        <f t="shared" si="27"/>
        <v>1.3048815789015789E-3</v>
      </c>
      <c r="Q186" s="11">
        <f t="shared" si="28"/>
        <v>1.4974999377079827E-2</v>
      </c>
      <c r="R186" s="11">
        <f t="shared" si="29"/>
        <v>1.210937499999995E-2</v>
      </c>
      <c r="S186" s="11">
        <f t="shared" si="30"/>
        <v>1.4539641844523617E-2</v>
      </c>
      <c r="T186" s="11">
        <f t="shared" si="31"/>
        <v>-1.7353895384615393E-2</v>
      </c>
      <c r="U186" s="11">
        <f t="shared" si="23"/>
        <v>8.4532909954048614E-3</v>
      </c>
      <c r="V186" s="11" cm="1">
        <f t="array" ref="V186">SUMPRODUCT(L186:T186,TRANSPOSE($Y$5:$Y$13))</f>
        <v>5.872572357402836E-3</v>
      </c>
    </row>
    <row r="187" spans="1:22" x14ac:dyDescent="0.2">
      <c r="A187" s="1">
        <v>44166</v>
      </c>
      <c r="B187" s="3">
        <v>69.160004000000001</v>
      </c>
      <c r="C187" s="3">
        <v>18.926666000000001</v>
      </c>
      <c r="D187" s="3">
        <v>25.559999000000001</v>
      </c>
      <c r="E187" s="3">
        <v>65.449996999999996</v>
      </c>
      <c r="F187" s="3">
        <v>22.938479999999998</v>
      </c>
      <c r="G187" s="3">
        <v>24.040001</v>
      </c>
      <c r="H187" s="3">
        <v>25.6</v>
      </c>
      <c r="I187" s="3">
        <v>40.859741</v>
      </c>
      <c r="J187" s="3">
        <v>81.25</v>
      </c>
      <c r="L187" s="11">
        <f t="shared" si="22"/>
        <v>-4.175565335157545E-3</v>
      </c>
      <c r="M187" s="11">
        <f t="shared" si="24"/>
        <v>1.1580278545177958E-2</v>
      </c>
      <c r="N187" s="11">
        <f t="shared" si="25"/>
        <v>2.1991163534586151E-2</v>
      </c>
      <c r="O187" s="11">
        <f t="shared" si="26"/>
        <v>-2.6331508087897831E-2</v>
      </c>
      <c r="P187" s="11">
        <f t="shared" si="27"/>
        <v>2.6166794894131058E-3</v>
      </c>
      <c r="Q187" s="11">
        <f t="shared" si="28"/>
        <v>6.0432333480370463E-2</v>
      </c>
      <c r="R187" s="11">
        <f t="shared" si="29"/>
        <v>2.8112449799196904E-2</v>
      </c>
      <c r="S187" s="11">
        <f t="shared" si="30"/>
        <v>1.5467487064885233E-2</v>
      </c>
      <c r="T187" s="11">
        <f t="shared" si="31"/>
        <v>4.1666666666666664E-2</v>
      </c>
      <c r="U187" s="11">
        <f t="shared" si="23"/>
        <v>1.6817776128582346E-2</v>
      </c>
      <c r="V187" s="11" cm="1">
        <f t="array" ref="V187">SUMPRODUCT(L187:T187,TRANSPOSE($Y$5:$Y$13))</f>
        <v>1.9302665182390776E-2</v>
      </c>
    </row>
    <row r="188" spans="1:22" x14ac:dyDescent="0.2">
      <c r="A188" s="1">
        <v>44165</v>
      </c>
      <c r="B188" s="3">
        <v>69.449996999999996</v>
      </c>
      <c r="C188" s="3">
        <v>18.709999</v>
      </c>
      <c r="D188" s="3">
        <v>25.01</v>
      </c>
      <c r="E188" s="3">
        <v>67.220000999999996</v>
      </c>
      <c r="F188" s="3">
        <v>22.878613999999999</v>
      </c>
      <c r="G188" s="3">
        <v>22.67</v>
      </c>
      <c r="H188" s="3">
        <v>24.9</v>
      </c>
      <c r="I188" s="3">
        <v>40.237369999999999</v>
      </c>
      <c r="J188" s="3">
        <v>78</v>
      </c>
      <c r="L188" s="11">
        <f t="shared" si="22"/>
        <v>-2.1831028169014138E-2</v>
      </c>
      <c r="M188" s="11">
        <f t="shared" si="24"/>
        <v>-1.3532479220780205E-2</v>
      </c>
      <c r="N188" s="11">
        <f t="shared" si="25"/>
        <v>0</v>
      </c>
      <c r="O188" s="11">
        <f t="shared" si="26"/>
        <v>1.1739900308852932E-2</v>
      </c>
      <c r="P188" s="11">
        <f t="shared" si="27"/>
        <v>-3.0033845305530913E-2</v>
      </c>
      <c r="Q188" s="11">
        <f t="shared" si="28"/>
        <v>-3.5319148936170143E-2</v>
      </c>
      <c r="R188" s="11">
        <f t="shared" si="29"/>
        <v>-2.3529411764705938E-2</v>
      </c>
      <c r="S188" s="11">
        <f t="shared" si="30"/>
        <v>-2.1778971827848447E-2</v>
      </c>
      <c r="T188" s="11">
        <f t="shared" si="31"/>
        <v>-5.60940832204475E-3</v>
      </c>
      <c r="U188" s="11">
        <f t="shared" si="23"/>
        <v>-1.5543821470804622E-2</v>
      </c>
      <c r="V188" s="11" cm="1">
        <f t="array" ref="V188">SUMPRODUCT(L188:T188,TRANSPOSE($Y$5:$Y$13))</f>
        <v>-1.4550380155928634E-2</v>
      </c>
    </row>
    <row r="189" spans="1:22" x14ac:dyDescent="0.2">
      <c r="A189" s="1">
        <v>44162</v>
      </c>
      <c r="B189" s="3">
        <v>71</v>
      </c>
      <c r="C189" s="3">
        <v>18.966664999999999</v>
      </c>
      <c r="D189" s="3">
        <v>25.01</v>
      </c>
      <c r="E189" s="3">
        <v>66.440002000000007</v>
      </c>
      <c r="F189" s="3">
        <v>23.587022999999999</v>
      </c>
      <c r="G189" s="3">
        <v>23.5</v>
      </c>
      <c r="H189" s="3">
        <v>25.5</v>
      </c>
      <c r="I189" s="3">
        <v>41.133209000000001</v>
      </c>
      <c r="J189" s="3">
        <v>78.440002000000007</v>
      </c>
      <c r="L189" s="11">
        <f t="shared" si="22"/>
        <v>-2.8089467475679278E-3</v>
      </c>
      <c r="M189" s="11">
        <f t="shared" si="24"/>
        <v>-1.7544736842105791E-3</v>
      </c>
      <c r="N189" s="11">
        <f t="shared" si="25"/>
        <v>3.8190120381901276E-2</v>
      </c>
      <c r="O189" s="11">
        <f t="shared" si="26"/>
        <v>1.5281173127103509E-2</v>
      </c>
      <c r="P189" s="11">
        <f t="shared" si="27"/>
        <v>-2.5316649475541192E-3</v>
      </c>
      <c r="Q189" s="11">
        <f t="shared" si="28"/>
        <v>2.5596841911398062E-3</v>
      </c>
      <c r="R189" s="11">
        <f t="shared" si="29"/>
        <v>-1.2393493415956634E-2</v>
      </c>
      <c r="S189" s="11">
        <f t="shared" si="30"/>
        <v>4.5289659082189673E-3</v>
      </c>
      <c r="T189" s="11">
        <f t="shared" si="31"/>
        <v>2.4422123547081283E-2</v>
      </c>
      <c r="U189" s="11">
        <f t="shared" si="23"/>
        <v>7.2770542622395086E-3</v>
      </c>
      <c r="V189" s="11" cm="1">
        <f t="array" ref="V189">SUMPRODUCT(L189:T189,TRANSPOSE($Y$5:$Y$13))</f>
        <v>8.9915611907236855E-3</v>
      </c>
    </row>
    <row r="190" spans="1:22" x14ac:dyDescent="0.2">
      <c r="A190" s="1">
        <v>44161</v>
      </c>
      <c r="B190" s="3">
        <v>71.199996999999996</v>
      </c>
      <c r="C190" s="3">
        <v>19</v>
      </c>
      <c r="D190" s="3">
        <v>24.09</v>
      </c>
      <c r="E190" s="3">
        <v>65.440002000000007</v>
      </c>
      <c r="F190" s="3">
        <v>23.646889000000002</v>
      </c>
      <c r="G190" s="3">
        <v>23.440000999999999</v>
      </c>
      <c r="H190" s="3">
        <v>25.82</v>
      </c>
      <c r="I190" s="3">
        <v>40.947758</v>
      </c>
      <c r="J190" s="3">
        <v>76.569999999999993</v>
      </c>
      <c r="L190" s="11">
        <f t="shared" si="22"/>
        <v>-4.4742731183281146E-3</v>
      </c>
      <c r="M190" s="11">
        <f t="shared" si="24"/>
        <v>6.8891888241024227E-3</v>
      </c>
      <c r="N190" s="11">
        <f t="shared" si="25"/>
        <v>3.2133676092544985E-2</v>
      </c>
      <c r="O190" s="11">
        <f t="shared" si="26"/>
        <v>-4.714798479087348E-3</v>
      </c>
      <c r="P190" s="11">
        <f t="shared" si="27"/>
        <v>2.1142094334025635E-3</v>
      </c>
      <c r="Q190" s="11">
        <f t="shared" si="28"/>
        <v>-1.2636857624262835E-2</v>
      </c>
      <c r="R190" s="11">
        <f t="shared" si="29"/>
        <v>-1.6380952380952371E-2</v>
      </c>
      <c r="S190" s="11">
        <f t="shared" si="30"/>
        <v>1.0045682464555663E-2</v>
      </c>
      <c r="T190" s="11">
        <f t="shared" si="31"/>
        <v>1.4172185430463486E-2</v>
      </c>
      <c r="U190" s="11">
        <f t="shared" si="23"/>
        <v>3.0164511824931615E-3</v>
      </c>
      <c r="V190" s="11" cm="1">
        <f t="array" ref="V190">SUMPRODUCT(L190:T190,TRANSPOSE($Y$5:$Y$13))</f>
        <v>4.1320246072901945E-3</v>
      </c>
    </row>
    <row r="191" spans="1:22" x14ac:dyDescent="0.2">
      <c r="A191" s="1">
        <v>44160</v>
      </c>
      <c r="B191" s="3">
        <v>71.519997000000004</v>
      </c>
      <c r="C191" s="3">
        <v>18.870000999999998</v>
      </c>
      <c r="D191" s="3">
        <v>23.34</v>
      </c>
      <c r="E191" s="3">
        <v>65.75</v>
      </c>
      <c r="F191" s="3">
        <v>23.597000000000001</v>
      </c>
      <c r="G191" s="3">
        <v>23.74</v>
      </c>
      <c r="H191" s="3">
        <v>26.25</v>
      </c>
      <c r="I191" s="3">
        <v>40.540500999999999</v>
      </c>
      <c r="J191" s="3">
        <v>75.5</v>
      </c>
      <c r="L191" s="11">
        <f t="shared" si="22"/>
        <v>-5.7000278048102765E-3</v>
      </c>
      <c r="M191" s="11">
        <f t="shared" si="24"/>
        <v>1.6337612794887192E-2</v>
      </c>
      <c r="N191" s="11">
        <f t="shared" si="25"/>
        <v>-8.0748402858120908E-3</v>
      </c>
      <c r="O191" s="11">
        <f t="shared" si="26"/>
        <v>2.2866159233724463E-3</v>
      </c>
      <c r="P191" s="11">
        <f t="shared" si="27"/>
        <v>-2.5305972481730896E-3</v>
      </c>
      <c r="Q191" s="11">
        <f t="shared" si="28"/>
        <v>1.0212765957446742E-2</v>
      </c>
      <c r="R191" s="11">
        <f t="shared" si="29"/>
        <v>1.1442029421892279E-3</v>
      </c>
      <c r="S191" s="11">
        <f t="shared" si="30"/>
        <v>1.8367797146455148E-2</v>
      </c>
      <c r="T191" s="11">
        <f t="shared" si="31"/>
        <v>9.3582482877707391E-3</v>
      </c>
      <c r="U191" s="11">
        <f t="shared" si="23"/>
        <v>4.600197523702893E-3</v>
      </c>
      <c r="V191" s="11" cm="1">
        <f t="array" ref="V191">SUMPRODUCT(L191:T191,TRANSPOSE($Y$5:$Y$13))</f>
        <v>5.0760026001096777E-3</v>
      </c>
    </row>
    <row r="192" spans="1:22" x14ac:dyDescent="0.2">
      <c r="A192" s="1">
        <v>44159</v>
      </c>
      <c r="B192" s="3">
        <v>71.930000000000007</v>
      </c>
      <c r="C192" s="3">
        <v>18.566666000000001</v>
      </c>
      <c r="D192" s="3">
        <v>23.530000999999999</v>
      </c>
      <c r="E192" s="3">
        <v>65.599997999999999</v>
      </c>
      <c r="F192" s="3">
        <v>23.656866000000001</v>
      </c>
      <c r="G192" s="3">
        <v>23.5</v>
      </c>
      <c r="H192" s="3">
        <v>26.219999000000001</v>
      </c>
      <c r="I192" s="3">
        <v>39.809291999999999</v>
      </c>
      <c r="J192" s="3">
        <v>74.800003000000004</v>
      </c>
      <c r="L192" s="11">
        <f t="shared" si="22"/>
        <v>6.9564554934530389E-4</v>
      </c>
      <c r="M192" s="11">
        <f t="shared" si="24"/>
        <v>2.9765112048524171E-2</v>
      </c>
      <c r="N192" s="11">
        <f t="shared" si="25"/>
        <v>4.2680751173708453E-3</v>
      </c>
      <c r="O192" s="11">
        <f t="shared" si="26"/>
        <v>3.6719246684222429E-3</v>
      </c>
      <c r="P192" s="11">
        <f t="shared" si="27"/>
        <v>4.2191596535168902E-4</v>
      </c>
      <c r="Q192" s="11">
        <f t="shared" si="28"/>
        <v>7.1591427268581864E-2</v>
      </c>
      <c r="R192" s="11">
        <f t="shared" si="29"/>
        <v>4.4621474103585655E-2</v>
      </c>
      <c r="S192" s="11">
        <f t="shared" si="30"/>
        <v>2.3560172202856125E-2</v>
      </c>
      <c r="T192" s="11">
        <f t="shared" si="31"/>
        <v>4.9235544266579542E-2</v>
      </c>
      <c r="U192" s="11">
        <f t="shared" si="23"/>
        <v>2.5314587910068607E-2</v>
      </c>
      <c r="V192" s="11" cm="1">
        <f t="array" ref="V192">SUMPRODUCT(L192:T192,TRANSPOSE($Y$5:$Y$13))</f>
        <v>2.7706683545719701E-2</v>
      </c>
    </row>
    <row r="193" spans="1:22" x14ac:dyDescent="0.2">
      <c r="A193" s="1">
        <v>44158</v>
      </c>
      <c r="B193" s="3">
        <v>71.879997000000003</v>
      </c>
      <c r="C193" s="3">
        <v>18.030000999999999</v>
      </c>
      <c r="D193" s="3">
        <v>23.43</v>
      </c>
      <c r="E193" s="3">
        <v>65.360000999999997</v>
      </c>
      <c r="F193" s="3">
        <v>23.646889000000002</v>
      </c>
      <c r="G193" s="3">
        <v>21.93</v>
      </c>
      <c r="H193" s="3">
        <v>25.1</v>
      </c>
      <c r="I193" s="3">
        <v>38.892966999999999</v>
      </c>
      <c r="J193" s="3">
        <v>71.290001000000004</v>
      </c>
      <c r="L193" s="11">
        <f t="shared" si="22"/>
        <v>3.8578211798558283E-2</v>
      </c>
      <c r="M193" s="11">
        <f t="shared" si="24"/>
        <v>-2.2234272113108897E-2</v>
      </c>
      <c r="N193" s="11">
        <f t="shared" si="25"/>
        <v>2.9965324059703273E-3</v>
      </c>
      <c r="O193" s="11">
        <f t="shared" si="26"/>
        <v>-1.8326511072395569E-3</v>
      </c>
      <c r="P193" s="11">
        <f t="shared" si="27"/>
        <v>-2.3083221992170055E-2</v>
      </c>
      <c r="Q193" s="11">
        <f t="shared" si="28"/>
        <v>-3.1818181818181949E-3</v>
      </c>
      <c r="R193" s="11">
        <f t="shared" si="29"/>
        <v>5.3736356003358569E-2</v>
      </c>
      <c r="S193" s="11">
        <f t="shared" si="30"/>
        <v>7.4323616725914905E-3</v>
      </c>
      <c r="T193" s="11">
        <f t="shared" si="31"/>
        <v>5.2717069510970736E-2</v>
      </c>
      <c r="U193" s="11">
        <f t="shared" si="23"/>
        <v>1.1680951999679189E-2</v>
      </c>
      <c r="V193" s="11" cm="1">
        <f t="array" ref="V193">SUMPRODUCT(L193:T193,TRANSPOSE($Y$5:$Y$13))</f>
        <v>1.5784563750808344E-2</v>
      </c>
    </row>
    <row r="194" spans="1:22" x14ac:dyDescent="0.2">
      <c r="A194" s="1">
        <v>44154</v>
      </c>
      <c r="B194" s="3">
        <v>69.209998999999996</v>
      </c>
      <c r="C194" s="3">
        <v>18.440000999999999</v>
      </c>
      <c r="D194" s="3">
        <v>23.360001</v>
      </c>
      <c r="E194" s="3">
        <v>65.480002999999996</v>
      </c>
      <c r="F194" s="3">
        <v>24.205632999999999</v>
      </c>
      <c r="G194" s="3">
        <v>22</v>
      </c>
      <c r="H194" s="3">
        <v>23.82</v>
      </c>
      <c r="I194" s="3">
        <v>38.606032999999996</v>
      </c>
      <c r="J194" s="3">
        <v>67.720000999999996</v>
      </c>
      <c r="L194" s="11">
        <f t="shared" si="22"/>
        <v>7.4236102222828351E-3</v>
      </c>
      <c r="M194" s="11">
        <f t="shared" si="24"/>
        <v>2.3496855633556066E-2</v>
      </c>
      <c r="N194" s="11">
        <f t="shared" si="25"/>
        <v>-1.8487311701147518E-2</v>
      </c>
      <c r="O194" s="11">
        <f t="shared" si="26"/>
        <v>1.5351295250466537E-2</v>
      </c>
      <c r="P194" s="11">
        <f t="shared" si="27"/>
        <v>-5.3300668632477758E-3</v>
      </c>
      <c r="Q194" s="11">
        <f t="shared" si="28"/>
        <v>-5.4249997547467779E-3</v>
      </c>
      <c r="R194" s="11">
        <f t="shared" si="29"/>
        <v>1.1465011102548267E-2</v>
      </c>
      <c r="S194" s="11">
        <f t="shared" si="30"/>
        <v>-7.1882644535861196E-4</v>
      </c>
      <c r="T194" s="11">
        <f t="shared" si="31"/>
        <v>1.9112175430196034E-2</v>
      </c>
      <c r="U194" s="11">
        <f t="shared" si="23"/>
        <v>5.209749208283228E-3</v>
      </c>
      <c r="V194" s="11" cm="1">
        <f t="array" ref="V194">SUMPRODUCT(L194:T194,TRANSPOSE($Y$5:$Y$13))</f>
        <v>6.5999918304745098E-3</v>
      </c>
    </row>
    <row r="195" spans="1:22" x14ac:dyDescent="0.2">
      <c r="A195" s="1">
        <v>44153</v>
      </c>
      <c r="B195" s="3">
        <v>68.699996999999996</v>
      </c>
      <c r="C195" s="3">
        <v>18.016666000000001</v>
      </c>
      <c r="D195" s="3">
        <v>23.799999</v>
      </c>
      <c r="E195" s="3">
        <v>64.489998</v>
      </c>
      <c r="F195" s="3">
        <v>24.335342000000001</v>
      </c>
      <c r="G195" s="3">
        <v>22.120000999999998</v>
      </c>
      <c r="H195" s="3">
        <v>23.549999</v>
      </c>
      <c r="I195" s="3">
        <v>38.633803999999998</v>
      </c>
      <c r="J195" s="3">
        <v>66.449996999999996</v>
      </c>
      <c r="L195" s="11">
        <f t="shared" si="22"/>
        <v>-7.5123373661898701E-3</v>
      </c>
      <c r="M195" s="11">
        <f t="shared" si="24"/>
        <v>9.337030812324891E-3</v>
      </c>
      <c r="N195" s="11">
        <f t="shared" si="25"/>
        <v>0</v>
      </c>
      <c r="O195" s="11">
        <f t="shared" si="26"/>
        <v>-2.2878818181818184E-2</v>
      </c>
      <c r="P195" s="11">
        <f t="shared" si="27"/>
        <v>2.1784680683863474E-2</v>
      </c>
      <c r="Q195" s="11">
        <f t="shared" si="28"/>
        <v>-4.2009484625379012E-2</v>
      </c>
      <c r="R195" s="11">
        <f t="shared" si="29"/>
        <v>-5.9097507003059678E-3</v>
      </c>
      <c r="S195" s="11">
        <f t="shared" si="30"/>
        <v>-2.8624617101312071E-2</v>
      </c>
      <c r="T195" s="11">
        <f t="shared" si="31"/>
        <v>-7.7647303603892758E-3</v>
      </c>
      <c r="U195" s="11">
        <f t="shared" si="23"/>
        <v>-9.2864474265784477E-3</v>
      </c>
      <c r="V195" s="11" cm="1">
        <f t="array" ref="V195">SUMPRODUCT(L195:T195,TRANSPOSE($Y$5:$Y$13))</f>
        <v>-9.1342757199595302E-3</v>
      </c>
    </row>
    <row r="196" spans="1:22" x14ac:dyDescent="0.2">
      <c r="A196" s="1">
        <v>44152</v>
      </c>
      <c r="B196" s="3">
        <v>69.220000999999996</v>
      </c>
      <c r="C196" s="3">
        <v>17.850000000000001</v>
      </c>
      <c r="D196" s="3">
        <v>23.799999</v>
      </c>
      <c r="E196" s="3">
        <v>66</v>
      </c>
      <c r="F196" s="3">
        <v>23.816507000000001</v>
      </c>
      <c r="G196" s="3">
        <v>23.09</v>
      </c>
      <c r="H196" s="3">
        <v>23.690000999999999</v>
      </c>
      <c r="I196" s="3">
        <v>39.772269999999999</v>
      </c>
      <c r="J196" s="3">
        <v>66.970000999999996</v>
      </c>
      <c r="L196" s="11">
        <f t="shared" si="22"/>
        <v>-1.7040571344520774E-2</v>
      </c>
      <c r="M196" s="11">
        <f t="shared" si="24"/>
        <v>2.8090451016318449E-3</v>
      </c>
      <c r="N196" s="11">
        <f t="shared" si="25"/>
        <v>-1.7746636401155622E-2</v>
      </c>
      <c r="O196" s="11">
        <f t="shared" si="26"/>
        <v>-1.2271774917689214E-2</v>
      </c>
      <c r="P196" s="11">
        <f t="shared" si="27"/>
        <v>1.2298467486023297E-2</v>
      </c>
      <c r="Q196" s="11">
        <f t="shared" si="28"/>
        <v>1.6285255998470707E-2</v>
      </c>
      <c r="R196" s="11">
        <f t="shared" si="29"/>
        <v>1.717475237549361E-2</v>
      </c>
      <c r="S196" s="11">
        <f t="shared" si="30"/>
        <v>1.6317329446105106E-3</v>
      </c>
      <c r="T196" s="11">
        <f t="shared" si="31"/>
        <v>3.1577373123147498E-2</v>
      </c>
      <c r="U196" s="11">
        <f t="shared" si="23"/>
        <v>3.8575160406679842E-3</v>
      </c>
      <c r="V196" s="11" cm="1">
        <f t="array" ref="V196">SUMPRODUCT(L196:T196,TRANSPOSE($Y$5:$Y$13))</f>
        <v>6.6295017489159365E-3</v>
      </c>
    </row>
    <row r="197" spans="1:22" x14ac:dyDescent="0.2">
      <c r="A197" s="1">
        <v>44151</v>
      </c>
      <c r="B197" s="3">
        <v>70.419998000000007</v>
      </c>
      <c r="C197" s="3">
        <v>17.799999</v>
      </c>
      <c r="D197" s="3">
        <v>24.23</v>
      </c>
      <c r="E197" s="3">
        <v>66.819999999999993</v>
      </c>
      <c r="F197" s="3">
        <v>23.527159000000001</v>
      </c>
      <c r="G197" s="3">
        <v>22.719999000000001</v>
      </c>
      <c r="H197" s="3">
        <v>23.290001</v>
      </c>
      <c r="I197" s="3">
        <v>39.707478000000002</v>
      </c>
      <c r="J197" s="3">
        <v>64.919998000000007</v>
      </c>
      <c r="L197" s="11">
        <f t="shared" si="22"/>
        <v>3.5740551132241637E-2</v>
      </c>
      <c r="M197" s="11">
        <f t="shared" si="24"/>
        <v>-5.5866480446926763E-3</v>
      </c>
      <c r="N197" s="11">
        <f t="shared" si="25"/>
        <v>-1.0212418300653595E-2</v>
      </c>
      <c r="O197" s="11">
        <f t="shared" si="26"/>
        <v>-2.6865671641792062E-3</v>
      </c>
      <c r="P197" s="11">
        <f t="shared" si="27"/>
        <v>-1.9542506547834057E-2</v>
      </c>
      <c r="Q197" s="11">
        <f t="shared" si="28"/>
        <v>1.2026636435339182E-2</v>
      </c>
      <c r="R197" s="11">
        <f t="shared" si="29"/>
        <v>2.9164915119969673E-2</v>
      </c>
      <c r="S197" s="11">
        <f t="shared" si="30"/>
        <v>2.1428571061088132E-2</v>
      </c>
      <c r="T197" s="11">
        <f t="shared" si="31"/>
        <v>2.6403130434782717E-2</v>
      </c>
      <c r="U197" s="11">
        <f t="shared" si="23"/>
        <v>9.6372960140068669E-3</v>
      </c>
      <c r="V197" s="11" cm="1">
        <f t="array" ref="V197">SUMPRODUCT(L197:T197,TRANSPOSE($Y$5:$Y$13))</f>
        <v>1.1313879456084454E-2</v>
      </c>
    </row>
    <row r="198" spans="1:22" x14ac:dyDescent="0.2">
      <c r="A198" s="1">
        <v>44148</v>
      </c>
      <c r="B198" s="3">
        <v>67.989998</v>
      </c>
      <c r="C198" s="3">
        <v>17.899999999999999</v>
      </c>
      <c r="D198" s="3">
        <v>24.48</v>
      </c>
      <c r="E198" s="3">
        <v>67</v>
      </c>
      <c r="F198" s="3">
        <v>23.996103000000002</v>
      </c>
      <c r="G198" s="3">
        <v>22.450001</v>
      </c>
      <c r="H198" s="3">
        <v>22.629999000000002</v>
      </c>
      <c r="I198" s="3">
        <v>38.874454</v>
      </c>
      <c r="J198" s="3">
        <v>63.25</v>
      </c>
      <c r="L198" s="11">
        <f t="shared" si="22"/>
        <v>5.985963959907592E-2</v>
      </c>
      <c r="M198" s="11">
        <f t="shared" si="24"/>
        <v>-1.4875047038865061E-3</v>
      </c>
      <c r="N198" s="11">
        <f t="shared" si="25"/>
        <v>4.2589437819420782E-2</v>
      </c>
      <c r="O198" s="11">
        <f t="shared" si="26"/>
        <v>2.368224707481658E-2</v>
      </c>
      <c r="P198" s="11">
        <f t="shared" si="27"/>
        <v>5.014580732174043E-3</v>
      </c>
      <c r="Q198" s="11">
        <f t="shared" si="28"/>
        <v>-2.3488429752066036E-2</v>
      </c>
      <c r="R198" s="11">
        <f t="shared" si="29"/>
        <v>3.2861661341853102E-2</v>
      </c>
      <c r="S198" s="11">
        <f t="shared" si="30"/>
        <v>3.5758316290262673E-2</v>
      </c>
      <c r="T198" s="11">
        <f t="shared" si="31"/>
        <v>9.2548590794593669E-3</v>
      </c>
      <c r="U198" s="11">
        <f t="shared" si="23"/>
        <v>2.0449423053456661E-2</v>
      </c>
      <c r="V198" s="11" cm="1">
        <f t="array" ref="V198">SUMPRODUCT(L198:T198,TRANSPOSE($Y$5:$Y$13))</f>
        <v>1.9329966656056932E-2</v>
      </c>
    </row>
    <row r="199" spans="1:22" x14ac:dyDescent="0.2">
      <c r="A199" s="1">
        <v>44147</v>
      </c>
      <c r="B199" s="3">
        <v>64.150002000000001</v>
      </c>
      <c r="C199" s="3">
        <v>17.926666000000001</v>
      </c>
      <c r="D199" s="3">
        <v>23.48</v>
      </c>
      <c r="E199" s="3">
        <v>65.449996999999996</v>
      </c>
      <c r="F199" s="3">
        <v>23.876373000000001</v>
      </c>
      <c r="G199" s="3">
        <v>22.99</v>
      </c>
      <c r="H199" s="3">
        <v>21.91</v>
      </c>
      <c r="I199" s="3">
        <v>37.532359999999997</v>
      </c>
      <c r="J199" s="3">
        <v>62.669998</v>
      </c>
      <c r="L199" s="11">
        <f t="shared" ref="L199:L262" si="32">(B199-B200)/B200</f>
        <v>-2.046107865204087E-2</v>
      </c>
      <c r="M199" s="11">
        <f t="shared" si="24"/>
        <v>-2.924182574384699E-2</v>
      </c>
      <c r="N199" s="11">
        <f t="shared" si="25"/>
        <v>1.6890428757037702E-2</v>
      </c>
      <c r="O199" s="11">
        <f t="shared" si="26"/>
        <v>-1.1627967205859754E-2</v>
      </c>
      <c r="P199" s="11">
        <f t="shared" si="27"/>
        <v>-2.00654833596371E-2</v>
      </c>
      <c r="Q199" s="11">
        <f t="shared" si="28"/>
        <v>-2.7084173808048111E-2</v>
      </c>
      <c r="R199" s="11">
        <f t="shared" si="29"/>
        <v>-4.2395063041742322E-2</v>
      </c>
      <c r="S199" s="11">
        <f t="shared" si="30"/>
        <v>-3.0136315291876513E-2</v>
      </c>
      <c r="T199" s="11">
        <f t="shared" si="31"/>
        <v>-1.4622641969265467E-2</v>
      </c>
      <c r="U199" s="11">
        <f t="shared" ref="U199:U262" si="33">AVERAGE(L199:T199)</f>
        <v>-1.9860457812808825E-2</v>
      </c>
      <c r="V199" s="11" cm="1">
        <f t="array" ref="V199">SUMPRODUCT(L199:T199,TRANSPOSE($Y$5:$Y$13))</f>
        <v>-1.9336676228454489E-2</v>
      </c>
    </row>
    <row r="200" spans="1:22" x14ac:dyDescent="0.2">
      <c r="A200" s="1">
        <v>44146</v>
      </c>
      <c r="B200" s="3">
        <v>65.489998</v>
      </c>
      <c r="C200" s="3">
        <v>18.466664999999999</v>
      </c>
      <c r="D200" s="3">
        <v>23.09</v>
      </c>
      <c r="E200" s="3">
        <v>66.220000999999996</v>
      </c>
      <c r="F200" s="3">
        <v>24.365273999999999</v>
      </c>
      <c r="G200" s="3">
        <v>23.629999000000002</v>
      </c>
      <c r="H200" s="3">
        <v>22.879999000000002</v>
      </c>
      <c r="I200" s="3">
        <v>38.698593000000002</v>
      </c>
      <c r="J200" s="3">
        <v>63.599997999999999</v>
      </c>
      <c r="L200" s="11">
        <f t="shared" si="32"/>
        <v>-3.1963319572144923E-3</v>
      </c>
      <c r="M200" s="11">
        <f t="shared" si="24"/>
        <v>2.4029501368382656E-2</v>
      </c>
      <c r="N200" s="11">
        <f t="shared" si="25"/>
        <v>-4.3122464720893672E-3</v>
      </c>
      <c r="O200" s="11">
        <f t="shared" si="26"/>
        <v>-1.5078256936067076E-3</v>
      </c>
      <c r="P200" s="11">
        <f t="shared" si="27"/>
        <v>-2.7479104107779893E-2</v>
      </c>
      <c r="Q200" s="11">
        <f t="shared" si="28"/>
        <v>-1.7054990971090169E-2</v>
      </c>
      <c r="R200" s="11">
        <f t="shared" si="29"/>
        <v>-8.6655545927208314E-3</v>
      </c>
      <c r="S200" s="11">
        <f t="shared" si="30"/>
        <v>-2.2445616255638002E-2</v>
      </c>
      <c r="T200" s="11">
        <f t="shared" si="31"/>
        <v>6.9664027865738252E-3</v>
      </c>
      <c r="U200" s="11">
        <f t="shared" si="33"/>
        <v>-5.9628628772425531E-3</v>
      </c>
      <c r="V200" s="11" cm="1">
        <f t="array" ref="V200">SUMPRODUCT(L200:T200,TRANSPOSE($Y$5:$Y$13))</f>
        <v>-4.6699363108609155E-3</v>
      </c>
    </row>
    <row r="201" spans="1:22" x14ac:dyDescent="0.2">
      <c r="A201" s="1">
        <v>44145</v>
      </c>
      <c r="B201" s="3">
        <v>65.699996999999996</v>
      </c>
      <c r="C201" s="3">
        <v>18.033332999999999</v>
      </c>
      <c r="D201" s="3">
        <v>23.190000999999999</v>
      </c>
      <c r="E201" s="3">
        <v>66.319999999999993</v>
      </c>
      <c r="F201" s="3">
        <v>25.053728</v>
      </c>
      <c r="G201" s="3">
        <v>24.040001</v>
      </c>
      <c r="H201" s="3">
        <v>23.08</v>
      </c>
      <c r="I201" s="3">
        <v>39.587150999999999</v>
      </c>
      <c r="J201" s="3">
        <v>63.16</v>
      </c>
      <c r="L201" s="11">
        <f t="shared" si="32"/>
        <v>1.1547344644219153E-2</v>
      </c>
      <c r="M201" s="11">
        <f t="shared" si="24"/>
        <v>4.6424509948494504E-3</v>
      </c>
      <c r="N201" s="11">
        <f t="shared" si="25"/>
        <v>-2.9300880255373841E-2</v>
      </c>
      <c r="O201" s="11">
        <f t="shared" si="26"/>
        <v>3.328320826877995E-3</v>
      </c>
      <c r="P201" s="11">
        <f t="shared" si="27"/>
        <v>-6.331601302467774E-3</v>
      </c>
      <c r="Q201" s="11">
        <f t="shared" si="28"/>
        <v>-1.9575815660685131E-2</v>
      </c>
      <c r="R201" s="11">
        <f t="shared" si="29"/>
        <v>6.8024013511151518E-2</v>
      </c>
      <c r="S201" s="11">
        <f t="shared" si="30"/>
        <v>2.9857908923207162E-2</v>
      </c>
      <c r="T201" s="11">
        <f t="shared" si="31"/>
        <v>-4.7474284656981339E-4</v>
      </c>
      <c r="U201" s="11">
        <f t="shared" si="33"/>
        <v>6.8574443150231906E-3</v>
      </c>
      <c r="V201" s="11" cm="1">
        <f t="array" ref="V201">SUMPRODUCT(L201:T201,TRANSPOSE($Y$5:$Y$13))</f>
        <v>6.1242255988638913E-3</v>
      </c>
    </row>
    <row r="202" spans="1:22" x14ac:dyDescent="0.2">
      <c r="A202" s="1">
        <v>44144</v>
      </c>
      <c r="B202" s="3">
        <v>64.949996999999996</v>
      </c>
      <c r="C202" s="3">
        <v>17.950001</v>
      </c>
      <c r="D202" s="3">
        <v>23.889999</v>
      </c>
      <c r="E202" s="3">
        <v>66.099997999999999</v>
      </c>
      <c r="F202" s="3">
        <v>25.213369</v>
      </c>
      <c r="G202" s="3">
        <v>24.52</v>
      </c>
      <c r="H202" s="3">
        <v>21.610001</v>
      </c>
      <c r="I202" s="3">
        <v>38.439430000000002</v>
      </c>
      <c r="J202" s="3">
        <v>63.189999</v>
      </c>
      <c r="L202" s="11">
        <f t="shared" si="32"/>
        <v>2.7527258780687416E-2</v>
      </c>
      <c r="M202" s="11">
        <f t="shared" si="24"/>
        <v>-4.8922572393545888E-2</v>
      </c>
      <c r="N202" s="11">
        <f t="shared" si="25"/>
        <v>4.6256516137236888E-3</v>
      </c>
      <c r="O202" s="11">
        <f t="shared" si="26"/>
        <v>-2.7941205882352951E-2</v>
      </c>
      <c r="P202" s="11">
        <f t="shared" si="27"/>
        <v>9.9919764235839002E-3</v>
      </c>
      <c r="Q202" s="11">
        <f t="shared" si="28"/>
        <v>0.14046511627906974</v>
      </c>
      <c r="R202" s="11">
        <f t="shared" si="29"/>
        <v>9.4177265822784836E-2</v>
      </c>
      <c r="S202" s="11">
        <f t="shared" si="30"/>
        <v>-3.1205331506626477E-3</v>
      </c>
      <c r="T202" s="11">
        <f t="shared" si="31"/>
        <v>0</v>
      </c>
      <c r="U202" s="11">
        <f t="shared" si="33"/>
        <v>2.1866995277032012E-2</v>
      </c>
      <c r="V202" s="11" cm="1">
        <f t="array" ref="V202">SUMPRODUCT(L202:T202,TRANSPOSE($Y$5:$Y$13))</f>
        <v>1.9680295749328811E-2</v>
      </c>
    </row>
    <row r="203" spans="1:22" x14ac:dyDescent="0.2">
      <c r="A203" s="1">
        <v>44141</v>
      </c>
      <c r="B203" s="3">
        <v>63.209999000000003</v>
      </c>
      <c r="C203" s="3">
        <v>18.873332999999999</v>
      </c>
      <c r="D203" s="3">
        <v>23.780000999999999</v>
      </c>
      <c r="E203" s="3">
        <v>68</v>
      </c>
      <c r="F203" s="3">
        <v>24.963930000000001</v>
      </c>
      <c r="G203" s="3">
        <v>21.5</v>
      </c>
      <c r="H203" s="3">
        <v>19.75</v>
      </c>
      <c r="I203" s="3">
        <v>38.559756999999998</v>
      </c>
      <c r="J203" s="3">
        <v>63.189999</v>
      </c>
      <c r="L203" s="11">
        <f t="shared" si="32"/>
        <v>-1.4499532499213161E-2</v>
      </c>
      <c r="M203" s="11">
        <f t="shared" si="24"/>
        <v>1.7657656721906559E-4</v>
      </c>
      <c r="N203" s="11">
        <f t="shared" si="25"/>
        <v>-1.1637490092996371E-2</v>
      </c>
      <c r="O203" s="11">
        <f t="shared" si="26"/>
        <v>1.7678698483147689E-3</v>
      </c>
      <c r="P203" s="11">
        <f t="shared" si="27"/>
        <v>-9.5012600287087568E-3</v>
      </c>
      <c r="Q203" s="11">
        <f t="shared" si="28"/>
        <v>3.8145873401539042E-2</v>
      </c>
      <c r="R203" s="11">
        <f t="shared" si="29"/>
        <v>-7.0386629984244614E-3</v>
      </c>
      <c r="S203" s="11">
        <f t="shared" si="30"/>
        <v>5.0663901882589384E-3</v>
      </c>
      <c r="T203" s="11">
        <f t="shared" si="31"/>
        <v>1.0231814711939492E-2</v>
      </c>
      <c r="U203" s="11">
        <f t="shared" si="33"/>
        <v>1.4123976775476171E-3</v>
      </c>
      <c r="V203" s="11" cm="1">
        <f t="array" ref="V203">SUMPRODUCT(L203:T203,TRANSPOSE($Y$5:$Y$13))</f>
        <v>2.2943393809868049E-3</v>
      </c>
    </row>
    <row r="204" spans="1:22" x14ac:dyDescent="0.2">
      <c r="A204" s="1">
        <v>44140</v>
      </c>
      <c r="B204" s="3">
        <v>64.139999000000003</v>
      </c>
      <c r="C204" s="3">
        <v>18.870000999999998</v>
      </c>
      <c r="D204" s="3">
        <v>24.059999000000001</v>
      </c>
      <c r="E204" s="3">
        <v>67.879997000000003</v>
      </c>
      <c r="F204" s="3">
        <v>25.203393999999999</v>
      </c>
      <c r="G204" s="3">
        <v>20.709999</v>
      </c>
      <c r="H204" s="3">
        <v>19.889999</v>
      </c>
      <c r="I204" s="3">
        <v>38.365383000000001</v>
      </c>
      <c r="J204" s="3">
        <v>62.549999</v>
      </c>
      <c r="L204" s="11">
        <f t="shared" si="32"/>
        <v>7.8019976783902118E-4</v>
      </c>
      <c r="M204" s="11">
        <f t="shared" si="24"/>
        <v>4.6395638565538584E-2</v>
      </c>
      <c r="N204" s="11">
        <f t="shared" si="25"/>
        <v>7.1159483933005488E-3</v>
      </c>
      <c r="O204" s="11">
        <f t="shared" si="26"/>
        <v>2.3830979313831994E-2</v>
      </c>
      <c r="P204" s="11">
        <f t="shared" si="27"/>
        <v>1.2424918415365081E-2</v>
      </c>
      <c r="Q204" s="11">
        <f t="shared" si="28"/>
        <v>6.8076331515024846E-2</v>
      </c>
      <c r="R204" s="11">
        <f t="shared" si="29"/>
        <v>8.6206900923269901E-3</v>
      </c>
      <c r="S204" s="11">
        <f t="shared" si="30"/>
        <v>3.6768303986674286E-2</v>
      </c>
      <c r="T204" s="11">
        <f t="shared" si="31"/>
        <v>1.5751818260739896E-2</v>
      </c>
      <c r="U204" s="11">
        <f t="shared" si="33"/>
        <v>2.4418314256737919E-2</v>
      </c>
      <c r="V204" s="11" cm="1">
        <f t="array" ref="V204">SUMPRODUCT(L204:T204,TRANSPOSE($Y$5:$Y$13))</f>
        <v>2.3551664657138115E-2</v>
      </c>
    </row>
    <row r="205" spans="1:22" x14ac:dyDescent="0.2">
      <c r="A205" s="1">
        <v>44139</v>
      </c>
      <c r="B205" s="3">
        <v>64.089995999999999</v>
      </c>
      <c r="C205" s="3">
        <v>18.033332999999999</v>
      </c>
      <c r="D205" s="3">
        <v>23.889999</v>
      </c>
      <c r="E205" s="3">
        <v>66.300003000000004</v>
      </c>
      <c r="F205" s="3">
        <v>24.894086999999999</v>
      </c>
      <c r="G205" s="3">
        <v>19.389999</v>
      </c>
      <c r="H205" s="3">
        <v>19.719999000000001</v>
      </c>
      <c r="I205" s="3">
        <v>37.004779999999997</v>
      </c>
      <c r="J205" s="3">
        <v>61.580002</v>
      </c>
      <c r="L205" s="11">
        <f t="shared" si="32"/>
        <v>7.1739081467208712E-2</v>
      </c>
      <c r="M205" s="11">
        <f t="shared" si="24"/>
        <v>6.1408652148322578E-2</v>
      </c>
      <c r="N205" s="11">
        <f t="shared" si="25"/>
        <v>-1.3625103783034914E-2</v>
      </c>
      <c r="O205" s="11">
        <f t="shared" si="26"/>
        <v>3.9673874862788151E-2</v>
      </c>
      <c r="P205" s="11">
        <f t="shared" si="27"/>
        <v>4.9642379059644415E-2</v>
      </c>
      <c r="Q205" s="11">
        <f t="shared" si="28"/>
        <v>3.9678230563002737E-2</v>
      </c>
      <c r="R205" s="11">
        <f t="shared" si="29"/>
        <v>3.5622900763360209E-3</v>
      </c>
      <c r="S205" s="11">
        <f t="shared" si="30"/>
        <v>2.3291587876479034E-2</v>
      </c>
      <c r="T205" s="11">
        <f t="shared" si="31"/>
        <v>-2.7786517208714921E-2</v>
      </c>
      <c r="U205" s="11">
        <f t="shared" si="33"/>
        <v>2.7509386118003534E-2</v>
      </c>
      <c r="V205" s="11" cm="1">
        <f t="array" ref="V205">SUMPRODUCT(L205:T205,TRANSPOSE($Y$5:$Y$13))</f>
        <v>2.1979795785331688E-2</v>
      </c>
    </row>
    <row r="206" spans="1:22" x14ac:dyDescent="0.2">
      <c r="A206" s="1">
        <v>44138</v>
      </c>
      <c r="B206" s="3">
        <v>59.799999</v>
      </c>
      <c r="C206" s="3">
        <v>16.989999999999998</v>
      </c>
      <c r="D206" s="3">
        <v>24.219999000000001</v>
      </c>
      <c r="E206" s="3">
        <v>63.77</v>
      </c>
      <c r="F206" s="3">
        <v>23.716732</v>
      </c>
      <c r="G206" s="3">
        <v>18.649999999999999</v>
      </c>
      <c r="H206" s="3">
        <v>19.649999999999999</v>
      </c>
      <c r="I206" s="3">
        <v>36.162497999999999</v>
      </c>
      <c r="J206" s="3">
        <v>63.34</v>
      </c>
      <c r="L206" s="11">
        <f t="shared" si="32"/>
        <v>-8.2918741010261053E-3</v>
      </c>
      <c r="M206" s="11">
        <f t="shared" si="24"/>
        <v>-1.567051971285227E-3</v>
      </c>
      <c r="N206" s="11">
        <f t="shared" si="25"/>
        <v>1.8074736524811463E-2</v>
      </c>
      <c r="O206" s="11">
        <f t="shared" si="26"/>
        <v>5.0922874093605859E-2</v>
      </c>
      <c r="P206" s="11">
        <f t="shared" si="27"/>
        <v>2.3245808450120323E-2</v>
      </c>
      <c r="Q206" s="11">
        <f t="shared" si="28"/>
        <v>-1.6868688290389618E-2</v>
      </c>
      <c r="R206" s="11">
        <f t="shared" si="29"/>
        <v>3.7486745644839191E-2</v>
      </c>
      <c r="S206" s="11">
        <f t="shared" si="30"/>
        <v>-1.2635858992515837E-2</v>
      </c>
      <c r="T206" s="11">
        <f t="shared" si="31"/>
        <v>4.6077639076426799E-2</v>
      </c>
      <c r="U206" s="11">
        <f t="shared" si="33"/>
        <v>1.5160481159398538E-2</v>
      </c>
      <c r="V206" s="11" cm="1">
        <f t="array" ref="V206">SUMPRODUCT(L206:T206,TRANSPOSE($Y$5:$Y$13))</f>
        <v>1.8252196951101363E-2</v>
      </c>
    </row>
    <row r="207" spans="1:22" x14ac:dyDescent="0.2">
      <c r="A207" s="1">
        <v>44134</v>
      </c>
      <c r="B207" s="3">
        <v>60.299999</v>
      </c>
      <c r="C207" s="3">
        <v>17.016666000000001</v>
      </c>
      <c r="D207" s="3">
        <v>23.790001</v>
      </c>
      <c r="E207" s="3">
        <v>60.68</v>
      </c>
      <c r="F207" s="3">
        <v>23.177942000000002</v>
      </c>
      <c r="G207" s="3">
        <v>18.969999000000001</v>
      </c>
      <c r="H207" s="3">
        <v>18.940000999999999</v>
      </c>
      <c r="I207" s="3">
        <v>36.62529</v>
      </c>
      <c r="J207" s="3">
        <v>60.549999</v>
      </c>
      <c r="L207" s="11">
        <f t="shared" si="32"/>
        <v>-2.9454401586119408E-2</v>
      </c>
      <c r="M207" s="11">
        <f t="shared" si="24"/>
        <v>-3.6428878822197024E-2</v>
      </c>
      <c r="N207" s="11">
        <f t="shared" si="25"/>
        <v>-2.0972734899328727E-3</v>
      </c>
      <c r="O207" s="11">
        <f t="shared" si="26"/>
        <v>-3.0051166399437879E-2</v>
      </c>
      <c r="P207" s="11">
        <f t="shared" si="27"/>
        <v>-5.9133245949712268E-2</v>
      </c>
      <c r="Q207" s="11">
        <f t="shared" si="28"/>
        <v>-6.8063350785340327E-3</v>
      </c>
      <c r="R207" s="11">
        <f t="shared" si="29"/>
        <v>-1.8144115181746304E-2</v>
      </c>
      <c r="S207" s="11">
        <f t="shared" si="30"/>
        <v>-7.2754142054632645E-3</v>
      </c>
      <c r="T207" s="11">
        <f t="shared" si="31"/>
        <v>-2.3702047726539881E-2</v>
      </c>
      <c r="U207" s="11">
        <f t="shared" si="33"/>
        <v>-2.3676986493298104E-2</v>
      </c>
      <c r="V207" s="11" cm="1">
        <f t="array" ref="V207">SUMPRODUCT(L207:T207,TRANSPOSE($Y$5:$Y$13))</f>
        <v>-2.3679492616622281E-2</v>
      </c>
    </row>
    <row r="208" spans="1:22" x14ac:dyDescent="0.2">
      <c r="A208" s="1">
        <v>44133</v>
      </c>
      <c r="B208" s="3">
        <v>62.130001</v>
      </c>
      <c r="C208" s="3">
        <v>17.66</v>
      </c>
      <c r="D208" s="3">
        <v>23.84</v>
      </c>
      <c r="E208" s="3">
        <v>62.560001</v>
      </c>
      <c r="F208" s="3">
        <v>24.63467</v>
      </c>
      <c r="G208" s="3">
        <v>19.100000000000001</v>
      </c>
      <c r="H208" s="3">
        <v>19.290001</v>
      </c>
      <c r="I208" s="3">
        <v>36.893706999999999</v>
      </c>
      <c r="J208" s="3">
        <v>62.02</v>
      </c>
      <c r="L208" s="11">
        <f t="shared" si="32"/>
        <v>3.2059800131897E-2</v>
      </c>
      <c r="M208" s="11">
        <f t="shared" si="24"/>
        <v>3.2144884152841349E-2</v>
      </c>
      <c r="N208" s="11">
        <f t="shared" si="25"/>
        <v>-4.5929434407956998E-3</v>
      </c>
      <c r="O208" s="11">
        <f t="shared" si="26"/>
        <v>1.5990407929503031E-4</v>
      </c>
      <c r="P208" s="11">
        <f t="shared" si="27"/>
        <v>-1.2135610377981667E-3</v>
      </c>
      <c r="Q208" s="11">
        <f t="shared" si="28"/>
        <v>4.2060988433229151E-3</v>
      </c>
      <c r="R208" s="11">
        <f t="shared" si="29"/>
        <v>3.3208409212640518E-2</v>
      </c>
      <c r="S208" s="11">
        <f t="shared" si="30"/>
        <v>-1.0181310715042878E-2</v>
      </c>
      <c r="T208" s="11">
        <f t="shared" si="31"/>
        <v>2.9206804819343006E-2</v>
      </c>
      <c r="U208" s="11">
        <f t="shared" si="33"/>
        <v>1.2777565116189231E-2</v>
      </c>
      <c r="V208" s="11" cm="1">
        <f t="array" ref="V208">SUMPRODUCT(L208:T208,TRANSPOSE($Y$5:$Y$13))</f>
        <v>1.4420489086504609E-2</v>
      </c>
    </row>
    <row r="209" spans="1:22" x14ac:dyDescent="0.2">
      <c r="A209" s="1">
        <v>44132</v>
      </c>
      <c r="B209" s="3">
        <v>60.200001</v>
      </c>
      <c r="C209" s="3">
        <v>17.110001</v>
      </c>
      <c r="D209" s="3">
        <v>23.950001</v>
      </c>
      <c r="E209" s="3">
        <v>62.549999</v>
      </c>
      <c r="F209" s="3">
        <v>24.664601999999999</v>
      </c>
      <c r="G209" s="3">
        <v>19.02</v>
      </c>
      <c r="H209" s="3">
        <v>18.670000000000002</v>
      </c>
      <c r="I209" s="3">
        <v>37.273197000000003</v>
      </c>
      <c r="J209" s="3">
        <v>60.259998000000003</v>
      </c>
      <c r="L209" s="11">
        <f t="shared" si="32"/>
        <v>-1.7142840816326527E-2</v>
      </c>
      <c r="M209" s="11">
        <f t="shared" si="24"/>
        <v>-2.6919300619472931E-2</v>
      </c>
      <c r="N209" s="11">
        <f t="shared" si="25"/>
        <v>-3.3494752482051894E-2</v>
      </c>
      <c r="O209" s="11">
        <f t="shared" si="26"/>
        <v>-3.1283893448970014E-2</v>
      </c>
      <c r="P209" s="11">
        <f t="shared" si="27"/>
        <v>-4.3713746124293261E-2</v>
      </c>
      <c r="Q209" s="11">
        <f t="shared" si="28"/>
        <v>-5.3260328521652578E-2</v>
      </c>
      <c r="R209" s="11">
        <f t="shared" si="29"/>
        <v>-6.0865143906697367E-2</v>
      </c>
      <c r="S209" s="11">
        <f t="shared" si="30"/>
        <v>-2.2572777401953653E-2</v>
      </c>
      <c r="T209" s="11">
        <f t="shared" si="31"/>
        <v>-3.6302591336999597E-2</v>
      </c>
      <c r="U209" s="11">
        <f t="shared" si="33"/>
        <v>-3.6172819406490871E-2</v>
      </c>
      <c r="V209" s="11" cm="1">
        <f t="array" ref="V209">SUMPRODUCT(L209:T209,TRANSPOSE($Y$5:$Y$13))</f>
        <v>-3.6185796599541742E-2</v>
      </c>
    </row>
    <row r="210" spans="1:22" x14ac:dyDescent="0.2">
      <c r="A210" s="1">
        <v>44131</v>
      </c>
      <c r="B210" s="3">
        <v>61.25</v>
      </c>
      <c r="C210" s="3">
        <v>17.583331999999999</v>
      </c>
      <c r="D210" s="3">
        <v>24.780000999999999</v>
      </c>
      <c r="E210" s="3">
        <v>64.569999999999993</v>
      </c>
      <c r="F210" s="3">
        <v>25.792069999999999</v>
      </c>
      <c r="G210" s="3">
        <v>20.09</v>
      </c>
      <c r="H210" s="3">
        <v>19.879999000000002</v>
      </c>
      <c r="I210" s="3">
        <v>38.133986999999998</v>
      </c>
      <c r="J210" s="3">
        <v>62.529998999999997</v>
      </c>
      <c r="L210" s="11">
        <f t="shared" si="32"/>
        <v>-1.4639639639639586E-2</v>
      </c>
      <c r="M210" s="11">
        <f t="shared" si="24"/>
        <v>-4.0560241562758927E-2</v>
      </c>
      <c r="N210" s="11">
        <f t="shared" si="25"/>
        <v>-1.6666666005291098E-2</v>
      </c>
      <c r="O210" s="11">
        <f t="shared" si="26"/>
        <v>2.6713325277680319E-2</v>
      </c>
      <c r="P210" s="11">
        <f t="shared" si="27"/>
        <v>-1.0715708727142259E-2</v>
      </c>
      <c r="Q210" s="11">
        <f t="shared" si="28"/>
        <v>-1.0344778834718162E-2</v>
      </c>
      <c r="R210" s="11">
        <f t="shared" si="29"/>
        <v>-1.8271654320987579E-2</v>
      </c>
      <c r="S210" s="11">
        <f t="shared" si="30"/>
        <v>-5.0713098566539539E-3</v>
      </c>
      <c r="T210" s="11">
        <f t="shared" si="31"/>
        <v>4.799839999999449E-4</v>
      </c>
      <c r="U210" s="11">
        <f t="shared" si="33"/>
        <v>-9.897409963279034E-3</v>
      </c>
      <c r="V210" s="11" cm="1">
        <f t="array" ref="V210">SUMPRODUCT(L210:T210,TRANSPOSE($Y$5:$Y$13))</f>
        <v>-8.8596705669511337E-3</v>
      </c>
    </row>
    <row r="211" spans="1:22" x14ac:dyDescent="0.2">
      <c r="A211" s="1">
        <v>44130</v>
      </c>
      <c r="B211" s="3">
        <v>62.16</v>
      </c>
      <c r="C211" s="3">
        <v>18.326665999999999</v>
      </c>
      <c r="D211" s="3">
        <v>25.200001</v>
      </c>
      <c r="E211" s="3">
        <v>62.889999000000003</v>
      </c>
      <c r="F211" s="3">
        <v>26.071444</v>
      </c>
      <c r="G211" s="3">
        <v>20.299999</v>
      </c>
      <c r="H211" s="3">
        <v>20.25</v>
      </c>
      <c r="I211" s="3">
        <v>38.328361999999998</v>
      </c>
      <c r="J211" s="3">
        <v>62.5</v>
      </c>
      <c r="L211" s="11">
        <f t="shared" si="32"/>
        <v>1.9016393442622896E-2</v>
      </c>
      <c r="M211" s="11">
        <f t="shared" si="24"/>
        <v>3.2846716527251728E-3</v>
      </c>
      <c r="N211" s="11">
        <f t="shared" si="25"/>
        <v>-1.1764666666666654E-2</v>
      </c>
      <c r="O211" s="11">
        <f t="shared" si="26"/>
        <v>5.2749040077541458E-3</v>
      </c>
      <c r="P211" s="11">
        <f t="shared" si="27"/>
        <v>9.2699816839451037E-3</v>
      </c>
      <c r="Q211" s="11">
        <f t="shared" si="28"/>
        <v>-4.2904292451876123E-2</v>
      </c>
      <c r="R211" s="11">
        <f t="shared" si="29"/>
        <v>-1.5556635877491506E-2</v>
      </c>
      <c r="S211" s="11">
        <f t="shared" si="30"/>
        <v>3.6355521810407018E-3</v>
      </c>
      <c r="T211" s="11">
        <f t="shared" si="31"/>
        <v>-1.4972434752207496E-2</v>
      </c>
      <c r="U211" s="11">
        <f t="shared" si="33"/>
        <v>-4.9685029755726397E-3</v>
      </c>
      <c r="V211" s="11" cm="1">
        <f t="array" ref="V211">SUMPRODUCT(L211:T211,TRANSPOSE($Y$5:$Y$13))</f>
        <v>-5.9688961532361256E-3</v>
      </c>
    </row>
    <row r="212" spans="1:22" x14ac:dyDescent="0.2">
      <c r="A212" s="1">
        <v>44127</v>
      </c>
      <c r="B212" s="3">
        <v>61</v>
      </c>
      <c r="C212" s="3">
        <v>18.266666000000001</v>
      </c>
      <c r="D212" s="3">
        <v>25.5</v>
      </c>
      <c r="E212" s="3">
        <v>62.560001</v>
      </c>
      <c r="F212" s="3">
        <v>25.831982</v>
      </c>
      <c r="G212" s="3">
        <v>21.209999</v>
      </c>
      <c r="H212" s="3">
        <v>20.57</v>
      </c>
      <c r="I212" s="3">
        <v>38.189521999999997</v>
      </c>
      <c r="J212" s="3">
        <v>63.450001</v>
      </c>
      <c r="L212" s="11">
        <f t="shared" si="32"/>
        <v>0.16035761841354385</v>
      </c>
      <c r="M212" s="11">
        <f t="shared" si="24"/>
        <v>-2.2650346567664605E-2</v>
      </c>
      <c r="N212" s="11">
        <f t="shared" si="25"/>
        <v>5.917159763313553E-3</v>
      </c>
      <c r="O212" s="11">
        <f t="shared" si="26"/>
        <v>-2.2499984375000004E-2</v>
      </c>
      <c r="P212" s="11">
        <f t="shared" si="27"/>
        <v>-4.9961691632489699E-3</v>
      </c>
      <c r="Q212" s="11">
        <f t="shared" si="28"/>
        <v>-1.7600787401574804E-2</v>
      </c>
      <c r="R212" s="11">
        <f t="shared" si="29"/>
        <v>-1.2955854126679442E-2</v>
      </c>
      <c r="S212" s="11">
        <f t="shared" si="30"/>
        <v>-2.2043201903923275E-2</v>
      </c>
      <c r="T212" s="11">
        <f t="shared" si="31"/>
        <v>5.5467989079809633E-3</v>
      </c>
      <c r="U212" s="11">
        <f t="shared" si="33"/>
        <v>7.6750259496385859E-3</v>
      </c>
      <c r="V212" s="11" cm="1">
        <f t="array" ref="V212">SUMPRODUCT(L212:T212,TRANSPOSE($Y$5:$Y$13))</f>
        <v>7.4622032454728232E-3</v>
      </c>
    </row>
    <row r="213" spans="1:22" x14ac:dyDescent="0.2">
      <c r="A213" s="1">
        <v>44126</v>
      </c>
      <c r="B213" s="3">
        <v>52.57</v>
      </c>
      <c r="C213" s="3">
        <v>18.690000999999999</v>
      </c>
      <c r="D213" s="3">
        <v>25.35</v>
      </c>
      <c r="E213" s="3">
        <v>64</v>
      </c>
      <c r="F213" s="3">
        <v>25.961690999999998</v>
      </c>
      <c r="G213" s="3">
        <v>21.59</v>
      </c>
      <c r="H213" s="3">
        <v>20.84</v>
      </c>
      <c r="I213" s="3">
        <v>39.050316000000002</v>
      </c>
      <c r="J213" s="3">
        <v>63.099997999999999</v>
      </c>
      <c r="L213" s="11">
        <f t="shared" si="32"/>
        <v>-2.9715762273901797E-2</v>
      </c>
      <c r="M213" s="11">
        <f t="shared" si="24"/>
        <v>-2.2659857463131563E-2</v>
      </c>
      <c r="N213" s="11">
        <f t="shared" si="25"/>
        <v>5.9523410336373046E-3</v>
      </c>
      <c r="O213" s="11">
        <f t="shared" si="26"/>
        <v>1.7649881024803273E-2</v>
      </c>
      <c r="P213" s="11">
        <f t="shared" si="27"/>
        <v>-2.1068432701047354E-2</v>
      </c>
      <c r="Q213" s="11">
        <f t="shared" si="28"/>
        <v>-1.729626842495539E-2</v>
      </c>
      <c r="R213" s="11">
        <f t="shared" si="29"/>
        <v>3.3730158730158714E-2</v>
      </c>
      <c r="S213" s="11">
        <f t="shared" si="30"/>
        <v>-1.4482572457784264E-2</v>
      </c>
      <c r="T213" s="11">
        <f t="shared" si="31"/>
        <v>3.9777248680262492E-3</v>
      </c>
      <c r="U213" s="11">
        <f t="shared" si="33"/>
        <v>-4.8791986293549817E-3</v>
      </c>
      <c r="V213" s="11" cm="1">
        <f t="array" ref="V213">SUMPRODUCT(L213:T213,TRANSPOSE($Y$5:$Y$13))</f>
        <v>-3.9935062796168583E-3</v>
      </c>
    </row>
    <row r="214" spans="1:22" x14ac:dyDescent="0.2">
      <c r="A214" s="1">
        <v>44125</v>
      </c>
      <c r="B214" s="3">
        <v>54.18</v>
      </c>
      <c r="C214" s="3">
        <v>19.123332999999999</v>
      </c>
      <c r="D214" s="3">
        <v>25.200001</v>
      </c>
      <c r="E214" s="3">
        <v>62.889999000000003</v>
      </c>
      <c r="F214" s="3">
        <v>26.520434999999999</v>
      </c>
      <c r="G214" s="3">
        <v>21.969999000000001</v>
      </c>
      <c r="H214" s="3">
        <v>20.16</v>
      </c>
      <c r="I214" s="3">
        <v>39.624175999999999</v>
      </c>
      <c r="J214" s="3">
        <v>62.849997999999999</v>
      </c>
      <c r="L214" s="11">
        <f t="shared" si="32"/>
        <v>-1.6696879008961118E-2</v>
      </c>
      <c r="M214" s="11">
        <f t="shared" ref="M214:M277" si="34">(C214-C215)/C215</f>
        <v>-9.1536792307606273E-3</v>
      </c>
      <c r="N214" s="11">
        <f t="shared" ref="N214:N277" si="35">(D214-D215)/D215</f>
        <v>-1.1764666666666654E-2</v>
      </c>
      <c r="O214" s="11">
        <f t="shared" ref="O214:O277" si="36">(E214-E215)/E215</f>
        <v>-2.4507553520900262E-2</v>
      </c>
      <c r="P214" s="11">
        <f t="shared" ref="P214:P277" si="37">(F214-F215)/F215</f>
        <v>-2.9926957477991917E-2</v>
      </c>
      <c r="Q214" s="11">
        <f t="shared" ref="Q214:Q277" si="38">(G214-G215)/G215</f>
        <v>3.7299291784702628E-2</v>
      </c>
      <c r="R214" s="11">
        <f t="shared" ref="R214:R277" si="39">(H214-H215)/H215</f>
        <v>-9.9108027750245665E-4</v>
      </c>
      <c r="S214" s="11">
        <f t="shared" ref="S214:S277" si="40">(I214-I215)/I215</f>
        <v>2.1230937087850614E-2</v>
      </c>
      <c r="T214" s="11">
        <f t="shared" ref="T214:T277" si="41">(J214-J215)/J215</f>
        <v>1.6332438551099546E-2</v>
      </c>
      <c r="U214" s="11">
        <f t="shared" si="33"/>
        <v>-2.0197943065700277E-3</v>
      </c>
      <c r="V214" s="11" cm="1">
        <f t="array" ref="V214">SUMPRODUCT(L214:T214,TRANSPOSE($Y$5:$Y$13))</f>
        <v>-1.8457102080307076E-4</v>
      </c>
    </row>
    <row r="215" spans="1:22" x14ac:dyDescent="0.2">
      <c r="A215" s="1">
        <v>44124</v>
      </c>
      <c r="B215" s="3">
        <v>55.099997999999999</v>
      </c>
      <c r="C215" s="3">
        <v>19.299999</v>
      </c>
      <c r="D215" s="3">
        <v>25.5</v>
      </c>
      <c r="E215" s="3">
        <v>64.470000999999996</v>
      </c>
      <c r="F215" s="3">
        <v>27.338595999999999</v>
      </c>
      <c r="G215" s="3">
        <v>21.18</v>
      </c>
      <c r="H215" s="3">
        <v>20.18</v>
      </c>
      <c r="I215" s="3">
        <v>38.800407</v>
      </c>
      <c r="J215" s="3">
        <v>61.84</v>
      </c>
      <c r="L215" s="11">
        <f t="shared" si="32"/>
        <v>8.603276430472687E-3</v>
      </c>
      <c r="M215" s="11">
        <f t="shared" si="34"/>
        <v>3.1350160871930245E-2</v>
      </c>
      <c r="N215" s="11">
        <f t="shared" si="35"/>
        <v>1.2708498808578248E-2</v>
      </c>
      <c r="O215" s="11">
        <f t="shared" si="36"/>
        <v>4.5233479247730163E-2</v>
      </c>
      <c r="P215" s="11">
        <f t="shared" si="37"/>
        <v>-3.6364399727185216E-3</v>
      </c>
      <c r="Q215" s="11">
        <f t="shared" si="38"/>
        <v>5.6980534519492834E-3</v>
      </c>
      <c r="R215" s="11">
        <f t="shared" si="39"/>
        <v>3.3811475409836075E-2</v>
      </c>
      <c r="S215" s="11">
        <f t="shared" si="40"/>
        <v>2.5440271994650401E-2</v>
      </c>
      <c r="T215" s="11">
        <f t="shared" si="41"/>
        <v>-1.7756416178265583E-3</v>
      </c>
      <c r="U215" s="11">
        <f t="shared" si="33"/>
        <v>1.7492570513844667E-2</v>
      </c>
      <c r="V215" s="11" cm="1">
        <f t="array" ref="V215">SUMPRODUCT(L215:T215,TRANSPOSE($Y$5:$Y$13))</f>
        <v>1.5565749300677547E-2</v>
      </c>
    </row>
    <row r="216" spans="1:22" x14ac:dyDescent="0.2">
      <c r="A216" s="1">
        <v>44123</v>
      </c>
      <c r="B216" s="3">
        <v>54.630001</v>
      </c>
      <c r="C216" s="3">
        <v>18.713332999999999</v>
      </c>
      <c r="D216" s="3">
        <v>25.18</v>
      </c>
      <c r="E216" s="3">
        <v>61.68</v>
      </c>
      <c r="F216" s="3">
        <v>27.438374</v>
      </c>
      <c r="G216" s="3">
        <v>21.059999000000001</v>
      </c>
      <c r="H216" s="3">
        <v>19.52</v>
      </c>
      <c r="I216" s="3">
        <v>37.837803000000001</v>
      </c>
      <c r="J216" s="3">
        <v>61.950001</v>
      </c>
      <c r="L216" s="11">
        <f t="shared" si="32"/>
        <v>1.6750437372045471E-2</v>
      </c>
      <c r="M216" s="11">
        <f t="shared" si="34"/>
        <v>3.312477057645867E-2</v>
      </c>
      <c r="N216" s="11">
        <f t="shared" si="35"/>
        <v>-2.4409105943785644E-2</v>
      </c>
      <c r="O216" s="11">
        <f t="shared" si="36"/>
        <v>-9.4748675124458545E-3</v>
      </c>
      <c r="P216" s="11">
        <f t="shared" si="37"/>
        <v>5.1169860294012883E-3</v>
      </c>
      <c r="Q216" s="11">
        <f t="shared" si="38"/>
        <v>7.6554545454546735E-3</v>
      </c>
      <c r="R216" s="11">
        <f t="shared" si="39"/>
        <v>9.829280910501878E-3</v>
      </c>
      <c r="S216" s="11">
        <f t="shared" si="40"/>
        <v>2.2511226927980774E-2</v>
      </c>
      <c r="T216" s="11">
        <f t="shared" si="41"/>
        <v>-4.6593989505333989E-3</v>
      </c>
      <c r="U216" s="11">
        <f t="shared" si="33"/>
        <v>6.2716426616753179E-3</v>
      </c>
      <c r="V216" s="11" cm="1">
        <f t="array" ref="V216">SUMPRODUCT(L216:T216,TRANSPOSE($Y$5:$Y$13))</f>
        <v>5.178538500454446E-3</v>
      </c>
    </row>
    <row r="217" spans="1:22" x14ac:dyDescent="0.2">
      <c r="A217" s="1">
        <v>44120</v>
      </c>
      <c r="B217" s="3">
        <v>53.73</v>
      </c>
      <c r="C217" s="3">
        <v>18.113333000000001</v>
      </c>
      <c r="D217" s="3">
        <v>25.809999000000001</v>
      </c>
      <c r="E217" s="3">
        <v>62.27</v>
      </c>
      <c r="F217" s="3">
        <v>27.298687000000001</v>
      </c>
      <c r="G217" s="3">
        <v>20.9</v>
      </c>
      <c r="H217" s="3">
        <v>19.329999999999998</v>
      </c>
      <c r="I217" s="3">
        <v>37.004779999999997</v>
      </c>
      <c r="J217" s="3">
        <v>62.240001999999997</v>
      </c>
      <c r="L217" s="11">
        <f t="shared" si="32"/>
        <v>-1.1154675382883848E-3</v>
      </c>
      <c r="M217" s="11">
        <f t="shared" si="34"/>
        <v>-2.2837654687328662E-2</v>
      </c>
      <c r="N217" s="11">
        <f t="shared" si="35"/>
        <v>3.9887147461724455E-2</v>
      </c>
      <c r="O217" s="11">
        <f t="shared" si="36"/>
        <v>-1.7634017030553897E-3</v>
      </c>
      <c r="P217" s="11">
        <f t="shared" si="37"/>
        <v>-1.6534861589177406E-2</v>
      </c>
      <c r="Q217" s="11">
        <f t="shared" si="38"/>
        <v>-1.4150989898538293E-2</v>
      </c>
      <c r="R217" s="11">
        <f t="shared" si="39"/>
        <v>-2.1265822784810214E-2</v>
      </c>
      <c r="S217" s="11">
        <f t="shared" si="40"/>
        <v>-8.1864703072367338E-3</v>
      </c>
      <c r="T217" s="11">
        <f t="shared" si="41"/>
        <v>-3.6817511816592814E-3</v>
      </c>
      <c r="U217" s="11">
        <f t="shared" si="33"/>
        <v>-5.5165858031522123E-3</v>
      </c>
      <c r="V217" s="11" cm="1">
        <f t="array" ref="V217">SUMPRODUCT(L217:T217,TRANSPOSE($Y$5:$Y$13))</f>
        <v>-5.3331023410029188E-3</v>
      </c>
    </row>
    <row r="218" spans="1:22" x14ac:dyDescent="0.2">
      <c r="A218" s="1">
        <v>44119</v>
      </c>
      <c r="B218" s="3">
        <v>53.790000999999997</v>
      </c>
      <c r="C218" s="3">
        <v>18.536667000000001</v>
      </c>
      <c r="D218" s="3">
        <v>24.82</v>
      </c>
      <c r="E218" s="3">
        <v>62.380001</v>
      </c>
      <c r="F218" s="3">
        <v>27.757656000000001</v>
      </c>
      <c r="G218" s="3">
        <v>21.200001</v>
      </c>
      <c r="H218" s="3">
        <v>19.75</v>
      </c>
      <c r="I218" s="3">
        <v>37.310218999999996</v>
      </c>
      <c r="J218" s="3">
        <v>62.470001000000003</v>
      </c>
      <c r="L218" s="11">
        <f t="shared" si="32"/>
        <v>-1.6815902336243995E-2</v>
      </c>
      <c r="M218" s="11">
        <f t="shared" si="34"/>
        <v>-1.3657290061321169E-2</v>
      </c>
      <c r="N218" s="11">
        <f t="shared" si="35"/>
        <v>1.5132882816651008E-2</v>
      </c>
      <c r="O218" s="11">
        <f t="shared" si="36"/>
        <v>1.1184989644755866E-2</v>
      </c>
      <c r="P218" s="11">
        <f t="shared" si="37"/>
        <v>2.0917482157813316E-2</v>
      </c>
      <c r="Q218" s="11">
        <f t="shared" si="38"/>
        <v>1.4171469059989896E-3</v>
      </c>
      <c r="R218" s="11">
        <f t="shared" si="39"/>
        <v>-1.101647526371941E-2</v>
      </c>
      <c r="S218" s="11">
        <f t="shared" si="40"/>
        <v>-1.4425414710233952E-2</v>
      </c>
      <c r="T218" s="11">
        <f t="shared" si="41"/>
        <v>-8.4126825396824857E-3</v>
      </c>
      <c r="U218" s="11">
        <f t="shared" si="33"/>
        <v>-1.7416959317757595E-3</v>
      </c>
      <c r="V218" s="11" cm="1">
        <f t="array" ref="V218">SUMPRODUCT(L218:T218,TRANSPOSE($Y$5:$Y$13))</f>
        <v>-2.4087945925664322E-3</v>
      </c>
    </row>
    <row r="219" spans="1:22" x14ac:dyDescent="0.2">
      <c r="A219" s="1">
        <v>44118</v>
      </c>
      <c r="B219" s="3">
        <v>54.709999000000003</v>
      </c>
      <c r="C219" s="3">
        <v>18.793333000000001</v>
      </c>
      <c r="D219" s="3">
        <v>24.450001</v>
      </c>
      <c r="E219" s="3">
        <v>61.689999</v>
      </c>
      <c r="F219" s="3">
        <v>27.188932000000001</v>
      </c>
      <c r="G219" s="3">
        <v>21.17</v>
      </c>
      <c r="H219" s="3">
        <v>19.969999000000001</v>
      </c>
      <c r="I219" s="3">
        <v>37.856312000000003</v>
      </c>
      <c r="J219" s="3">
        <v>63</v>
      </c>
      <c r="L219" s="11">
        <f t="shared" si="32"/>
        <v>-7.3061187214605702E-4</v>
      </c>
      <c r="M219" s="11">
        <f t="shared" si="34"/>
        <v>2.8832136088764077E-2</v>
      </c>
      <c r="N219" s="11">
        <f t="shared" si="35"/>
        <v>-8.5157745336577381E-3</v>
      </c>
      <c r="O219" s="11">
        <f t="shared" si="36"/>
        <v>3.9076975561343708E-2</v>
      </c>
      <c r="P219" s="11">
        <f t="shared" si="37"/>
        <v>-1.9784227971885632E-2</v>
      </c>
      <c r="Q219" s="11">
        <f t="shared" si="38"/>
        <v>9.45626477541519E-4</v>
      </c>
      <c r="R219" s="11">
        <f t="shared" si="39"/>
        <v>-7.9483362120385658E-3</v>
      </c>
      <c r="S219" s="11">
        <f t="shared" si="40"/>
        <v>4.6670881407109687E-3</v>
      </c>
      <c r="T219" s="11">
        <f t="shared" si="41"/>
        <v>1.3839733083999516E-2</v>
      </c>
      <c r="U219" s="11">
        <f t="shared" si="33"/>
        <v>5.5980676402924224E-3</v>
      </c>
      <c r="V219" s="11" cm="1">
        <f t="array" ref="V219">SUMPRODUCT(L219:T219,TRANSPOSE($Y$5:$Y$13))</f>
        <v>6.4222341846631318E-3</v>
      </c>
    </row>
    <row r="220" spans="1:22" x14ac:dyDescent="0.2">
      <c r="A220" s="1">
        <v>44117</v>
      </c>
      <c r="B220" s="3">
        <v>54.75</v>
      </c>
      <c r="C220" s="3">
        <v>18.266666000000001</v>
      </c>
      <c r="D220" s="3">
        <v>24.66</v>
      </c>
      <c r="E220" s="3">
        <v>59.369999</v>
      </c>
      <c r="F220" s="3">
        <v>27.737701000000001</v>
      </c>
      <c r="G220" s="3">
        <v>21.15</v>
      </c>
      <c r="H220" s="3">
        <v>20.129999000000002</v>
      </c>
      <c r="I220" s="3">
        <v>37.680453999999997</v>
      </c>
      <c r="J220" s="3">
        <v>62.139999000000003</v>
      </c>
      <c r="L220" s="11">
        <f t="shared" si="32"/>
        <v>-2.0051220925059207E-3</v>
      </c>
      <c r="M220" s="11">
        <f t="shared" si="34"/>
        <v>1.6450375304346274E-3</v>
      </c>
      <c r="N220" s="11">
        <f t="shared" si="35"/>
        <v>1.9851116625310191E-2</v>
      </c>
      <c r="O220" s="11">
        <f t="shared" si="36"/>
        <v>-1.296763049151687E-2</v>
      </c>
      <c r="P220" s="11">
        <f t="shared" si="37"/>
        <v>2.2058807815131042E-2</v>
      </c>
      <c r="Q220" s="11">
        <f t="shared" si="38"/>
        <v>-9.8315070303602453E-3</v>
      </c>
      <c r="R220" s="11">
        <f t="shared" si="39"/>
        <v>1.6666667508417644E-2</v>
      </c>
      <c r="S220" s="11">
        <f t="shared" si="40"/>
        <v>1.117731958746287E-2</v>
      </c>
      <c r="T220" s="11">
        <f t="shared" si="41"/>
        <v>8.7662502846185767E-3</v>
      </c>
      <c r="U220" s="11">
        <f t="shared" si="33"/>
        <v>6.151215526332434E-3</v>
      </c>
      <c r="V220" s="11" cm="1">
        <f t="array" ref="V220">SUMPRODUCT(L220:T220,TRANSPOSE($Y$5:$Y$13))</f>
        <v>6.4127190021610499E-3</v>
      </c>
    </row>
    <row r="221" spans="1:22" x14ac:dyDescent="0.2">
      <c r="A221" s="1">
        <v>44113</v>
      </c>
      <c r="B221" s="3">
        <v>54.860000999999997</v>
      </c>
      <c r="C221" s="3">
        <v>18.236666</v>
      </c>
      <c r="D221" s="3">
        <v>24.18</v>
      </c>
      <c r="E221" s="3">
        <v>60.150002000000001</v>
      </c>
      <c r="F221" s="3">
        <v>27.139046</v>
      </c>
      <c r="G221" s="3">
        <v>21.360001</v>
      </c>
      <c r="H221" s="3">
        <v>19.799999</v>
      </c>
      <c r="I221" s="3">
        <v>37.263942999999998</v>
      </c>
      <c r="J221" s="3">
        <v>61.599997999999999</v>
      </c>
      <c r="L221" s="11">
        <f t="shared" si="32"/>
        <v>-3.4154894967515809E-2</v>
      </c>
      <c r="M221" s="11">
        <f t="shared" si="34"/>
        <v>-2.552433957200219E-3</v>
      </c>
      <c r="N221" s="11">
        <f t="shared" si="35"/>
        <v>-2.8525473223201005E-2</v>
      </c>
      <c r="O221" s="11">
        <f t="shared" si="36"/>
        <v>3.1688292723286611E-3</v>
      </c>
      <c r="P221" s="11">
        <f t="shared" si="37"/>
        <v>-1.8050487438926354E-2</v>
      </c>
      <c r="Q221" s="11">
        <f t="shared" si="38"/>
        <v>-1.0653033811949949E-2</v>
      </c>
      <c r="R221" s="11">
        <f t="shared" si="39"/>
        <v>-3.1311250914322318E-2</v>
      </c>
      <c r="S221" s="11">
        <f t="shared" si="40"/>
        <v>-1.6849744735135817E-2</v>
      </c>
      <c r="T221" s="11">
        <f t="shared" si="41"/>
        <v>5.0578723273312191E-3</v>
      </c>
      <c r="U221" s="11">
        <f t="shared" si="33"/>
        <v>-1.4874513049843512E-2</v>
      </c>
      <c r="V221" s="11" cm="1">
        <f t="array" ref="V221">SUMPRODUCT(L221:T221,TRANSPOSE($Y$5:$Y$13))</f>
        <v>-1.2881274512126038E-2</v>
      </c>
    </row>
    <row r="222" spans="1:22" x14ac:dyDescent="0.2">
      <c r="A222" s="1">
        <v>44112</v>
      </c>
      <c r="B222" s="3">
        <v>56.799999</v>
      </c>
      <c r="C222" s="3">
        <v>18.283332999999999</v>
      </c>
      <c r="D222" s="3">
        <v>24.889999</v>
      </c>
      <c r="E222" s="3">
        <v>59.959999000000003</v>
      </c>
      <c r="F222" s="3">
        <v>27.637924000000002</v>
      </c>
      <c r="G222" s="3">
        <v>21.59</v>
      </c>
      <c r="H222" s="3">
        <v>20.440000999999999</v>
      </c>
      <c r="I222" s="3">
        <v>37.902591999999999</v>
      </c>
      <c r="J222" s="3">
        <v>61.290000999999997</v>
      </c>
      <c r="L222" s="11">
        <f t="shared" si="32"/>
        <v>2.1950287083472925E-2</v>
      </c>
      <c r="M222" s="11">
        <f t="shared" si="34"/>
        <v>2.1225041101283031E-2</v>
      </c>
      <c r="N222" s="11">
        <f t="shared" si="35"/>
        <v>1.8412356038774336E-2</v>
      </c>
      <c r="O222" s="11">
        <f t="shared" si="36"/>
        <v>5.3963790718294796E-2</v>
      </c>
      <c r="P222" s="11">
        <f t="shared" si="37"/>
        <v>-1.0818330122868479E-3</v>
      </c>
      <c r="Q222" s="11">
        <f t="shared" si="38"/>
        <v>-4.629629629630353E-4</v>
      </c>
      <c r="R222" s="11">
        <f t="shared" si="39"/>
        <v>3.2844869487373883E-2</v>
      </c>
      <c r="S222" s="11">
        <f t="shared" si="40"/>
        <v>6.3897395413118931E-3</v>
      </c>
      <c r="T222" s="11">
        <f t="shared" si="41"/>
        <v>1.8613977683695403E-2</v>
      </c>
      <c r="U222" s="11">
        <f t="shared" si="33"/>
        <v>1.9095029519884045E-2</v>
      </c>
      <c r="V222" s="11" cm="1">
        <f t="array" ref="V222">SUMPRODUCT(L222:T222,TRANSPOSE($Y$5:$Y$13))</f>
        <v>1.9046924336265179E-2</v>
      </c>
    </row>
    <row r="223" spans="1:22" x14ac:dyDescent="0.2">
      <c r="A223" s="1">
        <v>44111</v>
      </c>
      <c r="B223" s="3">
        <v>55.580002</v>
      </c>
      <c r="C223" s="3">
        <v>17.903334000000001</v>
      </c>
      <c r="D223" s="3">
        <v>24.440000999999999</v>
      </c>
      <c r="E223" s="3">
        <v>56.889999000000003</v>
      </c>
      <c r="F223" s="3">
        <v>27.667856</v>
      </c>
      <c r="G223" s="3">
        <v>21.6</v>
      </c>
      <c r="H223" s="3">
        <v>19.790001</v>
      </c>
      <c r="I223" s="3">
        <v>37.661942000000003</v>
      </c>
      <c r="J223" s="3">
        <v>60.169998</v>
      </c>
      <c r="L223" s="11">
        <f t="shared" si="32"/>
        <v>3.7927217589438711E-3</v>
      </c>
      <c r="M223" s="11">
        <f t="shared" si="34"/>
        <v>-9.3002232142861243E-4</v>
      </c>
      <c r="N223" s="11">
        <f t="shared" si="35"/>
        <v>1.57939324935133E-2</v>
      </c>
      <c r="O223" s="11">
        <f t="shared" si="36"/>
        <v>-7.328598720492025E-3</v>
      </c>
      <c r="P223" s="11">
        <f t="shared" si="37"/>
        <v>-2.8381261693601913E-2</v>
      </c>
      <c r="Q223" s="11">
        <f t="shared" si="38"/>
        <v>2.1276595744680986E-2</v>
      </c>
      <c r="R223" s="11">
        <f t="shared" si="39"/>
        <v>-7.0245358755644527E-3</v>
      </c>
      <c r="S223" s="11">
        <f t="shared" si="40"/>
        <v>-1.1898920320421041E-2</v>
      </c>
      <c r="T223" s="11">
        <f t="shared" si="41"/>
        <v>2.6441470938953781E-2</v>
      </c>
      <c r="U223" s="11">
        <f t="shared" si="33"/>
        <v>1.3045980005093214E-3</v>
      </c>
      <c r="V223" s="11" cm="1">
        <f t="array" ref="V223">SUMPRODUCT(L223:T223,TRANSPOSE($Y$5:$Y$13))</f>
        <v>3.8182852943537673E-3</v>
      </c>
    </row>
    <row r="224" spans="1:22" x14ac:dyDescent="0.2">
      <c r="A224" s="1">
        <v>44110</v>
      </c>
      <c r="B224" s="3">
        <v>55.369999</v>
      </c>
      <c r="C224" s="3">
        <v>17.920000000000002</v>
      </c>
      <c r="D224" s="3">
        <v>24.059999000000001</v>
      </c>
      <c r="E224" s="3">
        <v>57.310001</v>
      </c>
      <c r="F224" s="3">
        <v>28.476042</v>
      </c>
      <c r="G224" s="3">
        <v>21.15</v>
      </c>
      <c r="H224" s="3">
        <v>19.93</v>
      </c>
      <c r="I224" s="3">
        <v>38.115475000000004</v>
      </c>
      <c r="J224" s="3">
        <v>58.619999</v>
      </c>
      <c r="L224" s="11">
        <f t="shared" si="32"/>
        <v>-1.6343968442992154E-2</v>
      </c>
      <c r="M224" s="11">
        <f t="shared" si="34"/>
        <v>-3.5694998076770998E-2</v>
      </c>
      <c r="N224" s="11">
        <f t="shared" si="35"/>
        <v>-8.6526988051091203E-3</v>
      </c>
      <c r="O224" s="11">
        <f t="shared" si="36"/>
        <v>1.0480524017467206E-3</v>
      </c>
      <c r="P224" s="11">
        <f t="shared" si="37"/>
        <v>2.8109726290691649E-3</v>
      </c>
      <c r="Q224" s="11">
        <f t="shared" si="38"/>
        <v>2.2727272727272672E-2</v>
      </c>
      <c r="R224" s="11">
        <f t="shared" si="39"/>
        <v>-4.9925609090083868E-3</v>
      </c>
      <c r="S224" s="11">
        <f t="shared" si="40"/>
        <v>1.9464041718094322E-3</v>
      </c>
      <c r="T224" s="11">
        <f t="shared" si="41"/>
        <v>-1.6277915757677518E-2</v>
      </c>
      <c r="U224" s="11">
        <f t="shared" si="33"/>
        <v>-5.9366044512955763E-3</v>
      </c>
      <c r="V224" s="11" cm="1">
        <f t="array" ref="V224">SUMPRODUCT(L224:T224,TRANSPOSE($Y$5:$Y$13))</f>
        <v>-6.9707355819337707E-3</v>
      </c>
    </row>
    <row r="225" spans="1:22" x14ac:dyDescent="0.2">
      <c r="A225" s="1">
        <v>44109</v>
      </c>
      <c r="B225" s="3">
        <v>56.290000999999997</v>
      </c>
      <c r="C225" s="3">
        <v>18.583331999999999</v>
      </c>
      <c r="D225" s="3">
        <v>24.27</v>
      </c>
      <c r="E225" s="3">
        <v>57.25</v>
      </c>
      <c r="F225" s="3">
        <v>28.396221000000001</v>
      </c>
      <c r="G225" s="3">
        <v>20.68</v>
      </c>
      <c r="H225" s="3">
        <v>20.030000999999999</v>
      </c>
      <c r="I225" s="3">
        <v>38.041431000000003</v>
      </c>
      <c r="J225" s="3">
        <v>59.59</v>
      </c>
      <c r="L225" s="11">
        <f t="shared" si="32"/>
        <v>2.4758802111778572E-2</v>
      </c>
      <c r="M225" s="11">
        <f t="shared" si="34"/>
        <v>4.6751787213802923E-2</v>
      </c>
      <c r="N225" s="11">
        <f t="shared" si="35"/>
        <v>1.6331700851411175E-2</v>
      </c>
      <c r="O225" s="11">
        <f t="shared" si="36"/>
        <v>9.7001585590800899E-3</v>
      </c>
      <c r="P225" s="11">
        <f t="shared" si="37"/>
        <v>-4.5470559592622681E-3</v>
      </c>
      <c r="Q225" s="11">
        <f t="shared" si="38"/>
        <v>2.0730503455083815E-2</v>
      </c>
      <c r="R225" s="11">
        <f t="shared" si="39"/>
        <v>5.3102050473186072E-2</v>
      </c>
      <c r="S225" s="11">
        <f t="shared" si="40"/>
        <v>4.6443510555896749E-3</v>
      </c>
      <c r="T225" s="11">
        <f t="shared" si="41"/>
        <v>2.1776406035665347E-2</v>
      </c>
      <c r="U225" s="11">
        <f t="shared" si="33"/>
        <v>2.1472078199592824E-2</v>
      </c>
      <c r="V225" s="11" cm="1">
        <f t="array" ref="V225">SUMPRODUCT(L225:T225,TRANSPOSE($Y$5:$Y$13))</f>
        <v>2.1502510983200076E-2</v>
      </c>
    </row>
    <row r="226" spans="1:22" x14ac:dyDescent="0.2">
      <c r="A226" s="1">
        <v>44106</v>
      </c>
      <c r="B226" s="3">
        <v>54.93</v>
      </c>
      <c r="C226" s="3">
        <v>17.753332</v>
      </c>
      <c r="D226" s="3">
        <v>23.879999000000002</v>
      </c>
      <c r="E226" s="3">
        <v>56.700001</v>
      </c>
      <c r="F226" s="3">
        <v>28.525929999999999</v>
      </c>
      <c r="G226" s="3">
        <v>20.260000000000002</v>
      </c>
      <c r="H226" s="3">
        <v>19.02</v>
      </c>
      <c r="I226" s="3">
        <v>37.865569999999998</v>
      </c>
      <c r="J226" s="3">
        <v>58.32</v>
      </c>
      <c r="L226" s="11">
        <f t="shared" si="32"/>
        <v>-9.0203860725239036E-3</v>
      </c>
      <c r="M226" s="11">
        <f t="shared" si="34"/>
        <v>-2.3289969678707886E-2</v>
      </c>
      <c r="N226" s="11">
        <f t="shared" si="35"/>
        <v>-1.8092146381578897E-2</v>
      </c>
      <c r="O226" s="11">
        <f t="shared" si="36"/>
        <v>-7.3529062911923309E-3</v>
      </c>
      <c r="P226" s="11">
        <f t="shared" si="37"/>
        <v>-2.5230184259147678E-2</v>
      </c>
      <c r="Q226" s="11">
        <f t="shared" si="38"/>
        <v>-1.4111874166027849E-2</v>
      </c>
      <c r="R226" s="11">
        <f t="shared" si="39"/>
        <v>-4.1813602015113444E-2</v>
      </c>
      <c r="S226" s="11">
        <f t="shared" si="40"/>
        <v>-4.6228807743852931E-3</v>
      </c>
      <c r="T226" s="11">
        <f t="shared" si="41"/>
        <v>-9.1743287602050264E-3</v>
      </c>
      <c r="U226" s="11">
        <f t="shared" si="33"/>
        <v>-1.6967586488764702E-2</v>
      </c>
      <c r="V226" s="11" cm="1">
        <f t="array" ref="V226">SUMPRODUCT(L226:T226,TRANSPOSE($Y$5:$Y$13))</f>
        <v>-1.6188260715908731E-2</v>
      </c>
    </row>
    <row r="227" spans="1:22" x14ac:dyDescent="0.2">
      <c r="A227" s="1">
        <v>44105</v>
      </c>
      <c r="B227" s="3">
        <v>55.43</v>
      </c>
      <c r="C227" s="3">
        <v>18.176666000000001</v>
      </c>
      <c r="D227" s="3">
        <v>24.32</v>
      </c>
      <c r="E227" s="3">
        <v>57.119999</v>
      </c>
      <c r="F227" s="3">
        <v>29.264272999999999</v>
      </c>
      <c r="G227" s="3">
        <v>20.549999</v>
      </c>
      <c r="H227" s="3">
        <v>19.850000000000001</v>
      </c>
      <c r="I227" s="3">
        <v>38.041431000000003</v>
      </c>
      <c r="J227" s="3">
        <v>58.860000999999997</v>
      </c>
      <c r="L227" s="11">
        <f t="shared" si="32"/>
        <v>2.0058888479941042E-2</v>
      </c>
      <c r="M227" s="11">
        <f t="shared" si="34"/>
        <v>-8.7256865561056805E-3</v>
      </c>
      <c r="N227" s="11">
        <f t="shared" si="35"/>
        <v>2.1848782430621137E-2</v>
      </c>
      <c r="O227" s="11">
        <f t="shared" si="36"/>
        <v>7.9407272963023627E-3</v>
      </c>
      <c r="P227" s="11">
        <f t="shared" si="37"/>
        <v>3.3110304466035197E-2</v>
      </c>
      <c r="Q227" s="11">
        <f t="shared" si="38"/>
        <v>5.7642768914050437E-2</v>
      </c>
      <c r="R227" s="11">
        <f t="shared" si="39"/>
        <v>1.2238602129597084E-2</v>
      </c>
      <c r="S227" s="11">
        <f t="shared" si="40"/>
        <v>4.1297242226354343E-2</v>
      </c>
      <c r="T227" s="11">
        <f t="shared" si="41"/>
        <v>-4.2294027367720741E-3</v>
      </c>
      <c r="U227" s="11">
        <f t="shared" si="33"/>
        <v>2.0131358516669313E-2</v>
      </c>
      <c r="V227" s="11" cm="1">
        <f t="array" ref="V227">SUMPRODUCT(L227:T227,TRANSPOSE($Y$5:$Y$13))</f>
        <v>1.7695282391325177E-2</v>
      </c>
    </row>
    <row r="228" spans="1:22" x14ac:dyDescent="0.2">
      <c r="A228" s="1">
        <v>44104</v>
      </c>
      <c r="B228" s="3">
        <v>54.34</v>
      </c>
      <c r="C228" s="3">
        <v>18.336666000000001</v>
      </c>
      <c r="D228" s="3">
        <v>23.799999</v>
      </c>
      <c r="E228" s="3">
        <v>56.669998</v>
      </c>
      <c r="F228" s="3">
        <v>28.326377999999998</v>
      </c>
      <c r="G228" s="3">
        <v>19.43</v>
      </c>
      <c r="H228" s="3">
        <v>19.610001</v>
      </c>
      <c r="I228" s="3">
        <v>36.532730000000001</v>
      </c>
      <c r="J228" s="3">
        <v>59.110000999999997</v>
      </c>
      <c r="L228" s="11">
        <f t="shared" si="32"/>
        <v>1.855673921487315E-2</v>
      </c>
      <c r="M228" s="11">
        <f t="shared" si="34"/>
        <v>2.5349469251621085E-2</v>
      </c>
      <c r="N228" s="11">
        <f t="shared" si="35"/>
        <v>-8.3333750000000126E-3</v>
      </c>
      <c r="O228" s="11">
        <f t="shared" si="36"/>
        <v>-2.1131008608363464E-3</v>
      </c>
      <c r="P228" s="11">
        <f t="shared" si="37"/>
        <v>7.0496367555870627E-4</v>
      </c>
      <c r="Q228" s="11">
        <f t="shared" si="38"/>
        <v>1.1452421210433165E-2</v>
      </c>
      <c r="R228" s="11">
        <f t="shared" si="39"/>
        <v>1.5536096091978006E-2</v>
      </c>
      <c r="S228" s="11">
        <f t="shared" si="40"/>
        <v>2.0309839496945128E-3</v>
      </c>
      <c r="T228" s="11">
        <f t="shared" si="41"/>
        <v>1.3024901903167118E-2</v>
      </c>
      <c r="U228" s="11">
        <f t="shared" si="33"/>
        <v>8.4676777151654874E-3</v>
      </c>
      <c r="V228" s="11" cm="1">
        <f t="array" ref="V228">SUMPRODUCT(L228:T228,TRANSPOSE($Y$5:$Y$13))</f>
        <v>8.9234001339656491E-3</v>
      </c>
    </row>
    <row r="229" spans="1:22" x14ac:dyDescent="0.2">
      <c r="A229" s="1">
        <v>44103</v>
      </c>
      <c r="B229" s="3">
        <v>53.349997999999999</v>
      </c>
      <c r="C229" s="3">
        <v>17.883333</v>
      </c>
      <c r="D229" s="3">
        <v>24</v>
      </c>
      <c r="E229" s="3">
        <v>56.790000999999997</v>
      </c>
      <c r="F229" s="3">
        <v>28.306422999999999</v>
      </c>
      <c r="G229" s="3">
        <v>19.209999</v>
      </c>
      <c r="H229" s="3">
        <v>19.309999000000001</v>
      </c>
      <c r="I229" s="3">
        <v>36.458683000000001</v>
      </c>
      <c r="J229" s="3">
        <v>58.349997999999999</v>
      </c>
      <c r="L229" s="11">
        <f t="shared" si="32"/>
        <v>8.506540321113764E-3</v>
      </c>
      <c r="M229" s="11">
        <f t="shared" si="34"/>
        <v>-2.4722760397119119E-2</v>
      </c>
      <c r="N229" s="11">
        <f t="shared" si="35"/>
        <v>7.9798827375002716E-3</v>
      </c>
      <c r="O229" s="11">
        <f t="shared" si="36"/>
        <v>2.4712973531756627E-3</v>
      </c>
      <c r="P229" s="11">
        <f t="shared" si="37"/>
        <v>2.0503573818176118E-2</v>
      </c>
      <c r="Q229" s="11">
        <f t="shared" si="38"/>
        <v>-1.0813645726055709E-2</v>
      </c>
      <c r="R229" s="11">
        <f t="shared" si="39"/>
        <v>-1.6301580045928694E-2</v>
      </c>
      <c r="S229" s="11">
        <f t="shared" si="40"/>
        <v>-1.0052834025696898E-2</v>
      </c>
      <c r="T229" s="11">
        <f t="shared" si="41"/>
        <v>-7.3154305429640656E-3</v>
      </c>
      <c r="U229" s="11">
        <f t="shared" si="33"/>
        <v>-3.304995167533185E-3</v>
      </c>
      <c r="V229" s="11" cm="1">
        <f t="array" ref="V229">SUMPRODUCT(L229:T229,TRANSPOSE($Y$5:$Y$13))</f>
        <v>-3.7060387050762734E-3</v>
      </c>
    </row>
    <row r="230" spans="1:22" x14ac:dyDescent="0.2">
      <c r="A230" s="1">
        <v>44102</v>
      </c>
      <c r="B230" s="3">
        <v>52.900002000000001</v>
      </c>
      <c r="C230" s="3">
        <v>18.336666000000001</v>
      </c>
      <c r="D230" s="3">
        <v>23.809999000000001</v>
      </c>
      <c r="E230" s="3">
        <v>56.650002000000001</v>
      </c>
      <c r="F230" s="3">
        <v>27.737701000000001</v>
      </c>
      <c r="G230" s="3">
        <v>19.420000000000002</v>
      </c>
      <c r="H230" s="3">
        <v>19.629999000000002</v>
      </c>
      <c r="I230" s="3">
        <v>36.828918000000002</v>
      </c>
      <c r="J230" s="3">
        <v>58.779998999999997</v>
      </c>
      <c r="L230" s="11">
        <f t="shared" si="32"/>
        <v>-3.0069654747531011E-2</v>
      </c>
      <c r="M230" s="11">
        <f t="shared" si="34"/>
        <v>-4.0802144013911974E-2</v>
      </c>
      <c r="N230" s="11">
        <f t="shared" si="35"/>
        <v>-3.014256741924912E-2</v>
      </c>
      <c r="O230" s="11">
        <f t="shared" si="36"/>
        <v>-3.9830474576271174E-2</v>
      </c>
      <c r="P230" s="11">
        <f t="shared" si="37"/>
        <v>-4.2699718052735335E-2</v>
      </c>
      <c r="Q230" s="11">
        <f t="shared" si="38"/>
        <v>-3.4791300457688683E-2</v>
      </c>
      <c r="R230" s="11">
        <f t="shared" si="39"/>
        <v>-2.4838550662620498E-2</v>
      </c>
      <c r="S230" s="11">
        <f t="shared" si="40"/>
        <v>-3.7493914903755983E-2</v>
      </c>
      <c r="T230" s="11">
        <f t="shared" si="41"/>
        <v>-7.9325063291139815E-3</v>
      </c>
      <c r="U230" s="11">
        <f t="shared" si="33"/>
        <v>-3.2066759018097531E-2</v>
      </c>
      <c r="V230" s="11" cm="1">
        <f t="array" ref="V230">SUMPRODUCT(L230:T230,TRANSPOSE($Y$5:$Y$13))</f>
        <v>-2.9653333749199175E-2</v>
      </c>
    </row>
    <row r="231" spans="1:22" x14ac:dyDescent="0.2">
      <c r="A231" s="1">
        <v>44099</v>
      </c>
      <c r="B231" s="3">
        <v>54.540000999999997</v>
      </c>
      <c r="C231" s="3">
        <v>19.116667</v>
      </c>
      <c r="D231" s="3">
        <v>24.549999</v>
      </c>
      <c r="E231" s="3">
        <v>59</v>
      </c>
      <c r="F231" s="3">
        <v>28.974921999999999</v>
      </c>
      <c r="G231" s="3">
        <v>20.120000999999998</v>
      </c>
      <c r="H231" s="3">
        <v>20.129999000000002</v>
      </c>
      <c r="I231" s="3">
        <v>38.263568999999997</v>
      </c>
      <c r="J231" s="3">
        <v>59.25</v>
      </c>
      <c r="L231" s="11">
        <f t="shared" si="32"/>
        <v>1.1873821451806179E-2</v>
      </c>
      <c r="M231" s="11">
        <f t="shared" si="34"/>
        <v>-2.7471545785027921E-2</v>
      </c>
      <c r="N231" s="11">
        <f t="shared" si="35"/>
        <v>4.9119525173966418E-3</v>
      </c>
      <c r="O231" s="11">
        <f t="shared" si="36"/>
        <v>1.7416760909923803E-2</v>
      </c>
      <c r="P231" s="11">
        <f t="shared" si="37"/>
        <v>5.5401507276642767E-3</v>
      </c>
      <c r="Q231" s="11">
        <f t="shared" si="38"/>
        <v>-2.989387656702025E-2</v>
      </c>
      <c r="R231" s="11">
        <f t="shared" si="39"/>
        <v>-1.3235343137254758E-2</v>
      </c>
      <c r="S231" s="11">
        <f t="shared" si="40"/>
        <v>2.6679590600588838E-3</v>
      </c>
      <c r="T231" s="11">
        <f t="shared" si="41"/>
        <v>1.0057961131946871E-2</v>
      </c>
      <c r="U231" s="11">
        <f t="shared" si="33"/>
        <v>-2.0146844100562534E-3</v>
      </c>
      <c r="V231" s="11" cm="1">
        <f t="array" ref="V231">SUMPRODUCT(L231:T231,TRANSPOSE($Y$5:$Y$13))</f>
        <v>-8.0741985585594056E-4</v>
      </c>
    </row>
    <row r="232" spans="1:22" x14ac:dyDescent="0.2">
      <c r="A232" s="1">
        <v>44098</v>
      </c>
      <c r="B232" s="3">
        <v>53.900002000000001</v>
      </c>
      <c r="C232" s="3">
        <v>19.656666000000001</v>
      </c>
      <c r="D232" s="3">
        <v>24.43</v>
      </c>
      <c r="E232" s="3">
        <v>57.990001999999997</v>
      </c>
      <c r="F232" s="3">
        <v>28.815280999999999</v>
      </c>
      <c r="G232" s="3">
        <v>20.74</v>
      </c>
      <c r="H232" s="3">
        <v>20.399999999999999</v>
      </c>
      <c r="I232" s="3">
        <v>38.161754999999999</v>
      </c>
      <c r="J232" s="3">
        <v>58.66</v>
      </c>
      <c r="L232" s="11">
        <f t="shared" si="32"/>
        <v>4.6598320723268563E-3</v>
      </c>
      <c r="M232" s="11">
        <f t="shared" si="34"/>
        <v>5.5108269195290868E-2</v>
      </c>
      <c r="N232" s="11">
        <f t="shared" si="35"/>
        <v>7.0074196207748612E-3</v>
      </c>
      <c r="O232" s="11">
        <f t="shared" si="36"/>
        <v>-1.661860239751406E-2</v>
      </c>
      <c r="P232" s="11">
        <f t="shared" si="37"/>
        <v>3.4635982317698282E-4</v>
      </c>
      <c r="Q232" s="11">
        <f t="shared" si="38"/>
        <v>-3.3637195273292808E-3</v>
      </c>
      <c r="R232" s="11">
        <f t="shared" si="39"/>
        <v>8.4033613445377228E-3</v>
      </c>
      <c r="S232" s="11">
        <f t="shared" si="40"/>
        <v>1.8527704240843736E-2</v>
      </c>
      <c r="T232" s="11">
        <f t="shared" si="41"/>
        <v>-7.4449748712343911E-3</v>
      </c>
      <c r="U232" s="11">
        <f t="shared" si="33"/>
        <v>7.4028499445414776E-3</v>
      </c>
      <c r="V232" s="11" cm="1">
        <f t="array" ref="V232">SUMPRODUCT(L232:T232,TRANSPOSE($Y$5:$Y$13))</f>
        <v>5.9180674629638911E-3</v>
      </c>
    </row>
    <row r="233" spans="1:22" x14ac:dyDescent="0.2">
      <c r="A233" s="1">
        <v>44097</v>
      </c>
      <c r="B233" s="3">
        <v>53.650002000000001</v>
      </c>
      <c r="C233" s="3">
        <v>18.629999000000002</v>
      </c>
      <c r="D233" s="3">
        <v>24.26</v>
      </c>
      <c r="E233" s="3">
        <v>58.970001000000003</v>
      </c>
      <c r="F233" s="3">
        <v>28.805304</v>
      </c>
      <c r="G233" s="3">
        <v>20.809999000000001</v>
      </c>
      <c r="H233" s="3">
        <v>20.23</v>
      </c>
      <c r="I233" s="3">
        <v>37.467567000000003</v>
      </c>
      <c r="J233" s="3">
        <v>59.099997999999999</v>
      </c>
      <c r="L233" s="11">
        <f t="shared" si="32"/>
        <v>-2.7198548424350013E-2</v>
      </c>
      <c r="M233" s="11">
        <f t="shared" si="34"/>
        <v>-2.5627718324909971E-2</v>
      </c>
      <c r="N233" s="11">
        <f t="shared" si="35"/>
        <v>-2.8771064529386245E-3</v>
      </c>
      <c r="O233" s="11">
        <f t="shared" si="36"/>
        <v>0.1397371225459173</v>
      </c>
      <c r="P233" s="11">
        <f t="shared" si="37"/>
        <v>-9.2655479780236697E-3</v>
      </c>
      <c r="Q233" s="11">
        <f t="shared" si="38"/>
        <v>-2.5749156097885913E-2</v>
      </c>
      <c r="R233" s="11">
        <f t="shared" si="39"/>
        <v>-2.7403799394413397E-2</v>
      </c>
      <c r="S233" s="11">
        <f t="shared" si="40"/>
        <v>-1.0510947015983008E-2</v>
      </c>
      <c r="T233" s="11">
        <f t="shared" si="41"/>
        <v>2.2314426183801649E-2</v>
      </c>
      <c r="U233" s="11">
        <f t="shared" si="33"/>
        <v>3.7131916712460386E-3</v>
      </c>
      <c r="V233" s="11" cm="1">
        <f t="array" ref="V233">SUMPRODUCT(L233:T233,TRANSPOSE($Y$5:$Y$13))</f>
        <v>5.5733151225015997E-3</v>
      </c>
    </row>
    <row r="234" spans="1:22" x14ac:dyDescent="0.2">
      <c r="A234" s="1">
        <v>44096</v>
      </c>
      <c r="B234" s="3">
        <v>55.150002000000001</v>
      </c>
      <c r="C234" s="3">
        <v>19.120000999999998</v>
      </c>
      <c r="D234" s="3">
        <v>24.33</v>
      </c>
      <c r="E234" s="3">
        <v>51.740001999999997</v>
      </c>
      <c r="F234" s="3">
        <v>29.074697</v>
      </c>
      <c r="G234" s="3">
        <v>21.360001</v>
      </c>
      <c r="H234" s="3">
        <v>20.799999</v>
      </c>
      <c r="I234" s="3">
        <v>37.865569999999998</v>
      </c>
      <c r="J234" s="3">
        <v>57.810001</v>
      </c>
      <c r="L234" s="11">
        <f t="shared" si="32"/>
        <v>1.9408577427304181E-2</v>
      </c>
      <c r="M234" s="11">
        <f t="shared" si="34"/>
        <v>2.2459891847064508E-2</v>
      </c>
      <c r="N234" s="11">
        <f t="shared" si="35"/>
        <v>-1.8159845917681775E-2</v>
      </c>
      <c r="O234" s="11">
        <f t="shared" si="36"/>
        <v>1.8303502887157926E-2</v>
      </c>
      <c r="P234" s="11">
        <f t="shared" si="37"/>
        <v>-1.1868408252444507E-2</v>
      </c>
      <c r="Q234" s="11">
        <f t="shared" si="38"/>
        <v>-3.7313431095454845E-3</v>
      </c>
      <c r="R234" s="11">
        <f t="shared" si="39"/>
        <v>-4.7847368421052106E-3</v>
      </c>
      <c r="S234" s="11">
        <f t="shared" si="40"/>
        <v>-1.7081040545913273E-3</v>
      </c>
      <c r="T234" s="11">
        <f t="shared" si="41"/>
        <v>-3.649998333333334E-2</v>
      </c>
      <c r="U234" s="11">
        <f t="shared" si="33"/>
        <v>-1.8422721497972257E-3</v>
      </c>
      <c r="V234" s="11" cm="1">
        <f t="array" ref="V234">SUMPRODUCT(L234:T234,TRANSPOSE($Y$5:$Y$13))</f>
        <v>-5.3080432681508367E-3</v>
      </c>
    </row>
    <row r="235" spans="1:22" x14ac:dyDescent="0.2">
      <c r="A235" s="1">
        <v>44095</v>
      </c>
      <c r="B235" s="3">
        <v>54.099997999999999</v>
      </c>
      <c r="C235" s="3">
        <v>18.700001</v>
      </c>
      <c r="D235" s="3">
        <v>24.780000999999999</v>
      </c>
      <c r="E235" s="3">
        <v>50.810001</v>
      </c>
      <c r="F235" s="3">
        <v>29.423912000000001</v>
      </c>
      <c r="G235" s="3">
        <v>21.440000999999999</v>
      </c>
      <c r="H235" s="3">
        <v>20.9</v>
      </c>
      <c r="I235" s="3">
        <v>37.930359000000003</v>
      </c>
      <c r="J235" s="3">
        <v>60</v>
      </c>
      <c r="L235" s="11">
        <f t="shared" si="32"/>
        <v>-7.3394862385321221E-3</v>
      </c>
      <c r="M235" s="11">
        <f t="shared" si="34"/>
        <v>-5.3436667741134077E-4</v>
      </c>
      <c r="N235" s="11">
        <f t="shared" si="35"/>
        <v>-2.0940261593846866E-2</v>
      </c>
      <c r="O235" s="11">
        <f t="shared" si="36"/>
        <v>-3.5863376928588681E-2</v>
      </c>
      <c r="P235" s="11">
        <f t="shared" si="37"/>
        <v>3.0612139845097018E-3</v>
      </c>
      <c r="Q235" s="11">
        <f t="shared" si="38"/>
        <v>-2.8545491617580496E-2</v>
      </c>
      <c r="R235" s="11">
        <f t="shared" si="39"/>
        <v>-3.4642032332563515E-2</v>
      </c>
      <c r="S235" s="11">
        <f t="shared" si="40"/>
        <v>2.0926754783681657E-2</v>
      </c>
      <c r="T235" s="11">
        <f t="shared" si="41"/>
        <v>-2.6921829386960697E-2</v>
      </c>
      <c r="U235" s="11">
        <f t="shared" si="33"/>
        <v>-1.4533208445254707E-2</v>
      </c>
      <c r="V235" s="11" cm="1">
        <f t="array" ref="V235">SUMPRODUCT(L235:T235,TRANSPOSE($Y$5:$Y$13))</f>
        <v>-1.5772070539425306E-2</v>
      </c>
    </row>
    <row r="236" spans="1:22" x14ac:dyDescent="0.2">
      <c r="A236" s="1">
        <v>44092</v>
      </c>
      <c r="B236" s="3">
        <v>54.5</v>
      </c>
      <c r="C236" s="3">
        <v>18.709999</v>
      </c>
      <c r="D236" s="3">
        <v>25.309999000000001</v>
      </c>
      <c r="E236" s="3">
        <v>52.700001</v>
      </c>
      <c r="F236" s="3">
        <v>29.334114</v>
      </c>
      <c r="G236" s="3">
        <v>22.07</v>
      </c>
      <c r="H236" s="3">
        <v>21.65</v>
      </c>
      <c r="I236" s="3">
        <v>37.15287</v>
      </c>
      <c r="J236" s="3">
        <v>61.66</v>
      </c>
      <c r="L236" s="11">
        <f t="shared" si="32"/>
        <v>-3.0249127575638305E-2</v>
      </c>
      <c r="M236" s="11">
        <f t="shared" si="34"/>
        <v>-9.7036346101557931E-3</v>
      </c>
      <c r="N236" s="11">
        <f t="shared" si="35"/>
        <v>-3.9354978354977921E-3</v>
      </c>
      <c r="O236" s="11">
        <f t="shared" si="36"/>
        <v>-4.7214352271683618E-3</v>
      </c>
      <c r="P236" s="11">
        <f t="shared" si="37"/>
        <v>-2.3580242458989153E-2</v>
      </c>
      <c r="Q236" s="11">
        <f t="shared" si="38"/>
        <v>-3.6665211697948487E-2</v>
      </c>
      <c r="R236" s="11">
        <f t="shared" si="39"/>
        <v>-2.2573363431151242E-2</v>
      </c>
      <c r="S236" s="11">
        <f t="shared" si="40"/>
        <v>-2.7144932581245628E-2</v>
      </c>
      <c r="T236" s="11">
        <f t="shared" si="41"/>
        <v>-6.7654959160601148E-3</v>
      </c>
      <c r="U236" s="11">
        <f t="shared" si="33"/>
        <v>-1.8370993481539432E-2</v>
      </c>
      <c r="V236" s="11" cm="1">
        <f t="array" ref="V236">SUMPRODUCT(L236:T236,TRANSPOSE($Y$5:$Y$13))</f>
        <v>-1.7210443724991496E-2</v>
      </c>
    </row>
    <row r="237" spans="1:22" x14ac:dyDescent="0.2">
      <c r="A237" s="1">
        <v>44091</v>
      </c>
      <c r="B237" s="3">
        <v>56.200001</v>
      </c>
      <c r="C237" s="3">
        <v>18.893332999999998</v>
      </c>
      <c r="D237" s="3">
        <v>25.41</v>
      </c>
      <c r="E237" s="3">
        <v>52.950001</v>
      </c>
      <c r="F237" s="3">
        <v>30.042524</v>
      </c>
      <c r="G237" s="3">
        <v>22.91</v>
      </c>
      <c r="H237" s="3">
        <v>22.15</v>
      </c>
      <c r="I237" s="3">
        <v>38.189521999999997</v>
      </c>
      <c r="J237" s="3">
        <v>62.080002</v>
      </c>
      <c r="L237" s="11">
        <f t="shared" si="32"/>
        <v>-8.9930877974447338E-3</v>
      </c>
      <c r="M237" s="11">
        <f t="shared" si="34"/>
        <v>-5.9628027345774793E-3</v>
      </c>
      <c r="N237" s="11">
        <f t="shared" si="35"/>
        <v>1.3562026326286392E-2</v>
      </c>
      <c r="O237" s="11">
        <f t="shared" si="36"/>
        <v>5.125303720577081E-3</v>
      </c>
      <c r="P237" s="11">
        <f t="shared" si="37"/>
        <v>-2.4935250786582951E-2</v>
      </c>
      <c r="Q237" s="11">
        <f t="shared" si="38"/>
        <v>-9.0830878424269252E-3</v>
      </c>
      <c r="R237" s="11">
        <f t="shared" si="39"/>
        <v>1.9328117809479895E-2</v>
      </c>
      <c r="S237" s="11">
        <f t="shared" si="40"/>
        <v>2.4240270504121976E-4</v>
      </c>
      <c r="T237" s="11">
        <f t="shared" si="41"/>
        <v>1.8205691025000914E-2</v>
      </c>
      <c r="U237" s="11">
        <f t="shared" si="33"/>
        <v>8.3214582503926776E-4</v>
      </c>
      <c r="V237" s="11" cm="1">
        <f t="array" ref="V237">SUMPRODUCT(L237:T237,TRANSPOSE($Y$5:$Y$13))</f>
        <v>2.5695003450354327E-3</v>
      </c>
    </row>
    <row r="238" spans="1:22" x14ac:dyDescent="0.2">
      <c r="A238" s="1">
        <v>44090</v>
      </c>
      <c r="B238" s="3">
        <v>56.709999000000003</v>
      </c>
      <c r="C238" s="3">
        <v>19.006665999999999</v>
      </c>
      <c r="D238" s="3">
        <v>25.07</v>
      </c>
      <c r="E238" s="3">
        <v>52.68</v>
      </c>
      <c r="F238" s="3">
        <v>30.810798999999999</v>
      </c>
      <c r="G238" s="3">
        <v>23.120000999999998</v>
      </c>
      <c r="H238" s="3">
        <v>21.73</v>
      </c>
      <c r="I238" s="3">
        <v>38.180267000000001</v>
      </c>
      <c r="J238" s="3">
        <v>60.970001000000003</v>
      </c>
      <c r="L238" s="11">
        <f t="shared" si="32"/>
        <v>-1.459600372886186E-2</v>
      </c>
      <c r="M238" s="11">
        <f t="shared" si="34"/>
        <v>-4.5390715460246027E-3</v>
      </c>
      <c r="N238" s="11">
        <f t="shared" si="35"/>
        <v>-1.6862745098039204E-2</v>
      </c>
      <c r="O238" s="11">
        <f t="shared" si="36"/>
        <v>-2.6505111700113699E-3</v>
      </c>
      <c r="P238" s="11">
        <f t="shared" si="37"/>
        <v>-1.2156096321677004E-2</v>
      </c>
      <c r="Q238" s="11">
        <f t="shared" si="38"/>
        <v>2.3461752988047747E-2</v>
      </c>
      <c r="R238" s="11">
        <f t="shared" si="39"/>
        <v>2.7688047992615928E-3</v>
      </c>
      <c r="S238" s="11">
        <f t="shared" si="40"/>
        <v>-7.2675812823145159E-4</v>
      </c>
      <c r="T238" s="11">
        <f t="shared" si="41"/>
        <v>-2.6038291566718514E-2</v>
      </c>
      <c r="U238" s="11">
        <f t="shared" si="33"/>
        <v>-5.7043244191394065E-3</v>
      </c>
      <c r="V238" s="11" cm="1">
        <f t="array" ref="V238">SUMPRODUCT(L238:T238,TRANSPOSE($Y$5:$Y$13))</f>
        <v>-7.7377211338973181E-3</v>
      </c>
    </row>
    <row r="239" spans="1:22" x14ac:dyDescent="0.2">
      <c r="A239" s="1">
        <v>44089</v>
      </c>
      <c r="B239" s="3">
        <v>57.549999</v>
      </c>
      <c r="C239" s="3">
        <v>19.093332</v>
      </c>
      <c r="D239" s="3">
        <v>25.5</v>
      </c>
      <c r="E239" s="3">
        <v>52.82</v>
      </c>
      <c r="F239" s="3">
        <v>31.189947</v>
      </c>
      <c r="G239" s="3">
        <v>22.59</v>
      </c>
      <c r="H239" s="3">
        <v>21.67</v>
      </c>
      <c r="I239" s="3">
        <v>38.208035000000002</v>
      </c>
      <c r="J239" s="3">
        <v>62.599997999999999</v>
      </c>
      <c r="L239" s="11">
        <f t="shared" si="32"/>
        <v>6.6468604739150072E-3</v>
      </c>
      <c r="M239" s="11">
        <f t="shared" si="34"/>
        <v>-2.4689290811826654E-2</v>
      </c>
      <c r="N239" s="11">
        <f t="shared" si="35"/>
        <v>3.155343978776045E-2</v>
      </c>
      <c r="O239" s="11">
        <f t="shared" si="36"/>
        <v>-1.8932424041929937E-4</v>
      </c>
      <c r="P239" s="11">
        <f t="shared" si="37"/>
        <v>3.5313165526352683E-3</v>
      </c>
      <c r="Q239" s="11">
        <f t="shared" si="38"/>
        <v>-4.8458588173630676E-3</v>
      </c>
      <c r="R239" s="11">
        <f t="shared" si="39"/>
        <v>-4.6125461254603372E-4</v>
      </c>
      <c r="S239" s="11">
        <f t="shared" si="40"/>
        <v>-1.4326689624069338E-2</v>
      </c>
      <c r="T239" s="11">
        <f t="shared" si="41"/>
        <v>1.1145178484897477E-2</v>
      </c>
      <c r="U239" s="11">
        <f t="shared" si="33"/>
        <v>9.2937524366486723E-4</v>
      </c>
      <c r="V239" s="11" cm="1">
        <f t="array" ref="V239">SUMPRODUCT(L239:T239,TRANSPOSE($Y$5:$Y$13))</f>
        <v>1.9509555677881282E-3</v>
      </c>
    </row>
    <row r="240" spans="1:22" x14ac:dyDescent="0.2">
      <c r="A240" s="1">
        <v>44088</v>
      </c>
      <c r="B240" s="3">
        <v>57.169998</v>
      </c>
      <c r="C240" s="3">
        <v>19.576665999999999</v>
      </c>
      <c r="D240" s="3">
        <v>24.719999000000001</v>
      </c>
      <c r="E240" s="3">
        <v>52.830002</v>
      </c>
      <c r="F240" s="3">
        <v>31.080193000000001</v>
      </c>
      <c r="G240" s="3">
        <v>22.700001</v>
      </c>
      <c r="H240" s="3">
        <v>21.68</v>
      </c>
      <c r="I240" s="3">
        <v>38.763385999999997</v>
      </c>
      <c r="J240" s="3">
        <v>61.91</v>
      </c>
      <c r="L240" s="11">
        <f t="shared" si="32"/>
        <v>2.5470816143497752E-2</v>
      </c>
      <c r="M240" s="11">
        <f t="shared" si="34"/>
        <v>4.8375619305649417E-2</v>
      </c>
      <c r="N240" s="11">
        <f t="shared" si="35"/>
        <v>2.1487519773243029E-2</v>
      </c>
      <c r="O240" s="11">
        <f t="shared" si="36"/>
        <v>4.531066392341393E-2</v>
      </c>
      <c r="P240" s="11">
        <f t="shared" si="37"/>
        <v>5.6290305653442674E-2</v>
      </c>
      <c r="Q240" s="11">
        <f t="shared" si="38"/>
        <v>4.2719384474046891E-2</v>
      </c>
      <c r="R240" s="11">
        <f t="shared" si="39"/>
        <v>-9.1407225384243299E-3</v>
      </c>
      <c r="S240" s="11">
        <f t="shared" si="40"/>
        <v>1.11058027186667E-2</v>
      </c>
      <c r="T240" s="11">
        <f t="shared" si="41"/>
        <v>-6.4569813324141399E-4</v>
      </c>
      <c r="U240" s="11">
        <f t="shared" si="33"/>
        <v>2.677485459114385E-2</v>
      </c>
      <c r="V240" s="11" cm="1">
        <f t="array" ref="V240">SUMPRODUCT(L240:T240,TRANSPOSE($Y$5:$Y$13))</f>
        <v>2.4032799318705327E-2</v>
      </c>
    </row>
    <row r="241" spans="1:22" x14ac:dyDescent="0.2">
      <c r="A241" s="1">
        <v>44085</v>
      </c>
      <c r="B241" s="3">
        <v>55.75</v>
      </c>
      <c r="C241" s="3">
        <v>18.673331999999998</v>
      </c>
      <c r="D241" s="3">
        <v>24.200001</v>
      </c>
      <c r="E241" s="3">
        <v>50.540000999999997</v>
      </c>
      <c r="F241" s="3">
        <v>29.423912000000001</v>
      </c>
      <c r="G241" s="3">
        <v>21.77</v>
      </c>
      <c r="H241" s="3">
        <v>21.879999000000002</v>
      </c>
      <c r="I241" s="3">
        <v>38.337615999999997</v>
      </c>
      <c r="J241" s="3">
        <v>61.950001</v>
      </c>
      <c r="L241" s="11">
        <f t="shared" si="32"/>
        <v>-2.1242960344855403E-2</v>
      </c>
      <c r="M241" s="11">
        <f t="shared" si="34"/>
        <v>3.5710715561092552E-4</v>
      </c>
      <c r="N241" s="11">
        <f t="shared" si="35"/>
        <v>-1.3452914249779211E-2</v>
      </c>
      <c r="O241" s="11">
        <f t="shared" si="36"/>
        <v>-2.6579296093193282E-2</v>
      </c>
      <c r="P241" s="11">
        <f t="shared" si="37"/>
        <v>-2.1890582391039165E-2</v>
      </c>
      <c r="Q241" s="11">
        <f t="shared" si="38"/>
        <v>-2.4641577060931931E-2</v>
      </c>
      <c r="R241" s="11">
        <f t="shared" si="39"/>
        <v>-1.0849999509493556E-2</v>
      </c>
      <c r="S241" s="11">
        <f t="shared" si="40"/>
        <v>-1.3809531575671854E-2</v>
      </c>
      <c r="T241" s="11">
        <f t="shared" si="41"/>
        <v>5.8431608720854476E-2</v>
      </c>
      <c r="U241" s="11">
        <f t="shared" si="33"/>
        <v>-8.1864605942776648E-3</v>
      </c>
      <c r="V241" s="11" cm="1">
        <f t="array" ref="V241">SUMPRODUCT(L241:T241,TRANSPOSE($Y$5:$Y$13))</f>
        <v>-1.5246536627644518E-3</v>
      </c>
    </row>
    <row r="242" spans="1:22" x14ac:dyDescent="0.2">
      <c r="A242" s="1">
        <v>44084</v>
      </c>
      <c r="B242" s="3">
        <v>56.959999000000003</v>
      </c>
      <c r="C242" s="3">
        <v>18.666665999999999</v>
      </c>
      <c r="D242" s="3">
        <v>24.530000999999999</v>
      </c>
      <c r="E242" s="3">
        <v>51.919998</v>
      </c>
      <c r="F242" s="3">
        <v>30.082433999999999</v>
      </c>
      <c r="G242" s="3">
        <v>22.32</v>
      </c>
      <c r="H242" s="3">
        <v>22.120000999999998</v>
      </c>
      <c r="I242" s="3">
        <v>38.874454</v>
      </c>
      <c r="J242" s="3">
        <v>58.529998999999997</v>
      </c>
      <c r="L242" s="11">
        <f t="shared" si="32"/>
        <v>-5.4134871236551453E-2</v>
      </c>
      <c r="M242" s="11">
        <f t="shared" si="34"/>
        <v>-3.8791658084449142E-2</v>
      </c>
      <c r="N242" s="11">
        <f t="shared" si="35"/>
        <v>-1.2479830917874446E-2</v>
      </c>
      <c r="O242" s="11">
        <f t="shared" si="36"/>
        <v>-5.3763460064943695E-2</v>
      </c>
      <c r="P242" s="11">
        <f t="shared" si="37"/>
        <v>-2.458751707279579E-2</v>
      </c>
      <c r="Q242" s="11">
        <f t="shared" si="38"/>
        <v>-2.1052588642657369E-2</v>
      </c>
      <c r="R242" s="11">
        <f t="shared" si="39"/>
        <v>-2.6836735591729079E-2</v>
      </c>
      <c r="S242" s="11">
        <f t="shared" si="40"/>
        <v>-3.4260736767925529E-2</v>
      </c>
      <c r="T242" s="11">
        <f t="shared" si="41"/>
        <v>-2.4500016666666725E-2</v>
      </c>
      <c r="U242" s="11">
        <f t="shared" si="33"/>
        <v>-3.2267490560621476E-2</v>
      </c>
      <c r="V242" s="11" cm="1">
        <f t="array" ref="V242">SUMPRODUCT(L242:T242,TRANSPOSE($Y$5:$Y$13))</f>
        <v>-3.1490743171225993E-2</v>
      </c>
    </row>
    <row r="243" spans="1:22" x14ac:dyDescent="0.2">
      <c r="A243" s="1">
        <v>44083</v>
      </c>
      <c r="B243" s="3">
        <v>60.220001000000003</v>
      </c>
      <c r="C243" s="3">
        <v>19.420000000000002</v>
      </c>
      <c r="D243" s="3">
        <v>24.84</v>
      </c>
      <c r="E243" s="3">
        <v>54.869999</v>
      </c>
      <c r="F243" s="3">
        <v>30.840731000000002</v>
      </c>
      <c r="G243" s="3">
        <v>22.799999</v>
      </c>
      <c r="H243" s="3">
        <v>22.73</v>
      </c>
      <c r="I243" s="3">
        <v>40.253571000000001</v>
      </c>
      <c r="J243" s="3">
        <v>60</v>
      </c>
      <c r="L243" s="11">
        <f t="shared" si="32"/>
        <v>2.7294473341768627E-2</v>
      </c>
      <c r="M243" s="11">
        <f t="shared" si="34"/>
        <v>2.1388570924864899E-2</v>
      </c>
      <c r="N243" s="11">
        <f t="shared" si="35"/>
        <v>1.6782644289807618E-2</v>
      </c>
      <c r="O243" s="11">
        <f t="shared" si="36"/>
        <v>2.1217178485017741E-2</v>
      </c>
      <c r="P243" s="11">
        <f t="shared" si="37"/>
        <v>-1.9373735724264333E-3</v>
      </c>
      <c r="Q243" s="11">
        <f t="shared" si="38"/>
        <v>-1.5118833693304488E-2</v>
      </c>
      <c r="R243" s="11">
        <f t="shared" si="39"/>
        <v>2.1114106019766345E-2</v>
      </c>
      <c r="S243" s="11">
        <f t="shared" si="40"/>
        <v>-2.2993913318914208E-4</v>
      </c>
      <c r="T243" s="11">
        <f t="shared" si="41"/>
        <v>1.2316517631179295E-2</v>
      </c>
      <c r="U243" s="11">
        <f t="shared" si="33"/>
        <v>1.142526047705383E-2</v>
      </c>
      <c r="V243" s="11" cm="1">
        <f t="array" ref="V243">SUMPRODUCT(L243:T243,TRANSPOSE($Y$5:$Y$13))</f>
        <v>1.1514386192466376E-2</v>
      </c>
    </row>
    <row r="244" spans="1:22" x14ac:dyDescent="0.2">
      <c r="A244" s="1">
        <v>44082</v>
      </c>
      <c r="B244" s="3">
        <v>58.619999</v>
      </c>
      <c r="C244" s="3">
        <v>19.013331999999998</v>
      </c>
      <c r="D244" s="3">
        <v>24.43</v>
      </c>
      <c r="E244" s="3">
        <v>53.73</v>
      </c>
      <c r="F244" s="3">
        <v>30.900597000000001</v>
      </c>
      <c r="G244" s="3">
        <v>23.15</v>
      </c>
      <c r="H244" s="3">
        <v>22.26</v>
      </c>
      <c r="I244" s="3">
        <v>40.262829000000004</v>
      </c>
      <c r="J244" s="3">
        <v>59.27</v>
      </c>
      <c r="L244" s="11">
        <f t="shared" si="32"/>
        <v>-3.5696582162278419E-3</v>
      </c>
      <c r="M244" s="11">
        <f t="shared" si="34"/>
        <v>-2.2115601270625812E-2</v>
      </c>
      <c r="N244" s="11">
        <f t="shared" si="35"/>
        <v>-2.3190723710515865E-2</v>
      </c>
      <c r="O244" s="11">
        <f t="shared" si="36"/>
        <v>5.8719211822660038E-2</v>
      </c>
      <c r="P244" s="11">
        <f t="shared" si="37"/>
        <v>4.2153480983503295E-3</v>
      </c>
      <c r="Q244" s="11">
        <f t="shared" si="38"/>
        <v>4.0449438202247126E-2</v>
      </c>
      <c r="R244" s="11">
        <f t="shared" si="39"/>
        <v>-2.879581151832461E-2</v>
      </c>
      <c r="S244" s="11">
        <f t="shared" si="40"/>
        <v>-1.3157828946826532E-2</v>
      </c>
      <c r="T244" s="11">
        <f t="shared" si="41"/>
        <v>-2.0168655309351684E-2</v>
      </c>
      <c r="U244" s="11">
        <f t="shared" si="33"/>
        <v>-8.4603120540165057E-4</v>
      </c>
      <c r="V244" s="11" cm="1">
        <f t="array" ref="V244">SUMPRODUCT(L244:T244,TRANSPOSE($Y$5:$Y$13))</f>
        <v>-2.7782936157966539E-3</v>
      </c>
    </row>
    <row r="245" spans="1:22" x14ac:dyDescent="0.2">
      <c r="A245" s="1">
        <v>44078</v>
      </c>
      <c r="B245" s="3">
        <v>58.830002</v>
      </c>
      <c r="C245" s="3">
        <v>19.443332999999999</v>
      </c>
      <c r="D245" s="3">
        <v>25.01</v>
      </c>
      <c r="E245" s="3">
        <v>50.75</v>
      </c>
      <c r="F245" s="3">
        <v>30.770886999999998</v>
      </c>
      <c r="G245" s="3">
        <v>22.25</v>
      </c>
      <c r="H245" s="3">
        <v>22.92</v>
      </c>
      <c r="I245" s="3">
        <v>40.799664</v>
      </c>
      <c r="J245" s="3">
        <v>60.490001999999997</v>
      </c>
      <c r="L245" s="11">
        <f t="shared" si="32"/>
        <v>1.1346123821424246E-2</v>
      </c>
      <c r="M245" s="11">
        <f t="shared" si="34"/>
        <v>8.8204774960303003E-3</v>
      </c>
      <c r="N245" s="11">
        <f t="shared" si="35"/>
        <v>-3.5856573705179222E-3</v>
      </c>
      <c r="O245" s="11">
        <f t="shared" si="36"/>
        <v>1.1836851683504619E-3</v>
      </c>
      <c r="P245" s="11">
        <f t="shared" si="37"/>
        <v>-6.4808230966866877E-4</v>
      </c>
      <c r="Q245" s="11">
        <f t="shared" si="38"/>
        <v>2.6765113059529222E-2</v>
      </c>
      <c r="R245" s="11">
        <f t="shared" si="39"/>
        <v>1.74829553095698E-3</v>
      </c>
      <c r="S245" s="11">
        <f t="shared" si="40"/>
        <v>4.1002080571829816E-3</v>
      </c>
      <c r="T245" s="11">
        <f t="shared" si="41"/>
        <v>1.9723567093728873E-2</v>
      </c>
      <c r="U245" s="11">
        <f t="shared" si="33"/>
        <v>7.7170811718907184E-3</v>
      </c>
      <c r="V245" s="11" cm="1">
        <f t="array" ref="V245">SUMPRODUCT(L245:T245,TRANSPOSE($Y$5:$Y$13))</f>
        <v>8.9177297640745355E-3</v>
      </c>
    </row>
    <row r="246" spans="1:22" x14ac:dyDescent="0.2">
      <c r="A246" s="1">
        <v>44077</v>
      </c>
      <c r="B246" s="3">
        <v>58.169998</v>
      </c>
      <c r="C246" s="3">
        <v>19.273333000000001</v>
      </c>
      <c r="D246" s="3">
        <v>25.1</v>
      </c>
      <c r="E246" s="3">
        <v>50.689999</v>
      </c>
      <c r="F246" s="3">
        <v>30.790842000000001</v>
      </c>
      <c r="G246" s="3">
        <v>21.67</v>
      </c>
      <c r="H246" s="3">
        <v>22.879999000000002</v>
      </c>
      <c r="I246" s="3">
        <v>40.63306</v>
      </c>
      <c r="J246" s="3">
        <v>59.32</v>
      </c>
      <c r="L246" s="11">
        <f t="shared" si="32"/>
        <v>-2.0542196001720817E-2</v>
      </c>
      <c r="M246" s="11">
        <f t="shared" si="34"/>
        <v>-3.5851275637818786E-2</v>
      </c>
      <c r="N246" s="11">
        <f t="shared" si="35"/>
        <v>-1.142178067828983E-2</v>
      </c>
      <c r="O246" s="11">
        <f t="shared" si="36"/>
        <v>-7.0519100303997936E-3</v>
      </c>
      <c r="P246" s="11">
        <f t="shared" si="37"/>
        <v>-5.2211352997014127E-2</v>
      </c>
      <c r="Q246" s="11">
        <f t="shared" si="38"/>
        <v>-1.2756309213835507E-2</v>
      </c>
      <c r="R246" s="11">
        <f t="shared" si="39"/>
        <v>3.5087720837181551E-3</v>
      </c>
      <c r="S246" s="11">
        <f t="shared" si="40"/>
        <v>-6.1127899003617465E-3</v>
      </c>
      <c r="T246" s="11">
        <f t="shared" si="41"/>
        <v>-3.2615786040443573E-2</v>
      </c>
      <c r="U246" s="11">
        <f t="shared" si="33"/>
        <v>-1.9450514268462886E-2</v>
      </c>
      <c r="V246" s="11" cm="1">
        <f t="array" ref="V246">SUMPRODUCT(L246:T246,TRANSPOSE($Y$5:$Y$13))</f>
        <v>-2.0767041445660959E-2</v>
      </c>
    </row>
    <row r="247" spans="1:22" x14ac:dyDescent="0.2">
      <c r="A247" s="1">
        <v>44076</v>
      </c>
      <c r="B247" s="3">
        <v>59.389999000000003</v>
      </c>
      <c r="C247" s="3">
        <v>19.989999999999998</v>
      </c>
      <c r="D247" s="3">
        <v>25.389999</v>
      </c>
      <c r="E247" s="3">
        <v>51.049999</v>
      </c>
      <c r="F247" s="3">
        <v>32.487034000000001</v>
      </c>
      <c r="G247" s="3">
        <v>21.950001</v>
      </c>
      <c r="H247" s="3">
        <v>22.799999</v>
      </c>
      <c r="I247" s="3">
        <v>40.882969000000003</v>
      </c>
      <c r="J247" s="3">
        <v>61.32</v>
      </c>
      <c r="L247" s="11">
        <f t="shared" si="32"/>
        <v>8.8330220627318694E-3</v>
      </c>
      <c r="M247" s="11">
        <f t="shared" si="34"/>
        <v>-1.3321898861679712E-3</v>
      </c>
      <c r="N247" s="11">
        <f t="shared" si="35"/>
        <v>-2.68302414718283E-2</v>
      </c>
      <c r="O247" s="11">
        <f t="shared" si="36"/>
        <v>1.2896765361239451E-2</v>
      </c>
      <c r="P247" s="11">
        <f t="shared" si="37"/>
        <v>-1.3333334143229099E-2</v>
      </c>
      <c r="Q247" s="11">
        <f t="shared" si="38"/>
        <v>-5.4371998187584944E-3</v>
      </c>
      <c r="R247" s="11">
        <f t="shared" si="39"/>
        <v>-3.0608656291706672E-3</v>
      </c>
      <c r="S247" s="11">
        <f t="shared" si="40"/>
        <v>-4.5252643437468344E-4</v>
      </c>
      <c r="T247" s="11">
        <f t="shared" si="41"/>
        <v>-7.1243201788964237E-3</v>
      </c>
      <c r="U247" s="11">
        <f t="shared" si="33"/>
        <v>-3.9823211264949244E-3</v>
      </c>
      <c r="V247" s="11" cm="1">
        <f t="array" ref="V247">SUMPRODUCT(L247:T247,TRANSPOSE($Y$5:$Y$13))</f>
        <v>-4.2965210317350748E-3</v>
      </c>
    </row>
    <row r="248" spans="1:22" x14ac:dyDescent="0.2">
      <c r="A248" s="1">
        <v>44075</v>
      </c>
      <c r="B248" s="3">
        <v>58.869999</v>
      </c>
      <c r="C248" s="3">
        <v>20.016666000000001</v>
      </c>
      <c r="D248" s="3">
        <v>26.09</v>
      </c>
      <c r="E248" s="3">
        <v>50.400002000000001</v>
      </c>
      <c r="F248" s="3">
        <v>32.926048000000002</v>
      </c>
      <c r="G248" s="3">
        <v>22.07</v>
      </c>
      <c r="H248" s="3">
        <v>22.870000999999998</v>
      </c>
      <c r="I248" s="3">
        <v>40.901477999999997</v>
      </c>
      <c r="J248" s="3">
        <v>61.759998000000003</v>
      </c>
      <c r="L248" s="11">
        <f t="shared" si="32"/>
        <v>4.9002139148291858E-2</v>
      </c>
      <c r="M248" s="11">
        <f t="shared" si="34"/>
        <v>2.1258469387755066E-2</v>
      </c>
      <c r="N248" s="11">
        <f t="shared" si="35"/>
        <v>1.3203883495145625E-2</v>
      </c>
      <c r="O248" s="11">
        <f t="shared" si="36"/>
        <v>4.4992784573916728E-2</v>
      </c>
      <c r="P248" s="11">
        <f t="shared" si="37"/>
        <v>2.2621595310346122E-2</v>
      </c>
      <c r="Q248" s="11">
        <f t="shared" si="38"/>
        <v>6.0038424591738714E-2</v>
      </c>
      <c r="R248" s="11">
        <f t="shared" si="39"/>
        <v>4.4769394461827018E-2</v>
      </c>
      <c r="S248" s="11">
        <f t="shared" si="40"/>
        <v>1.2371099062377653E-2</v>
      </c>
      <c r="T248" s="11">
        <f t="shared" si="41"/>
        <v>3.4852513404825793E-2</v>
      </c>
      <c r="U248" s="11">
        <f t="shared" si="33"/>
        <v>3.3678922604024962E-2</v>
      </c>
      <c r="V248" s="11" cm="1">
        <f t="array" ref="V248">SUMPRODUCT(L248:T248,TRANSPOSE($Y$5:$Y$13))</f>
        <v>3.3796281684105034E-2</v>
      </c>
    </row>
    <row r="249" spans="1:22" x14ac:dyDescent="0.2">
      <c r="A249" s="1">
        <v>44074</v>
      </c>
      <c r="B249" s="3">
        <v>56.119999</v>
      </c>
      <c r="C249" s="3">
        <v>19.600000000000001</v>
      </c>
      <c r="D249" s="3">
        <v>25.75</v>
      </c>
      <c r="E249" s="3">
        <v>48.23</v>
      </c>
      <c r="F249" s="3">
        <v>32.197685</v>
      </c>
      <c r="G249" s="3">
        <v>20.82</v>
      </c>
      <c r="H249" s="3">
        <v>21.889999</v>
      </c>
      <c r="I249" s="3">
        <v>40.401665000000001</v>
      </c>
      <c r="J249" s="3">
        <v>59.68</v>
      </c>
      <c r="L249" s="11">
        <f t="shared" si="32"/>
        <v>-1.6473921898459129E-2</v>
      </c>
      <c r="M249" s="11">
        <f t="shared" si="34"/>
        <v>-3.6381514257620373E-2</v>
      </c>
      <c r="N249" s="11">
        <f t="shared" si="35"/>
        <v>-1.604891096675589E-2</v>
      </c>
      <c r="O249" s="11">
        <f t="shared" si="36"/>
        <v>-3.5400000000000063E-2</v>
      </c>
      <c r="P249" s="11">
        <f t="shared" si="37"/>
        <v>-2.8304712234082728E-2</v>
      </c>
      <c r="Q249" s="11">
        <f t="shared" si="38"/>
        <v>-3.6557194051032214E-2</v>
      </c>
      <c r="R249" s="11">
        <f t="shared" si="39"/>
        <v>-2.8837709457067044E-2</v>
      </c>
      <c r="S249" s="11">
        <f t="shared" si="40"/>
        <v>-2.5669629184178588E-2</v>
      </c>
      <c r="T249" s="11">
        <f t="shared" si="41"/>
        <v>-2.324055722555015E-2</v>
      </c>
      <c r="U249" s="11">
        <f t="shared" si="33"/>
        <v>-2.74349054749718E-2</v>
      </c>
      <c r="V249" s="11" cm="1">
        <f t="array" ref="V249">SUMPRODUCT(L249:T249,TRANSPOSE($Y$5:$Y$13))</f>
        <v>-2.7015470650029634E-2</v>
      </c>
    </row>
    <row r="250" spans="1:22" x14ac:dyDescent="0.2">
      <c r="A250" s="1">
        <v>44071</v>
      </c>
      <c r="B250" s="3">
        <v>57.060001</v>
      </c>
      <c r="C250" s="3">
        <v>20.34</v>
      </c>
      <c r="D250" s="3">
        <v>26.17</v>
      </c>
      <c r="E250" s="3">
        <v>50</v>
      </c>
      <c r="F250" s="3">
        <v>33.135578000000002</v>
      </c>
      <c r="G250" s="3">
        <v>21.610001</v>
      </c>
      <c r="H250" s="3">
        <v>22.540001</v>
      </c>
      <c r="I250" s="3">
        <v>41.466084000000002</v>
      </c>
      <c r="J250" s="3">
        <v>61.099997999999999</v>
      </c>
      <c r="L250" s="11">
        <f t="shared" si="32"/>
        <v>4.1240913161330536E-2</v>
      </c>
      <c r="M250" s="11">
        <f t="shared" si="34"/>
        <v>1.227611229436709E-2</v>
      </c>
      <c r="N250" s="11">
        <f t="shared" si="35"/>
        <v>3.450920245398904E-3</v>
      </c>
      <c r="O250" s="11">
        <f t="shared" si="36"/>
        <v>1.8122561227396496E-2</v>
      </c>
      <c r="P250" s="11">
        <f t="shared" si="37"/>
        <v>2.6266990214133468E-2</v>
      </c>
      <c r="Q250" s="11">
        <f t="shared" si="38"/>
        <v>5.1163255813953699E-3</v>
      </c>
      <c r="R250" s="11">
        <f t="shared" si="39"/>
        <v>1.7607268623024905E-2</v>
      </c>
      <c r="S250" s="11">
        <f t="shared" si="40"/>
        <v>1.5412488510025931E-2</v>
      </c>
      <c r="T250" s="11">
        <f t="shared" si="41"/>
        <v>5.0994735137445176E-3</v>
      </c>
      <c r="U250" s="11">
        <f t="shared" si="33"/>
        <v>1.606589481897969E-2</v>
      </c>
      <c r="V250" s="11" cm="1">
        <f t="array" ref="V250">SUMPRODUCT(L250:T250,TRANSPOSE($Y$5:$Y$13))</f>
        <v>1.4969252688456175E-2</v>
      </c>
    </row>
    <row r="251" spans="1:22" x14ac:dyDescent="0.2">
      <c r="A251" s="1">
        <v>44070</v>
      </c>
      <c r="B251" s="3">
        <v>54.799999</v>
      </c>
      <c r="C251" s="3">
        <v>20.093332</v>
      </c>
      <c r="D251" s="3">
        <v>26.08</v>
      </c>
      <c r="E251" s="3">
        <v>49.110000999999997</v>
      </c>
      <c r="F251" s="3">
        <v>32.287483000000002</v>
      </c>
      <c r="G251" s="3">
        <v>21.5</v>
      </c>
      <c r="H251" s="3">
        <v>22.15</v>
      </c>
      <c r="I251" s="3">
        <v>40.836689</v>
      </c>
      <c r="J251" s="3">
        <v>60.790000999999997</v>
      </c>
      <c r="L251" s="11">
        <f t="shared" si="32"/>
        <v>1.1630072424961139E-2</v>
      </c>
      <c r="M251" s="11">
        <f t="shared" si="34"/>
        <v>-3.6363968144262977E-3</v>
      </c>
      <c r="N251" s="11">
        <f t="shared" si="35"/>
        <v>-3.8197097020626976E-3</v>
      </c>
      <c r="O251" s="11">
        <f t="shared" si="36"/>
        <v>1.4250372335826971E-2</v>
      </c>
      <c r="P251" s="11">
        <f t="shared" si="37"/>
        <v>7.4720375072170686E-3</v>
      </c>
      <c r="Q251" s="11">
        <f t="shared" si="38"/>
        <v>-4.6490004649007727E-4</v>
      </c>
      <c r="R251" s="11">
        <f t="shared" si="39"/>
        <v>-3.1502701687791618E-3</v>
      </c>
      <c r="S251" s="11">
        <f t="shared" si="40"/>
        <v>-1.2975422352186173E-2</v>
      </c>
      <c r="T251" s="11">
        <f t="shared" si="41"/>
        <v>-1.5546542510121513E-2</v>
      </c>
      <c r="U251" s="11">
        <f t="shared" si="33"/>
        <v>-6.9341770289563795E-4</v>
      </c>
      <c r="V251" s="11" cm="1">
        <f t="array" ref="V251">SUMPRODUCT(L251:T251,TRANSPOSE($Y$5:$Y$13))</f>
        <v>-2.1787301836182259E-3</v>
      </c>
    </row>
    <row r="252" spans="1:22" x14ac:dyDescent="0.2">
      <c r="A252" s="1">
        <v>44069</v>
      </c>
      <c r="B252" s="3">
        <v>54.169998</v>
      </c>
      <c r="C252" s="3">
        <v>20.166665999999999</v>
      </c>
      <c r="D252" s="3">
        <v>26.18</v>
      </c>
      <c r="E252" s="3">
        <v>48.419998</v>
      </c>
      <c r="F252" s="3">
        <v>32.048018999999996</v>
      </c>
      <c r="G252" s="3">
        <v>21.51</v>
      </c>
      <c r="H252" s="3">
        <v>22.219999000000001</v>
      </c>
      <c r="I252" s="3">
        <v>41.373528</v>
      </c>
      <c r="J252" s="3">
        <v>61.75</v>
      </c>
      <c r="L252" s="11">
        <f t="shared" si="32"/>
        <v>3.1481111111111046E-3</v>
      </c>
      <c r="M252" s="11">
        <f t="shared" si="34"/>
        <v>-2.1827048959950721E-2</v>
      </c>
      <c r="N252" s="11">
        <f t="shared" si="35"/>
        <v>1.9135477196152279E-3</v>
      </c>
      <c r="O252" s="11">
        <f t="shared" si="36"/>
        <v>-1.5253203793093504E-2</v>
      </c>
      <c r="P252" s="11">
        <f t="shared" si="37"/>
        <v>-2.6666698657549337E-2</v>
      </c>
      <c r="Q252" s="11">
        <f t="shared" si="38"/>
        <v>-5.5478042324458706E-3</v>
      </c>
      <c r="R252" s="11">
        <f t="shared" si="39"/>
        <v>-2.8421599107057195E-2</v>
      </c>
      <c r="S252" s="11">
        <f t="shared" si="40"/>
        <v>-1.8660767147345929E-2</v>
      </c>
      <c r="T252" s="11">
        <f t="shared" si="41"/>
        <v>2.1097209040850527E-3</v>
      </c>
      <c r="U252" s="11">
        <f t="shared" si="33"/>
        <v>-1.2133971351403462E-2</v>
      </c>
      <c r="V252" s="11" cm="1">
        <f t="array" ref="V252">SUMPRODUCT(L252:T252,TRANSPOSE($Y$5:$Y$13))</f>
        <v>-1.070960212585461E-2</v>
      </c>
    </row>
    <row r="253" spans="1:22" x14ac:dyDescent="0.2">
      <c r="A253" s="1">
        <v>44068</v>
      </c>
      <c r="B253" s="3">
        <v>54</v>
      </c>
      <c r="C253" s="3">
        <v>20.616667</v>
      </c>
      <c r="D253" s="3">
        <v>26.129999000000002</v>
      </c>
      <c r="E253" s="3">
        <v>49.169998</v>
      </c>
      <c r="F253" s="3">
        <v>32.926048000000002</v>
      </c>
      <c r="G253" s="3">
        <v>21.629999000000002</v>
      </c>
      <c r="H253" s="3">
        <v>22.870000999999998</v>
      </c>
      <c r="I253" s="3">
        <v>42.160271000000002</v>
      </c>
      <c r="J253" s="3">
        <v>61.619999</v>
      </c>
      <c r="L253" s="11">
        <f t="shared" si="32"/>
        <v>1.8867924528301886E-2</v>
      </c>
      <c r="M253" s="11">
        <f t="shared" si="34"/>
        <v>1.5599409635438896E-2</v>
      </c>
      <c r="N253" s="11">
        <f t="shared" si="35"/>
        <v>-1.6930060195635695E-2</v>
      </c>
      <c r="O253" s="11">
        <f t="shared" si="36"/>
        <v>2.6508359981477782E-3</v>
      </c>
      <c r="P253" s="11">
        <f t="shared" si="37"/>
        <v>6.0975054526152513E-3</v>
      </c>
      <c r="Q253" s="11">
        <f t="shared" si="38"/>
        <v>-2.0823947487550853E-2</v>
      </c>
      <c r="R253" s="11">
        <f t="shared" si="39"/>
        <v>-4.3534176906147408E-3</v>
      </c>
      <c r="S253" s="11">
        <f t="shared" si="40"/>
        <v>-6.7596918816861008E-3</v>
      </c>
      <c r="T253" s="11">
        <f t="shared" si="41"/>
        <v>-2.1283354848846223E-2</v>
      </c>
      <c r="U253" s="11">
        <f t="shared" si="33"/>
        <v>-2.9927551655366449E-3</v>
      </c>
      <c r="V253" s="11" cm="1">
        <f t="array" ref="V253">SUMPRODUCT(L253:T253,TRANSPOSE($Y$5:$Y$13))</f>
        <v>-4.8218151338676029E-3</v>
      </c>
    </row>
    <row r="254" spans="1:22" x14ac:dyDescent="0.2">
      <c r="A254" s="1">
        <v>44067</v>
      </c>
      <c r="B254" s="3">
        <v>53</v>
      </c>
      <c r="C254" s="3">
        <v>20.299999</v>
      </c>
      <c r="D254" s="3">
        <v>26.58</v>
      </c>
      <c r="E254" s="3">
        <v>49.040000999999997</v>
      </c>
      <c r="F254" s="3">
        <v>32.726497999999999</v>
      </c>
      <c r="G254" s="3">
        <v>22.09</v>
      </c>
      <c r="H254" s="3">
        <v>22.969999000000001</v>
      </c>
      <c r="I254" s="3">
        <v>42.447201</v>
      </c>
      <c r="J254" s="3">
        <v>62.959999000000003</v>
      </c>
      <c r="L254" s="11">
        <f t="shared" si="32"/>
        <v>-3.7594172225673514E-3</v>
      </c>
      <c r="M254" s="11">
        <f t="shared" si="34"/>
        <v>-1.1481875955982144E-3</v>
      </c>
      <c r="N254" s="11">
        <f t="shared" si="35"/>
        <v>1.8000727001121059E-2</v>
      </c>
      <c r="O254" s="11">
        <f t="shared" si="36"/>
        <v>1.4294465707687686E-3</v>
      </c>
      <c r="P254" s="11">
        <f t="shared" si="37"/>
        <v>-6.6625684457079079E-3</v>
      </c>
      <c r="Q254" s="11">
        <f t="shared" si="38"/>
        <v>-2.7088036117380913E-3</v>
      </c>
      <c r="R254" s="11">
        <f t="shared" si="39"/>
        <v>1.8173759670822687E-2</v>
      </c>
      <c r="S254" s="11">
        <f t="shared" si="40"/>
        <v>-7.3592851280830061E-3</v>
      </c>
      <c r="T254" s="11">
        <f t="shared" si="41"/>
        <v>1.221861716690331E-2</v>
      </c>
      <c r="U254" s="11">
        <f t="shared" si="33"/>
        <v>3.1315876006579165E-3</v>
      </c>
      <c r="V254" s="11" cm="1">
        <f t="array" ref="V254">SUMPRODUCT(L254:T254,TRANSPOSE($Y$5:$Y$13))</f>
        <v>4.0402905572824574E-3</v>
      </c>
    </row>
    <row r="255" spans="1:22" x14ac:dyDescent="0.2">
      <c r="A255" s="1">
        <v>44064</v>
      </c>
      <c r="B255" s="3">
        <v>53.200001</v>
      </c>
      <c r="C255" s="3">
        <v>20.323333999999999</v>
      </c>
      <c r="D255" s="3">
        <v>26.110001</v>
      </c>
      <c r="E255" s="3">
        <v>48.970001000000003</v>
      </c>
      <c r="F255" s="3">
        <v>32.946002999999997</v>
      </c>
      <c r="G255" s="3">
        <v>22.15</v>
      </c>
      <c r="H255" s="3">
        <v>22.559999000000001</v>
      </c>
      <c r="I255" s="3">
        <v>42.761898000000002</v>
      </c>
      <c r="J255" s="3">
        <v>62.200001</v>
      </c>
      <c r="L255" s="11">
        <f t="shared" si="32"/>
        <v>1.3175230318553971E-3</v>
      </c>
      <c r="M255" s="11">
        <f t="shared" si="34"/>
        <v>-2.1976274207109014E-2</v>
      </c>
      <c r="N255" s="11">
        <f t="shared" si="35"/>
        <v>-2.6737585943468014E-3</v>
      </c>
      <c r="O255" s="11">
        <f t="shared" si="36"/>
        <v>-1.9423268310437829E-2</v>
      </c>
      <c r="P255" s="11">
        <f t="shared" si="37"/>
        <v>1.2128148664497956E-3</v>
      </c>
      <c r="Q255" s="11">
        <f t="shared" si="38"/>
        <v>-1.1160714285714286E-2</v>
      </c>
      <c r="R255" s="11">
        <f t="shared" si="39"/>
        <v>-7.4791465024196735E-3</v>
      </c>
      <c r="S255" s="11">
        <f t="shared" si="40"/>
        <v>-1.1764723826730081E-2</v>
      </c>
      <c r="T255" s="11">
        <f t="shared" si="41"/>
        <v>-1.1914217443777323E-2</v>
      </c>
      <c r="U255" s="11">
        <f t="shared" si="33"/>
        <v>-9.3179739191366472E-3</v>
      </c>
      <c r="V255" s="11" cm="1">
        <f t="array" ref="V255">SUMPRODUCT(L255:T255,TRANSPOSE($Y$5:$Y$13))</f>
        <v>-9.5775982716007138E-3</v>
      </c>
    </row>
    <row r="256" spans="1:22" x14ac:dyDescent="0.2">
      <c r="A256" s="1">
        <v>44063</v>
      </c>
      <c r="B256" s="3">
        <v>53.130001</v>
      </c>
      <c r="C256" s="3">
        <v>20.780000999999999</v>
      </c>
      <c r="D256" s="3">
        <v>26.18</v>
      </c>
      <c r="E256" s="3">
        <v>49.939999</v>
      </c>
      <c r="F256" s="3">
        <v>32.906094000000003</v>
      </c>
      <c r="G256" s="3">
        <v>22.4</v>
      </c>
      <c r="H256" s="3">
        <v>22.73</v>
      </c>
      <c r="I256" s="3">
        <v>43.270969000000001</v>
      </c>
      <c r="J256" s="3">
        <v>62.950001</v>
      </c>
      <c r="L256" s="11">
        <f t="shared" si="32"/>
        <v>-1.6111092592592594E-2</v>
      </c>
      <c r="M256" s="11">
        <f t="shared" si="34"/>
        <v>4.6499948858486517E-2</v>
      </c>
      <c r="N256" s="11">
        <f t="shared" si="35"/>
        <v>1.5909972836631748E-2</v>
      </c>
      <c r="O256" s="11">
        <f t="shared" si="36"/>
        <v>1.8975740419332341E-2</v>
      </c>
      <c r="P256" s="11">
        <f t="shared" si="37"/>
        <v>7.0229135465067361E-3</v>
      </c>
      <c r="Q256" s="11">
        <f t="shared" si="38"/>
        <v>3.8961087150328588E-2</v>
      </c>
      <c r="R256" s="11">
        <f t="shared" si="39"/>
        <v>-6.9899085622502259E-3</v>
      </c>
      <c r="S256" s="11">
        <f t="shared" si="40"/>
        <v>7.3259848992482971E-3</v>
      </c>
      <c r="T256" s="11">
        <f t="shared" si="41"/>
        <v>8.9758296037157678E-3</v>
      </c>
      <c r="U256" s="11">
        <f t="shared" si="33"/>
        <v>1.3396719573267463E-2</v>
      </c>
      <c r="V256" s="11" cm="1">
        <f t="array" ref="V256">SUMPRODUCT(L256:T256,TRANSPOSE($Y$5:$Y$13))</f>
        <v>1.2954630576312295E-2</v>
      </c>
    </row>
    <row r="257" spans="1:22" x14ac:dyDescent="0.2">
      <c r="A257" s="1">
        <v>44062</v>
      </c>
      <c r="B257" s="3">
        <v>54</v>
      </c>
      <c r="C257" s="3">
        <v>19.856667000000002</v>
      </c>
      <c r="D257" s="3">
        <v>25.77</v>
      </c>
      <c r="E257" s="3">
        <v>49.009998000000003</v>
      </c>
      <c r="F257" s="3">
        <v>32.676608999999999</v>
      </c>
      <c r="G257" s="3">
        <v>21.559999000000001</v>
      </c>
      <c r="H257" s="3">
        <v>22.889999</v>
      </c>
      <c r="I257" s="3">
        <v>42.956271999999998</v>
      </c>
      <c r="J257" s="3">
        <v>62.389999000000003</v>
      </c>
      <c r="L257" s="11">
        <f t="shared" si="32"/>
        <v>-3.8118971110063661E-2</v>
      </c>
      <c r="M257" s="11">
        <f t="shared" si="34"/>
        <v>-3.6084126213592221E-2</v>
      </c>
      <c r="N257" s="11">
        <f t="shared" si="35"/>
        <v>-3.8655197578074661E-3</v>
      </c>
      <c r="O257" s="11">
        <f t="shared" si="36"/>
        <v>-1.1895161769966127E-2</v>
      </c>
      <c r="P257" s="11">
        <f t="shared" si="37"/>
        <v>-2.7612771054658362E-2</v>
      </c>
      <c r="Q257" s="11">
        <f t="shared" si="38"/>
        <v>-1.2820558608058544E-2</v>
      </c>
      <c r="R257" s="11">
        <f t="shared" si="39"/>
        <v>-5.6473066898349274E-3</v>
      </c>
      <c r="S257" s="11">
        <f t="shared" si="40"/>
        <v>-4.2302896032199208E-2</v>
      </c>
      <c r="T257" s="11">
        <f t="shared" si="41"/>
        <v>-1.0624833323424728E-2</v>
      </c>
      <c r="U257" s="11">
        <f t="shared" si="33"/>
        <v>-2.099690495106725E-2</v>
      </c>
      <c r="V257" s="11" cm="1">
        <f t="array" ref="V257">SUMPRODUCT(L257:T257,TRANSPOSE($Y$5:$Y$13))</f>
        <v>-1.9959697788302998E-2</v>
      </c>
    </row>
    <row r="258" spans="1:22" x14ac:dyDescent="0.2">
      <c r="A258" s="1">
        <v>44061</v>
      </c>
      <c r="B258" s="3">
        <v>56.139999000000003</v>
      </c>
      <c r="C258" s="3">
        <v>20.6</v>
      </c>
      <c r="D258" s="3">
        <v>25.870000999999998</v>
      </c>
      <c r="E258" s="3">
        <v>49.599997999999999</v>
      </c>
      <c r="F258" s="3">
        <v>33.604523</v>
      </c>
      <c r="G258" s="3">
        <v>21.84</v>
      </c>
      <c r="H258" s="3">
        <v>23.02</v>
      </c>
      <c r="I258" s="3">
        <v>44.853713999999997</v>
      </c>
      <c r="J258" s="3">
        <v>63.060001</v>
      </c>
      <c r="L258" s="11">
        <f t="shared" si="32"/>
        <v>6.1849821483824938E-2</v>
      </c>
      <c r="M258" s="11">
        <f t="shared" si="34"/>
        <v>6.3683286339358339E-2</v>
      </c>
      <c r="N258" s="11">
        <f t="shared" si="35"/>
        <v>3.8805199844780323E-3</v>
      </c>
      <c r="O258" s="11">
        <f t="shared" si="36"/>
        <v>3.9396415771240152E-2</v>
      </c>
      <c r="P258" s="11">
        <f t="shared" si="37"/>
        <v>1.690814984545681E-2</v>
      </c>
      <c r="Q258" s="11">
        <f t="shared" si="38"/>
        <v>-4.5766590389023171E-4</v>
      </c>
      <c r="R258" s="11">
        <f t="shared" si="39"/>
        <v>1.8584070796460093E-2</v>
      </c>
      <c r="S258" s="11">
        <f t="shared" si="40"/>
        <v>3.2601776176624089E-2</v>
      </c>
      <c r="T258" s="11">
        <f t="shared" si="41"/>
        <v>1.3337634581391658E-2</v>
      </c>
      <c r="U258" s="11">
        <f t="shared" si="33"/>
        <v>2.7753778786104872E-2</v>
      </c>
      <c r="V258" s="11" cm="1">
        <f t="array" ref="V258">SUMPRODUCT(L258:T258,TRANSPOSE($Y$5:$Y$13))</f>
        <v>2.6312164365633554E-2</v>
      </c>
    </row>
    <row r="259" spans="1:22" x14ac:dyDescent="0.2">
      <c r="A259" s="1">
        <v>44060</v>
      </c>
      <c r="B259" s="3">
        <v>52.869999</v>
      </c>
      <c r="C259" s="3">
        <v>19.366667</v>
      </c>
      <c r="D259" s="3">
        <v>25.77</v>
      </c>
      <c r="E259" s="3">
        <v>47.720001000000003</v>
      </c>
      <c r="F259" s="3">
        <v>33.045780000000001</v>
      </c>
      <c r="G259" s="3">
        <v>21.85</v>
      </c>
      <c r="H259" s="3">
        <v>22.6</v>
      </c>
      <c r="I259" s="3">
        <v>43.437572000000003</v>
      </c>
      <c r="J259" s="3">
        <v>62.23</v>
      </c>
      <c r="L259" s="11">
        <f t="shared" si="32"/>
        <v>-4.7387405405405404E-2</v>
      </c>
      <c r="M259" s="11">
        <f t="shared" si="34"/>
        <v>-4.0779294661748615E-2</v>
      </c>
      <c r="N259" s="11">
        <f t="shared" si="35"/>
        <v>2.4652087475149145E-2</v>
      </c>
      <c r="O259" s="11">
        <f t="shared" si="36"/>
        <v>-3.7515145723471269E-2</v>
      </c>
      <c r="P259" s="11">
        <f t="shared" si="37"/>
        <v>-3.2710247956657751E-2</v>
      </c>
      <c r="Q259" s="11">
        <f t="shared" si="38"/>
        <v>-3.6171151301279236E-2</v>
      </c>
      <c r="R259" s="11">
        <f t="shared" si="39"/>
        <v>-3.0877812086457998E-3</v>
      </c>
      <c r="S259" s="11">
        <f t="shared" si="40"/>
        <v>-1.4075718314585265E-2</v>
      </c>
      <c r="T259" s="11">
        <f t="shared" si="41"/>
        <v>1.4343961347806361E-2</v>
      </c>
      <c r="U259" s="11">
        <f t="shared" si="33"/>
        <v>-1.919229952764865E-2</v>
      </c>
      <c r="V259" s="11" cm="1">
        <f t="array" ref="V259">SUMPRODUCT(L259:T259,TRANSPOSE($Y$5:$Y$13))</f>
        <v>-1.5838673440103153E-2</v>
      </c>
    </row>
    <row r="260" spans="1:22" x14ac:dyDescent="0.2">
      <c r="A260" s="1">
        <v>44057</v>
      </c>
      <c r="B260" s="3">
        <v>55.5</v>
      </c>
      <c r="C260" s="3">
        <v>20.190000999999999</v>
      </c>
      <c r="D260" s="3">
        <v>25.15</v>
      </c>
      <c r="E260" s="3">
        <v>49.580002</v>
      </c>
      <c r="F260" s="3">
        <v>34.163269</v>
      </c>
      <c r="G260" s="3">
        <v>22.67</v>
      </c>
      <c r="H260" s="3">
        <v>22.67</v>
      </c>
      <c r="I260" s="3">
        <v>44.057715999999999</v>
      </c>
      <c r="J260" s="3">
        <v>61.349997999999999</v>
      </c>
      <c r="L260" s="11">
        <f t="shared" si="32"/>
        <v>0</v>
      </c>
      <c r="M260" s="11">
        <f t="shared" si="34"/>
        <v>-1.3189118976844225E-3</v>
      </c>
      <c r="N260" s="11">
        <f t="shared" si="35"/>
        <v>-3.9603960396040168E-3</v>
      </c>
      <c r="O260" s="11">
        <f t="shared" si="36"/>
        <v>1.1423949408404676E-2</v>
      </c>
      <c r="P260" s="11">
        <f t="shared" si="37"/>
        <v>-3.0028340563984592E-2</v>
      </c>
      <c r="Q260" s="11">
        <f t="shared" si="38"/>
        <v>2.905124697906292E-2</v>
      </c>
      <c r="R260" s="11">
        <f t="shared" si="39"/>
        <v>-7.4430823117337197E-3</v>
      </c>
      <c r="S260" s="11">
        <f t="shared" si="40"/>
        <v>1.1689709289462363E-2</v>
      </c>
      <c r="T260" s="11">
        <f t="shared" si="41"/>
        <v>1.6570008834134509E-2</v>
      </c>
      <c r="U260" s="11">
        <f t="shared" si="33"/>
        <v>2.8871315220064132E-3</v>
      </c>
      <c r="V260" s="11" cm="1">
        <f t="array" ref="V260">SUMPRODUCT(L260:T260,TRANSPOSE($Y$5:$Y$13))</f>
        <v>4.2554192532192224E-3</v>
      </c>
    </row>
    <row r="261" spans="1:22" x14ac:dyDescent="0.2">
      <c r="A261" s="1">
        <v>44056</v>
      </c>
      <c r="B261" s="3">
        <v>55.5</v>
      </c>
      <c r="C261" s="3">
        <v>20.216664999999999</v>
      </c>
      <c r="D261" s="3">
        <v>25.25</v>
      </c>
      <c r="E261" s="3">
        <v>49.02</v>
      </c>
      <c r="F261" s="3">
        <v>35.220894000000001</v>
      </c>
      <c r="G261" s="3">
        <v>22.030000999999999</v>
      </c>
      <c r="H261" s="3">
        <v>22.84</v>
      </c>
      <c r="I261" s="3">
        <v>43.548645</v>
      </c>
      <c r="J261" s="3">
        <v>60.349997999999999</v>
      </c>
      <c r="L261" s="11">
        <f t="shared" si="32"/>
        <v>1.0744855217628911E-2</v>
      </c>
      <c r="M261" s="11">
        <f t="shared" si="34"/>
        <v>-1.3821219512195171E-2</v>
      </c>
      <c r="N261" s="11">
        <f t="shared" si="35"/>
        <v>2.9771615008156626E-2</v>
      </c>
      <c r="O261" s="11">
        <f t="shared" si="36"/>
        <v>-2.8344915196334627E-2</v>
      </c>
      <c r="P261" s="11">
        <f t="shared" si="37"/>
        <v>4.5532029331638718E-3</v>
      </c>
      <c r="Q261" s="11">
        <f t="shared" si="38"/>
        <v>-5.9350939368061614E-2</v>
      </c>
      <c r="R261" s="11">
        <f t="shared" si="39"/>
        <v>-2.7257240204429326E-2</v>
      </c>
      <c r="S261" s="11">
        <f t="shared" si="40"/>
        <v>-1.7129694234768258E-2</v>
      </c>
      <c r="T261" s="11">
        <f t="shared" si="41"/>
        <v>-1.8699219512195133E-2</v>
      </c>
      <c r="U261" s="11">
        <f t="shared" si="33"/>
        <v>-1.3281506096559415E-2</v>
      </c>
      <c r="V261" s="11" cm="1">
        <f t="array" ref="V261">SUMPRODUCT(L261:T261,TRANSPOSE($Y$5:$Y$13))</f>
        <v>-1.3823277438122988E-2</v>
      </c>
    </row>
    <row r="262" spans="1:22" x14ac:dyDescent="0.2">
      <c r="A262" s="1">
        <v>44055</v>
      </c>
      <c r="B262" s="3">
        <v>54.91</v>
      </c>
      <c r="C262" s="3">
        <v>20.5</v>
      </c>
      <c r="D262" s="3">
        <v>24.52</v>
      </c>
      <c r="E262" s="3">
        <v>50.450001</v>
      </c>
      <c r="F262" s="3">
        <v>35.061253000000001</v>
      </c>
      <c r="G262" s="3">
        <v>23.42</v>
      </c>
      <c r="H262" s="3">
        <v>23.48</v>
      </c>
      <c r="I262" s="3">
        <v>44.307620999999997</v>
      </c>
      <c r="J262" s="3">
        <v>61.5</v>
      </c>
      <c r="L262" s="11">
        <f t="shared" si="32"/>
        <v>-1.4536988253105143E-2</v>
      </c>
      <c r="M262" s="11">
        <f t="shared" si="34"/>
        <v>1.0848076388161983E-2</v>
      </c>
      <c r="N262" s="11">
        <f t="shared" si="35"/>
        <v>2.3372329856941969E-2</v>
      </c>
      <c r="O262" s="11">
        <f t="shared" si="36"/>
        <v>-6.6942310160615342E-3</v>
      </c>
      <c r="P262" s="11">
        <f t="shared" si="37"/>
        <v>1.3556454638002778E-2</v>
      </c>
      <c r="Q262" s="11">
        <f t="shared" si="38"/>
        <v>-1.1397255745155817E-2</v>
      </c>
      <c r="R262" s="11">
        <f t="shared" si="39"/>
        <v>1.7331022530329383E-2</v>
      </c>
      <c r="S262" s="11">
        <f t="shared" si="40"/>
        <v>-3.1755640375392247E-2</v>
      </c>
      <c r="T262" s="11">
        <f t="shared" si="41"/>
        <v>2.0238902127387288E-2</v>
      </c>
      <c r="U262" s="11">
        <f t="shared" si="33"/>
        <v>2.3291855723454064E-3</v>
      </c>
      <c r="V262" s="11" cm="1">
        <f t="array" ref="V262">SUMPRODUCT(L262:T262,TRANSPOSE($Y$5:$Y$13))</f>
        <v>4.1201572278495953E-3</v>
      </c>
    </row>
    <row r="263" spans="1:22" x14ac:dyDescent="0.2">
      <c r="A263" s="1">
        <v>44054</v>
      </c>
      <c r="B263" s="3">
        <v>55.720001000000003</v>
      </c>
      <c r="C263" s="3">
        <v>20.280000999999999</v>
      </c>
      <c r="D263" s="3">
        <v>23.959999</v>
      </c>
      <c r="E263" s="3">
        <v>50.790000999999997</v>
      </c>
      <c r="F263" s="3">
        <v>34.592303999999999</v>
      </c>
      <c r="G263" s="3">
        <v>23.690000999999999</v>
      </c>
      <c r="H263" s="3">
        <v>23.08</v>
      </c>
      <c r="I263" s="3">
        <v>45.760784000000001</v>
      </c>
      <c r="J263" s="3">
        <v>60.279998999999997</v>
      </c>
      <c r="L263" s="11">
        <f t="shared" ref="L263:L326" si="42">(B263-B264)/B264</f>
        <v>3.2425420929675354E-2</v>
      </c>
      <c r="M263" s="11">
        <f t="shared" si="34"/>
        <v>-2.2650554216867538E-2</v>
      </c>
      <c r="N263" s="11">
        <f t="shared" si="35"/>
        <v>2.8326181473226679E-2</v>
      </c>
      <c r="O263" s="11">
        <f t="shared" si="36"/>
        <v>-2.3570811235513645E-3</v>
      </c>
      <c r="P263" s="11">
        <f t="shared" si="37"/>
        <v>2.0306041340259415E-2</v>
      </c>
      <c r="Q263" s="11">
        <f t="shared" si="38"/>
        <v>3.9947320458853366E-2</v>
      </c>
      <c r="R263" s="11">
        <f t="shared" si="39"/>
        <v>-1.5778293570222108E-2</v>
      </c>
      <c r="S263" s="11">
        <f t="shared" si="40"/>
        <v>6.9246225753166043E-3</v>
      </c>
      <c r="T263" s="11">
        <f t="shared" si="41"/>
        <v>-3.0868198860639951E-2</v>
      </c>
      <c r="U263" s="11">
        <f t="shared" ref="U263:U326" si="43">AVERAGE(L263:T263)</f>
        <v>6.2528287784500503E-3</v>
      </c>
      <c r="V263" s="11" cm="1">
        <f t="array" ref="V263">SUMPRODUCT(L263:T263,TRANSPOSE($Y$5:$Y$13))</f>
        <v>2.5407260145410516E-3</v>
      </c>
    </row>
    <row r="264" spans="1:22" x14ac:dyDescent="0.2">
      <c r="A264" s="1">
        <v>44053</v>
      </c>
      <c r="B264" s="3">
        <v>53.970001000000003</v>
      </c>
      <c r="C264" s="3">
        <v>20.75</v>
      </c>
      <c r="D264" s="3">
        <v>23.299999</v>
      </c>
      <c r="E264" s="3">
        <v>50.91</v>
      </c>
      <c r="F264" s="3">
        <v>33.903851000000003</v>
      </c>
      <c r="G264" s="3">
        <v>22.780000999999999</v>
      </c>
      <c r="H264" s="3">
        <v>23.450001</v>
      </c>
      <c r="I264" s="3">
        <v>45.446086999999999</v>
      </c>
      <c r="J264" s="3">
        <v>62.200001</v>
      </c>
      <c r="L264" s="11">
        <f t="shared" si="42"/>
        <v>-1.5145949181495354E-2</v>
      </c>
      <c r="M264" s="11">
        <f t="shared" si="34"/>
        <v>-4.7961630695444327E-3</v>
      </c>
      <c r="N264" s="11">
        <f t="shared" si="35"/>
        <v>9.9696142175985866E-3</v>
      </c>
      <c r="O264" s="11">
        <f t="shared" si="36"/>
        <v>1.9680967925979147E-3</v>
      </c>
      <c r="P264" s="11">
        <f t="shared" si="37"/>
        <v>-1.4786892098116747E-2</v>
      </c>
      <c r="Q264" s="11">
        <f t="shared" si="38"/>
        <v>-8.7710530162747244E-4</v>
      </c>
      <c r="R264" s="11">
        <f t="shared" si="39"/>
        <v>2.8960068935495006E-2</v>
      </c>
      <c r="S264" s="11">
        <f t="shared" si="40"/>
        <v>-6.0729034922169375E-3</v>
      </c>
      <c r="T264" s="11">
        <f t="shared" si="41"/>
        <v>2.8949544599676681E-2</v>
      </c>
      <c r="U264" s="11">
        <f t="shared" si="43"/>
        <v>3.1298123780408049E-3</v>
      </c>
      <c r="V264" s="11" cm="1">
        <f t="array" ref="V264">SUMPRODUCT(L264:T264,TRANSPOSE($Y$5:$Y$13))</f>
        <v>5.7117856002043927E-3</v>
      </c>
    </row>
    <row r="265" spans="1:22" x14ac:dyDescent="0.2">
      <c r="A265" s="1">
        <v>44050</v>
      </c>
      <c r="B265" s="3">
        <v>54.799999</v>
      </c>
      <c r="C265" s="3">
        <v>20.85</v>
      </c>
      <c r="D265" s="3">
        <v>23.07</v>
      </c>
      <c r="E265" s="3">
        <v>50.810001</v>
      </c>
      <c r="F265" s="3">
        <v>34.412708000000002</v>
      </c>
      <c r="G265" s="3">
        <v>22.799999</v>
      </c>
      <c r="H265" s="3">
        <v>22.790001</v>
      </c>
      <c r="I265" s="3">
        <v>45.723762999999998</v>
      </c>
      <c r="J265" s="3">
        <v>60.450001</v>
      </c>
      <c r="L265" s="11">
        <f t="shared" si="42"/>
        <v>0</v>
      </c>
      <c r="M265" s="11">
        <f t="shared" si="34"/>
        <v>-2.3419203747072598E-2</v>
      </c>
      <c r="N265" s="11">
        <f t="shared" si="35"/>
        <v>-1.072041166380789E-2</v>
      </c>
      <c r="O265" s="11">
        <f t="shared" si="36"/>
        <v>-1.588223870071202E-2</v>
      </c>
      <c r="P265" s="11">
        <f t="shared" si="37"/>
        <v>-1.7365690033223362E-3</v>
      </c>
      <c r="Q265" s="11">
        <f t="shared" si="38"/>
        <v>-3.4307580080153353E-2</v>
      </c>
      <c r="R265" s="11">
        <f t="shared" si="39"/>
        <v>-1.8518433183395105E-2</v>
      </c>
      <c r="S265" s="11">
        <f t="shared" si="40"/>
        <v>-2.9088035356973171E-2</v>
      </c>
      <c r="T265" s="11">
        <f t="shared" si="41"/>
        <v>-2.2319277945357336E-2</v>
      </c>
      <c r="U265" s="11">
        <f t="shared" si="43"/>
        <v>-1.7332416631199311E-2</v>
      </c>
      <c r="V265" s="11" cm="1">
        <f t="array" ref="V265">SUMPRODUCT(L265:T265,TRANSPOSE($Y$5:$Y$13))</f>
        <v>-1.7831102762615115E-2</v>
      </c>
    </row>
    <row r="266" spans="1:22" x14ac:dyDescent="0.2">
      <c r="A266" s="1">
        <v>44049</v>
      </c>
      <c r="B266" s="3">
        <v>54.799999</v>
      </c>
      <c r="C266" s="3">
        <v>21.35</v>
      </c>
      <c r="D266" s="3">
        <v>23.32</v>
      </c>
      <c r="E266" s="3">
        <v>51.630001</v>
      </c>
      <c r="F266" s="3">
        <v>34.472572</v>
      </c>
      <c r="G266" s="3">
        <v>23.610001</v>
      </c>
      <c r="H266" s="3">
        <v>23.219999000000001</v>
      </c>
      <c r="I266" s="3">
        <v>47.093623999999998</v>
      </c>
      <c r="J266" s="3">
        <v>61.830002</v>
      </c>
      <c r="L266" s="11">
        <f t="shared" si="42"/>
        <v>3.2793026144119372E-2</v>
      </c>
      <c r="M266" s="11">
        <f t="shared" si="34"/>
        <v>8.6614490916992835E-3</v>
      </c>
      <c r="N266" s="11">
        <f t="shared" si="35"/>
        <v>2.5054945054945068E-2</v>
      </c>
      <c r="O266" s="11">
        <f t="shared" si="36"/>
        <v>1.2154538802373546E-2</v>
      </c>
      <c r="P266" s="11">
        <f t="shared" si="37"/>
        <v>1.0529358275257398E-2</v>
      </c>
      <c r="Q266" s="11">
        <f t="shared" si="38"/>
        <v>7.6607432740538106E-2</v>
      </c>
      <c r="R266" s="11">
        <f t="shared" si="39"/>
        <v>1.7255823986195716E-3</v>
      </c>
      <c r="S266" s="11">
        <f t="shared" si="40"/>
        <v>1.9693171201400645E-3</v>
      </c>
      <c r="T266" s="11">
        <f t="shared" si="41"/>
        <v>-5.7886638653909597E-3</v>
      </c>
      <c r="U266" s="11">
        <f t="shared" si="43"/>
        <v>1.8189665084700164E-2</v>
      </c>
      <c r="V266" s="11" cm="1">
        <f t="array" ref="V266">SUMPRODUCT(L266:T266,TRANSPOSE($Y$5:$Y$13))</f>
        <v>1.579183218969105E-2</v>
      </c>
    </row>
    <row r="267" spans="1:22" x14ac:dyDescent="0.2">
      <c r="A267" s="1">
        <v>44048</v>
      </c>
      <c r="B267" s="3">
        <v>53.060001</v>
      </c>
      <c r="C267" s="3">
        <v>21.166665999999999</v>
      </c>
      <c r="D267" s="3">
        <v>22.75</v>
      </c>
      <c r="E267" s="3">
        <v>51.009998000000003</v>
      </c>
      <c r="F267" s="3">
        <v>34.113379999999999</v>
      </c>
      <c r="G267" s="3">
        <v>21.93</v>
      </c>
      <c r="H267" s="3">
        <v>23.18</v>
      </c>
      <c r="I267" s="3">
        <v>47.001064</v>
      </c>
      <c r="J267" s="3">
        <v>62.189999</v>
      </c>
      <c r="L267" s="11">
        <f t="shared" si="42"/>
        <v>2.829463287963694E-2</v>
      </c>
      <c r="M267" s="11">
        <f t="shared" si="34"/>
        <v>4.4289147602368092E-3</v>
      </c>
      <c r="N267" s="11">
        <f t="shared" si="35"/>
        <v>9.1127098321342845E-2</v>
      </c>
      <c r="O267" s="11">
        <f t="shared" si="36"/>
        <v>2.2244407926075883E-2</v>
      </c>
      <c r="P267" s="11">
        <f t="shared" si="37"/>
        <v>2.6392870685985332E-3</v>
      </c>
      <c r="Q267" s="11">
        <f t="shared" si="38"/>
        <v>8.0295619718996042E-2</v>
      </c>
      <c r="R267" s="11">
        <f t="shared" si="39"/>
        <v>6.4279106323273411E-2</v>
      </c>
      <c r="S267" s="11">
        <f t="shared" si="40"/>
        <v>1.2764268658213222E-2</v>
      </c>
      <c r="T267" s="11">
        <f t="shared" si="41"/>
        <v>2.4546918870726211E-2</v>
      </c>
      <c r="U267" s="11">
        <f t="shared" si="43"/>
        <v>3.6735583836344426E-2</v>
      </c>
      <c r="V267" s="11" cm="1">
        <f t="array" ref="V267">SUMPRODUCT(L267:T267,TRANSPOSE($Y$5:$Y$13))</f>
        <v>3.5516717339782615E-2</v>
      </c>
    </row>
    <row r="268" spans="1:22" x14ac:dyDescent="0.2">
      <c r="A268" s="1">
        <v>44047</v>
      </c>
      <c r="B268" s="3">
        <v>51.599997999999999</v>
      </c>
      <c r="C268" s="3">
        <v>21.073333999999999</v>
      </c>
      <c r="D268" s="3">
        <v>20.85</v>
      </c>
      <c r="E268" s="3">
        <v>49.900002000000001</v>
      </c>
      <c r="F268" s="3">
        <v>34.023581999999998</v>
      </c>
      <c r="G268" s="3">
        <v>20.299999</v>
      </c>
      <c r="H268" s="3">
        <v>21.780000999999999</v>
      </c>
      <c r="I268" s="3">
        <v>46.408690999999997</v>
      </c>
      <c r="J268" s="3">
        <v>60.700001</v>
      </c>
      <c r="L268" s="11">
        <f t="shared" si="42"/>
        <v>-3.370793881243677E-2</v>
      </c>
      <c r="M268" s="11">
        <f t="shared" si="34"/>
        <v>-1.0486665400427799E-2</v>
      </c>
      <c r="N268" s="11">
        <f t="shared" si="35"/>
        <v>-9.5836123821925305E-4</v>
      </c>
      <c r="O268" s="11">
        <f t="shared" si="36"/>
        <v>-7.7550008400277424E-3</v>
      </c>
      <c r="P268" s="11">
        <f t="shared" si="37"/>
        <v>-8.4327674097248017E-3</v>
      </c>
      <c r="Q268" s="11">
        <f t="shared" si="38"/>
        <v>-1.3605490767735599E-2</v>
      </c>
      <c r="R268" s="11">
        <f t="shared" si="39"/>
        <v>-9.1733949162112671E-4</v>
      </c>
      <c r="S268" s="11">
        <f t="shared" si="40"/>
        <v>1.7981715858193259E-3</v>
      </c>
      <c r="T268" s="11">
        <f t="shared" si="41"/>
        <v>7.3017426917272258E-3</v>
      </c>
      <c r="U268" s="11">
        <f t="shared" si="43"/>
        <v>-7.4181832980718364E-3</v>
      </c>
      <c r="V268" s="11" cm="1">
        <f t="array" ref="V268">SUMPRODUCT(L268:T268,TRANSPOSE($Y$5:$Y$13))</f>
        <v>-5.9461906990919307E-3</v>
      </c>
    </row>
    <row r="269" spans="1:22" x14ac:dyDescent="0.2">
      <c r="A269" s="1">
        <v>44046</v>
      </c>
      <c r="B269" s="3">
        <v>53.400002000000001</v>
      </c>
      <c r="C269" s="3">
        <v>21.296665000000001</v>
      </c>
      <c r="D269" s="3">
        <v>20.870000999999998</v>
      </c>
      <c r="E269" s="3">
        <v>50.290000999999997</v>
      </c>
      <c r="F269" s="3">
        <v>34.312935000000003</v>
      </c>
      <c r="G269" s="3">
        <v>20.58</v>
      </c>
      <c r="H269" s="3">
        <v>21.799999</v>
      </c>
      <c r="I269" s="3">
        <v>46.325389999999999</v>
      </c>
      <c r="J269" s="3">
        <v>60.259998000000003</v>
      </c>
      <c r="L269" s="11">
        <f t="shared" si="42"/>
        <v>1.2130478094407766E-2</v>
      </c>
      <c r="M269" s="11">
        <f t="shared" si="34"/>
        <v>7.0932694543906407E-3</v>
      </c>
      <c r="N269" s="11">
        <f t="shared" si="35"/>
        <v>4.8146846413095277E-3</v>
      </c>
      <c r="O269" s="11">
        <f t="shared" si="36"/>
        <v>-1.2372290352407379E-2</v>
      </c>
      <c r="P269" s="11">
        <f t="shared" si="37"/>
        <v>8.5044837430698957E-3</v>
      </c>
      <c r="Q269" s="11">
        <f t="shared" si="38"/>
        <v>-2.649002017455163E-2</v>
      </c>
      <c r="R269" s="11">
        <f t="shared" si="39"/>
        <v>-1.8018107296481681E-2</v>
      </c>
      <c r="S269" s="11">
        <f t="shared" si="40"/>
        <v>-1.6312908940709248E-2</v>
      </c>
      <c r="T269" s="11">
        <f t="shared" si="41"/>
        <v>-7.4123045200511417E-3</v>
      </c>
      <c r="U269" s="11">
        <f t="shared" si="43"/>
        <v>-5.34030170566925E-3</v>
      </c>
      <c r="V269" s="11" cm="1">
        <f t="array" ref="V269">SUMPRODUCT(L269:T269,TRANSPOSE($Y$5:$Y$13))</f>
        <v>-5.547501987107439E-3</v>
      </c>
    </row>
    <row r="270" spans="1:22" x14ac:dyDescent="0.2">
      <c r="A270" s="1">
        <v>44043</v>
      </c>
      <c r="B270" s="3">
        <v>52.759998000000003</v>
      </c>
      <c r="C270" s="3">
        <v>21.146666</v>
      </c>
      <c r="D270" s="3">
        <v>20.77</v>
      </c>
      <c r="E270" s="3">
        <v>50.919998</v>
      </c>
      <c r="F270" s="3">
        <v>34.023581999999998</v>
      </c>
      <c r="G270" s="3">
        <v>21.139999</v>
      </c>
      <c r="H270" s="3">
        <v>22.200001</v>
      </c>
      <c r="I270" s="3">
        <v>47.093623999999998</v>
      </c>
      <c r="J270" s="3">
        <v>60.709999000000003</v>
      </c>
      <c r="L270" s="11">
        <f t="shared" si="42"/>
        <v>1.4810462980940185E-2</v>
      </c>
      <c r="M270" s="11">
        <f t="shared" si="34"/>
        <v>-1.8108698063632668E-2</v>
      </c>
      <c r="N270" s="11">
        <f t="shared" si="35"/>
        <v>-2.4424658317301187E-2</v>
      </c>
      <c r="O270" s="11">
        <f t="shared" si="36"/>
        <v>1.921535266644013E-2</v>
      </c>
      <c r="P270" s="11">
        <f t="shared" si="37"/>
        <v>-2.6270722445081999E-2</v>
      </c>
      <c r="Q270" s="11">
        <f t="shared" si="38"/>
        <v>-2.1296342592592679E-2</v>
      </c>
      <c r="R270" s="11">
        <f t="shared" si="39"/>
        <v>-2.7169106047326905E-2</v>
      </c>
      <c r="S270" s="11">
        <f t="shared" si="40"/>
        <v>5.8996057375513655E-4</v>
      </c>
      <c r="T270" s="11">
        <f t="shared" si="41"/>
        <v>-9.13988901583156E-3</v>
      </c>
      <c r="U270" s="11">
        <f t="shared" si="43"/>
        <v>-1.0199293362292394E-2</v>
      </c>
      <c r="V270" s="11" cm="1">
        <f t="array" ref="V270">SUMPRODUCT(L270:T270,TRANSPOSE($Y$5:$Y$13))</f>
        <v>-1.009335292764631E-2</v>
      </c>
    </row>
    <row r="271" spans="1:22" x14ac:dyDescent="0.2">
      <c r="A271" s="1">
        <v>44042</v>
      </c>
      <c r="B271" s="3">
        <v>51.990001999999997</v>
      </c>
      <c r="C271" s="3">
        <v>21.536667000000001</v>
      </c>
      <c r="D271" s="3">
        <v>21.290001</v>
      </c>
      <c r="E271" s="3">
        <v>49.959999000000003</v>
      </c>
      <c r="F271" s="3">
        <v>34.941521000000002</v>
      </c>
      <c r="G271" s="3">
        <v>21.6</v>
      </c>
      <c r="H271" s="3">
        <v>22.82</v>
      </c>
      <c r="I271" s="3">
        <v>47.065857000000001</v>
      </c>
      <c r="J271" s="3">
        <v>61.27</v>
      </c>
      <c r="L271" s="11">
        <f t="shared" si="42"/>
        <v>-2.8768124832531383E-3</v>
      </c>
      <c r="M271" s="11">
        <f t="shared" si="34"/>
        <v>-3.0942287342442193E-4</v>
      </c>
      <c r="N271" s="11">
        <f t="shared" si="35"/>
        <v>1.1401520731663716E-2</v>
      </c>
      <c r="O271" s="11">
        <f t="shared" si="36"/>
        <v>0.10849786998003114</v>
      </c>
      <c r="P271" s="11">
        <f t="shared" si="37"/>
        <v>5.7438020929728387E-3</v>
      </c>
      <c r="Q271" s="11">
        <f t="shared" si="38"/>
        <v>-1.3698630136986172E-2</v>
      </c>
      <c r="R271" s="11">
        <f t="shared" si="39"/>
        <v>-1.5105740181268942E-2</v>
      </c>
      <c r="S271" s="11">
        <f t="shared" si="40"/>
        <v>-1.127747073983933E-2</v>
      </c>
      <c r="T271" s="11">
        <f t="shared" si="41"/>
        <v>-2.6687862959684418E-2</v>
      </c>
      <c r="U271" s="11">
        <f t="shared" si="43"/>
        <v>6.1874726033568084E-3</v>
      </c>
      <c r="V271" s="11" cm="1">
        <f t="array" ref="V271">SUMPRODUCT(L271:T271,TRANSPOSE($Y$5:$Y$13))</f>
        <v>2.8999390470526836E-3</v>
      </c>
    </row>
    <row r="272" spans="1:22" x14ac:dyDescent="0.2">
      <c r="A272" s="1">
        <v>44041</v>
      </c>
      <c r="B272" s="3">
        <v>52.139999000000003</v>
      </c>
      <c r="C272" s="3">
        <v>21.543333000000001</v>
      </c>
      <c r="D272" s="3">
        <v>21.049999</v>
      </c>
      <c r="E272" s="3">
        <v>45.07</v>
      </c>
      <c r="F272" s="3">
        <v>34.741970000000002</v>
      </c>
      <c r="G272" s="3">
        <v>21.9</v>
      </c>
      <c r="H272" s="3">
        <v>23.17</v>
      </c>
      <c r="I272" s="3">
        <v>47.602694999999997</v>
      </c>
      <c r="J272" s="3">
        <v>62.950001</v>
      </c>
      <c r="L272" s="11">
        <f t="shared" si="42"/>
        <v>3.2475227722772337E-2</v>
      </c>
      <c r="M272" s="11">
        <f t="shared" si="34"/>
        <v>-9.1982673862251434E-3</v>
      </c>
      <c r="N272" s="11">
        <f t="shared" si="35"/>
        <v>-6.6069841148190169E-3</v>
      </c>
      <c r="O272" s="11">
        <f t="shared" si="36"/>
        <v>4.0098241035825639E-3</v>
      </c>
      <c r="P272" s="11">
        <f t="shared" si="37"/>
        <v>2.8802160417501026E-3</v>
      </c>
      <c r="Q272" s="11">
        <f t="shared" si="38"/>
        <v>1.4358499305233845E-2</v>
      </c>
      <c r="R272" s="11">
        <f t="shared" si="39"/>
        <v>1.6228114746847228E-2</v>
      </c>
      <c r="S272" s="11">
        <f t="shared" si="40"/>
        <v>3.7104247302766451E-2</v>
      </c>
      <c r="T272" s="11">
        <f t="shared" si="41"/>
        <v>4.3254905535299912E-2</v>
      </c>
      <c r="U272" s="11">
        <f t="shared" si="43"/>
        <v>1.4945087028578699E-2</v>
      </c>
      <c r="V272" s="11" cm="1">
        <f t="array" ref="V272">SUMPRODUCT(L272:T272,TRANSPOSE($Y$5:$Y$13))</f>
        <v>1.7776068879250817E-2</v>
      </c>
    </row>
    <row r="273" spans="1:22" x14ac:dyDescent="0.2">
      <c r="A273" s="1">
        <v>44040</v>
      </c>
      <c r="B273" s="3">
        <v>50.5</v>
      </c>
      <c r="C273" s="3">
        <v>21.743334000000001</v>
      </c>
      <c r="D273" s="3">
        <v>21.190000999999999</v>
      </c>
      <c r="E273" s="3">
        <v>44.889999000000003</v>
      </c>
      <c r="F273" s="3">
        <v>34.642192999999999</v>
      </c>
      <c r="G273" s="3">
        <v>21.59</v>
      </c>
      <c r="H273" s="3">
        <v>22.799999</v>
      </c>
      <c r="I273" s="3">
        <v>45.899624000000003</v>
      </c>
      <c r="J273" s="3">
        <v>60.34</v>
      </c>
      <c r="L273" s="11">
        <f t="shared" si="42"/>
        <v>-5.9054922422340931E-3</v>
      </c>
      <c r="M273" s="11">
        <f t="shared" si="34"/>
        <v>-1.5098837840822461E-2</v>
      </c>
      <c r="N273" s="11">
        <f t="shared" si="35"/>
        <v>-1.1660447217329888E-2</v>
      </c>
      <c r="O273" s="11">
        <f t="shared" si="36"/>
        <v>-1.1451244219334807E-2</v>
      </c>
      <c r="P273" s="11">
        <f t="shared" si="37"/>
        <v>-9.9800496744786252E-3</v>
      </c>
      <c r="Q273" s="11">
        <f t="shared" si="38"/>
        <v>1.5522107243649965E-2</v>
      </c>
      <c r="R273" s="11">
        <f t="shared" si="39"/>
        <v>-1.724146477407482E-2</v>
      </c>
      <c r="S273" s="11">
        <f t="shared" si="40"/>
        <v>-1.1560699865549532E-2</v>
      </c>
      <c r="T273" s="11">
        <f t="shared" si="41"/>
        <v>-1.6783428658683805E-2</v>
      </c>
      <c r="U273" s="11">
        <f t="shared" si="43"/>
        <v>-9.3510619165397841E-3</v>
      </c>
      <c r="V273" s="11" cm="1">
        <f t="array" ref="V273">SUMPRODUCT(L273:T273,TRANSPOSE($Y$5:$Y$13))</f>
        <v>-1.0094298590754187E-2</v>
      </c>
    </row>
    <row r="274" spans="1:22" x14ac:dyDescent="0.2">
      <c r="A274" s="1">
        <v>44039</v>
      </c>
      <c r="B274" s="3">
        <v>50.799999</v>
      </c>
      <c r="C274" s="3">
        <v>22.076665999999999</v>
      </c>
      <c r="D274" s="3">
        <v>21.440000999999999</v>
      </c>
      <c r="E274" s="3">
        <v>45.41</v>
      </c>
      <c r="F274" s="3">
        <v>34.991408999999997</v>
      </c>
      <c r="G274" s="3">
        <v>21.26</v>
      </c>
      <c r="H274" s="3">
        <v>23.200001</v>
      </c>
      <c r="I274" s="3">
        <v>46.436461999999999</v>
      </c>
      <c r="J274" s="3">
        <v>61.369999</v>
      </c>
      <c r="L274" s="11">
        <f t="shared" si="42"/>
        <v>-9.7465888839491019E-3</v>
      </c>
      <c r="M274" s="11">
        <f t="shared" si="34"/>
        <v>1.3465937466961576E-2</v>
      </c>
      <c r="N274" s="11">
        <f t="shared" si="35"/>
        <v>-5.1043157821028633E-3</v>
      </c>
      <c r="O274" s="11">
        <f t="shared" si="36"/>
        <v>1.5883646177099555E-2</v>
      </c>
      <c r="P274" s="11">
        <f t="shared" si="37"/>
        <v>-1.2946801300680159E-2</v>
      </c>
      <c r="Q274" s="11">
        <f t="shared" si="38"/>
        <v>-5.1474494549624454E-3</v>
      </c>
      <c r="R274" s="11">
        <f t="shared" si="39"/>
        <v>2.0677562692476899E-2</v>
      </c>
      <c r="S274" s="11">
        <f t="shared" si="40"/>
        <v>-1.181797423848969E-2</v>
      </c>
      <c r="T274" s="11">
        <f t="shared" si="41"/>
        <v>4.726964325152367E-2</v>
      </c>
      <c r="U274" s="11">
        <f t="shared" si="43"/>
        <v>5.8370733253197155E-3</v>
      </c>
      <c r="V274" s="11" cm="1">
        <f t="array" ref="V274">SUMPRODUCT(L274:T274,TRANSPOSE($Y$5:$Y$13))</f>
        <v>9.9803303179401108E-3</v>
      </c>
    </row>
    <row r="275" spans="1:22" x14ac:dyDescent="0.2">
      <c r="A275" s="1">
        <v>44036</v>
      </c>
      <c r="B275" s="3">
        <v>51.299999</v>
      </c>
      <c r="C275" s="3">
        <v>21.783332999999999</v>
      </c>
      <c r="D275" s="3">
        <v>21.549999</v>
      </c>
      <c r="E275" s="3">
        <v>44.700001</v>
      </c>
      <c r="F275" s="3">
        <v>35.450378000000001</v>
      </c>
      <c r="G275" s="3">
        <v>21.370000999999998</v>
      </c>
      <c r="H275" s="3">
        <v>22.73</v>
      </c>
      <c r="I275" s="3">
        <v>46.991810000000001</v>
      </c>
      <c r="J275" s="3">
        <v>58.599997999999999</v>
      </c>
      <c r="L275" s="11">
        <f t="shared" si="42"/>
        <v>-1.0607502819961531E-2</v>
      </c>
      <c r="M275" s="11">
        <f t="shared" si="34"/>
        <v>-2.5946428571428991E-3</v>
      </c>
      <c r="N275" s="11">
        <f t="shared" si="35"/>
        <v>8.8950370367491659E-3</v>
      </c>
      <c r="O275" s="11">
        <f t="shared" si="36"/>
        <v>-2.5719267094174644E-2</v>
      </c>
      <c r="P275" s="11">
        <f t="shared" si="37"/>
        <v>-6.4317791803179527E-3</v>
      </c>
      <c r="Q275" s="11">
        <f t="shared" si="38"/>
        <v>-2.0174141227608619E-2</v>
      </c>
      <c r="R275" s="11">
        <f t="shared" si="39"/>
        <v>7.0890562693841442E-3</v>
      </c>
      <c r="S275" s="11">
        <f t="shared" si="40"/>
        <v>9.5446308419667118E-3</v>
      </c>
      <c r="T275" s="11">
        <f t="shared" si="41"/>
        <v>-4.2480885046079359E-3</v>
      </c>
      <c r="U275" s="11">
        <f t="shared" si="43"/>
        <v>-4.9162997261903959E-3</v>
      </c>
      <c r="V275" s="11" cm="1">
        <f t="array" ref="V275">SUMPRODUCT(L275:T275,TRANSPOSE($Y$5:$Y$13))</f>
        <v>-4.8494786040321498E-3</v>
      </c>
    </row>
    <row r="276" spans="1:22" x14ac:dyDescent="0.2">
      <c r="A276" s="1">
        <v>44035</v>
      </c>
      <c r="B276" s="3">
        <v>51.849997999999999</v>
      </c>
      <c r="C276" s="3">
        <v>21.84</v>
      </c>
      <c r="D276" s="3">
        <v>21.360001</v>
      </c>
      <c r="E276" s="3">
        <v>45.880001</v>
      </c>
      <c r="F276" s="3">
        <v>35.679862999999997</v>
      </c>
      <c r="G276" s="3">
        <v>21.809999000000001</v>
      </c>
      <c r="H276" s="3">
        <v>22.57</v>
      </c>
      <c r="I276" s="3">
        <v>46.547530999999999</v>
      </c>
      <c r="J276" s="3">
        <v>58.849997999999999</v>
      </c>
      <c r="L276" s="11">
        <f t="shared" si="42"/>
        <v>-3.7854908848671598E-2</v>
      </c>
      <c r="M276" s="11">
        <f t="shared" si="34"/>
        <v>-1.7691183877325795E-2</v>
      </c>
      <c r="N276" s="11">
        <f t="shared" si="35"/>
        <v>1.0885092800998189E-2</v>
      </c>
      <c r="O276" s="11">
        <f t="shared" si="36"/>
        <v>-1.099370577697152E-2</v>
      </c>
      <c r="P276" s="11">
        <f t="shared" si="37"/>
        <v>-2.295077720483928E-2</v>
      </c>
      <c r="Q276" s="11">
        <f t="shared" si="38"/>
        <v>-1.6238204781235922E-2</v>
      </c>
      <c r="R276" s="11">
        <f t="shared" si="39"/>
        <v>-2.0824252530336311E-2</v>
      </c>
      <c r="S276" s="11">
        <f t="shared" si="40"/>
        <v>-1.7389621986308137E-2</v>
      </c>
      <c r="T276" s="11">
        <f t="shared" si="41"/>
        <v>-6.5834569013012122E-3</v>
      </c>
      <c r="U276" s="11">
        <f t="shared" si="43"/>
        <v>-1.5515668789554623E-2</v>
      </c>
      <c r="V276" s="11" cm="1">
        <f t="array" ref="V276">SUMPRODUCT(L276:T276,TRANSPOSE($Y$5:$Y$13))</f>
        <v>-1.4622447600729283E-2</v>
      </c>
    </row>
    <row r="277" spans="1:22" x14ac:dyDescent="0.2">
      <c r="A277" s="1">
        <v>44034</v>
      </c>
      <c r="B277" s="3">
        <v>53.889999000000003</v>
      </c>
      <c r="C277" s="3">
        <v>22.233333999999999</v>
      </c>
      <c r="D277" s="3">
        <v>21.129999000000002</v>
      </c>
      <c r="E277" s="3">
        <v>46.389999000000003</v>
      </c>
      <c r="F277" s="3">
        <v>36.517978999999997</v>
      </c>
      <c r="G277" s="3">
        <v>22.17</v>
      </c>
      <c r="H277" s="3">
        <v>23.049999</v>
      </c>
      <c r="I277" s="3">
        <v>47.371299999999998</v>
      </c>
      <c r="J277" s="3">
        <v>59.240001999999997</v>
      </c>
      <c r="L277" s="11">
        <f t="shared" si="42"/>
        <v>-1.5887491449506626E-2</v>
      </c>
      <c r="M277" s="11">
        <f t="shared" si="34"/>
        <v>8.6194315532954462E-3</v>
      </c>
      <c r="N277" s="11">
        <f t="shared" si="35"/>
        <v>6.6697951405432637E-3</v>
      </c>
      <c r="O277" s="11">
        <f t="shared" si="36"/>
        <v>-1.0663254652660581E-2</v>
      </c>
      <c r="P277" s="11">
        <f t="shared" si="37"/>
        <v>2.6936008756548127E-2</v>
      </c>
      <c r="Q277" s="11">
        <f t="shared" si="38"/>
        <v>-3.7342638413259167E-2</v>
      </c>
      <c r="R277" s="11">
        <f t="shared" si="39"/>
        <v>-1.3692853500519696E-2</v>
      </c>
      <c r="S277" s="11">
        <f t="shared" si="40"/>
        <v>3.3326802071700461E-3</v>
      </c>
      <c r="T277" s="11">
        <f t="shared" si="41"/>
        <v>-7.705175750332121E-3</v>
      </c>
      <c r="U277" s="11">
        <f t="shared" si="43"/>
        <v>-4.4148331231912575E-3</v>
      </c>
      <c r="V277" s="11" cm="1">
        <f t="array" ref="V277">SUMPRODUCT(L277:T277,TRANSPOSE($Y$5:$Y$13))</f>
        <v>-4.743867385905343E-3</v>
      </c>
    </row>
    <row r="278" spans="1:22" x14ac:dyDescent="0.2">
      <c r="A278" s="1">
        <v>44033</v>
      </c>
      <c r="B278" s="3">
        <v>54.759998000000003</v>
      </c>
      <c r="C278" s="3">
        <v>22.043333000000001</v>
      </c>
      <c r="D278" s="3">
        <v>20.99</v>
      </c>
      <c r="E278" s="3">
        <v>46.889999000000003</v>
      </c>
      <c r="F278" s="3">
        <v>35.560130999999998</v>
      </c>
      <c r="G278" s="3">
        <v>23.030000999999999</v>
      </c>
      <c r="H278" s="3">
        <v>23.370000999999998</v>
      </c>
      <c r="I278" s="3">
        <v>47.213951000000002</v>
      </c>
      <c r="J278" s="3">
        <v>59.700001</v>
      </c>
      <c r="L278" s="11">
        <f t="shared" si="42"/>
        <v>-9.7649368854418363E-3</v>
      </c>
      <c r="M278" s="11">
        <f t="shared" ref="M278:M341" si="44">(C278-C279)/C279</f>
        <v>-1.8842672020969668E-2</v>
      </c>
      <c r="N278" s="11">
        <f t="shared" ref="N278:N341" si="45">(D278-D279)/D279</f>
        <v>-1.3164080865068225E-2</v>
      </c>
      <c r="O278" s="11">
        <f t="shared" ref="O278:O341" si="46">(E278-E279)/E279</f>
        <v>1.471542987914801E-2</v>
      </c>
      <c r="P278" s="11">
        <f t="shared" ref="P278:P341" si="47">(F278-F279)/F279</f>
        <v>8.7743470876769161E-3</v>
      </c>
      <c r="Q278" s="11">
        <f t="shared" ref="Q278:Q341" si="48">(G278-G279)/G279</f>
        <v>-6.8995253600894688E-3</v>
      </c>
      <c r="R278" s="11">
        <f t="shared" ref="R278:R341" si="49">(H278-H279)/H279</f>
        <v>2.7704529463500441E-2</v>
      </c>
      <c r="S278" s="11">
        <f t="shared" ref="S278:S341" si="50">(I278-I279)/I279</f>
        <v>-7.3943875908821571E-3</v>
      </c>
      <c r="T278" s="11">
        <f t="shared" ref="T278:T341" si="51">(J278-J279)/J279</f>
        <v>-1.8092072665988026E-2</v>
      </c>
      <c r="U278" s="11">
        <f t="shared" si="43"/>
        <v>-2.5514854397904459E-3</v>
      </c>
      <c r="V278" s="11" cm="1">
        <f t="array" ref="V278">SUMPRODUCT(L278:T278,TRANSPOSE($Y$5:$Y$13))</f>
        <v>-4.1055441624102042E-3</v>
      </c>
    </row>
    <row r="279" spans="1:22" x14ac:dyDescent="0.2">
      <c r="A279" s="1">
        <v>44032</v>
      </c>
      <c r="B279" s="3">
        <v>55.299999</v>
      </c>
      <c r="C279" s="3">
        <v>22.466664999999999</v>
      </c>
      <c r="D279" s="3">
        <v>21.27</v>
      </c>
      <c r="E279" s="3">
        <v>46.209999000000003</v>
      </c>
      <c r="F279" s="3">
        <v>35.250827999999998</v>
      </c>
      <c r="G279" s="3">
        <v>23.190000999999999</v>
      </c>
      <c r="H279" s="3">
        <v>22.74</v>
      </c>
      <c r="I279" s="3">
        <v>47.565669999999997</v>
      </c>
      <c r="J279" s="3">
        <v>60.799999</v>
      </c>
      <c r="L279" s="11">
        <f t="shared" si="42"/>
        <v>5.2331114221334241E-2</v>
      </c>
      <c r="M279" s="11">
        <f t="shared" si="44"/>
        <v>5.4938179287695899E-2</v>
      </c>
      <c r="N279" s="11">
        <f t="shared" si="45"/>
        <v>1.5759263812833667E-2</v>
      </c>
      <c r="O279" s="11">
        <f t="shared" si="46"/>
        <v>5.6582806167948304E-3</v>
      </c>
      <c r="P279" s="11">
        <f t="shared" si="47"/>
        <v>-1.9772842908091673E-3</v>
      </c>
      <c r="Q279" s="11">
        <f t="shared" si="48"/>
        <v>1.8445366710584065E-2</v>
      </c>
      <c r="R279" s="11">
        <f t="shared" si="49"/>
        <v>0</v>
      </c>
      <c r="S279" s="11">
        <f t="shared" si="50"/>
        <v>4.8347616726071803E-2</v>
      </c>
      <c r="T279" s="11">
        <f t="shared" si="51"/>
        <v>-3.9318806695300829E-3</v>
      </c>
      <c r="U279" s="11">
        <f t="shared" si="43"/>
        <v>2.106340626833058E-2</v>
      </c>
      <c r="V279" s="11" cm="1">
        <f t="array" ref="V279">SUMPRODUCT(L279:T279,TRANSPOSE($Y$5:$Y$13))</f>
        <v>1.8563877574544523E-2</v>
      </c>
    </row>
    <row r="280" spans="1:22" x14ac:dyDescent="0.2">
      <c r="A280" s="1">
        <v>44029</v>
      </c>
      <c r="B280" s="3">
        <v>52.549999</v>
      </c>
      <c r="C280" s="3">
        <v>21.296665000000001</v>
      </c>
      <c r="D280" s="3">
        <v>20.940000999999999</v>
      </c>
      <c r="E280" s="3">
        <v>45.950001</v>
      </c>
      <c r="F280" s="3">
        <v>35.320667</v>
      </c>
      <c r="G280" s="3">
        <v>22.77</v>
      </c>
      <c r="H280" s="3">
        <v>22.74</v>
      </c>
      <c r="I280" s="3">
        <v>45.372039999999998</v>
      </c>
      <c r="J280" s="3">
        <v>61.040000999999997</v>
      </c>
      <c r="L280" s="11">
        <f t="shared" si="42"/>
        <v>-1.7757028037383184E-2</v>
      </c>
      <c r="M280" s="11">
        <f t="shared" si="44"/>
        <v>3.886170731707321E-2</v>
      </c>
      <c r="N280" s="11">
        <f t="shared" si="45"/>
        <v>1.2572582205028967E-2</v>
      </c>
      <c r="O280" s="11">
        <f t="shared" si="46"/>
        <v>3.0500134559318159E-2</v>
      </c>
      <c r="P280" s="11">
        <f t="shared" si="47"/>
        <v>1.9585191965185385E-2</v>
      </c>
      <c r="Q280" s="11">
        <f t="shared" si="48"/>
        <v>1.0652418524082665E-2</v>
      </c>
      <c r="R280" s="11">
        <f t="shared" si="49"/>
        <v>8.8032574297195376E-4</v>
      </c>
      <c r="S280" s="11">
        <f t="shared" si="50"/>
        <v>5.2382958044744056E-2</v>
      </c>
      <c r="T280" s="11">
        <f t="shared" si="51"/>
        <v>1.5302761398914805E-2</v>
      </c>
      <c r="U280" s="11">
        <f t="shared" si="43"/>
        <v>1.8109005746659558E-2</v>
      </c>
      <c r="V280" s="11" cm="1">
        <f t="array" ref="V280">SUMPRODUCT(L280:T280,TRANSPOSE($Y$5:$Y$13))</f>
        <v>1.7828381311885081E-2</v>
      </c>
    </row>
    <row r="281" spans="1:22" x14ac:dyDescent="0.2">
      <c r="A281" s="1">
        <v>44028</v>
      </c>
      <c r="B281" s="3">
        <v>53.5</v>
      </c>
      <c r="C281" s="3">
        <v>20.5</v>
      </c>
      <c r="D281" s="3">
        <v>20.68</v>
      </c>
      <c r="E281" s="3">
        <v>44.59</v>
      </c>
      <c r="F281" s="3">
        <v>34.642192999999999</v>
      </c>
      <c r="G281" s="3">
        <v>22.530000999999999</v>
      </c>
      <c r="H281" s="3">
        <v>22.719999000000001</v>
      </c>
      <c r="I281" s="3">
        <v>43.113621000000002</v>
      </c>
      <c r="J281" s="3">
        <v>60.119999</v>
      </c>
      <c r="L281" s="11">
        <f t="shared" si="42"/>
        <v>1.019639369706175E-2</v>
      </c>
      <c r="M281" s="11">
        <f t="shared" si="44"/>
        <v>-6.3014544983740197E-3</v>
      </c>
      <c r="N281" s="11">
        <f t="shared" si="45"/>
        <v>-1.3358731553374602E-2</v>
      </c>
      <c r="O281" s="11">
        <f t="shared" si="46"/>
        <v>-3.3527490678251096E-3</v>
      </c>
      <c r="P281" s="11">
        <f t="shared" si="47"/>
        <v>-1.6430616440343687E-2</v>
      </c>
      <c r="Q281" s="11">
        <f t="shared" si="48"/>
        <v>-9.6702857142857753E-3</v>
      </c>
      <c r="R281" s="11">
        <f t="shared" si="49"/>
        <v>-2.6563881748071914E-2</v>
      </c>
      <c r="S281" s="11">
        <f t="shared" si="50"/>
        <v>-7.8806915072998328E-3</v>
      </c>
      <c r="T281" s="11">
        <f t="shared" si="51"/>
        <v>-2.7027058957322183E-2</v>
      </c>
      <c r="U281" s="11">
        <f t="shared" si="43"/>
        <v>-1.1154341754426153E-2</v>
      </c>
      <c r="V281" s="11" cm="1">
        <f t="array" ref="V281">SUMPRODUCT(L281:T281,TRANSPOSE($Y$5:$Y$13))</f>
        <v>-1.2741613474715755E-2</v>
      </c>
    </row>
    <row r="282" spans="1:22" x14ac:dyDescent="0.2">
      <c r="A282" s="1">
        <v>44027</v>
      </c>
      <c r="B282" s="3">
        <v>52.959999000000003</v>
      </c>
      <c r="C282" s="3">
        <v>20.629999000000002</v>
      </c>
      <c r="D282" s="3">
        <v>20.959999</v>
      </c>
      <c r="E282" s="3">
        <v>44.740001999999997</v>
      </c>
      <c r="F282" s="3">
        <v>35.220894000000001</v>
      </c>
      <c r="G282" s="3">
        <v>22.75</v>
      </c>
      <c r="H282" s="3">
        <v>23.34</v>
      </c>
      <c r="I282" s="3">
        <v>43.456085000000002</v>
      </c>
      <c r="J282" s="3">
        <v>61.790000999999997</v>
      </c>
      <c r="L282" s="11">
        <f t="shared" si="42"/>
        <v>8.7618857142857786E-3</v>
      </c>
      <c r="M282" s="11">
        <f t="shared" si="44"/>
        <v>1.2266928963048524E-2</v>
      </c>
      <c r="N282" s="11">
        <f t="shared" si="45"/>
        <v>2.7450931372549083E-2</v>
      </c>
      <c r="O282" s="11">
        <f t="shared" si="46"/>
        <v>1.9134395483626544E-2</v>
      </c>
      <c r="P282" s="11">
        <f t="shared" si="47"/>
        <v>1.8759037207479418E-2</v>
      </c>
      <c r="Q282" s="11">
        <f t="shared" si="48"/>
        <v>-5.2470920311721231E-3</v>
      </c>
      <c r="R282" s="11">
        <f t="shared" si="49"/>
        <v>1.9213973799126694E-2</v>
      </c>
      <c r="S282" s="11">
        <f t="shared" si="50"/>
        <v>-1.3862672794097889E-2</v>
      </c>
      <c r="T282" s="11">
        <f t="shared" si="51"/>
        <v>1.4586709650133767E-3</v>
      </c>
      <c r="U282" s="11">
        <f t="shared" si="43"/>
        <v>9.7706731866510424E-3</v>
      </c>
      <c r="V282" s="11" cm="1">
        <f t="array" ref="V282">SUMPRODUCT(L282:T282,TRANSPOSE($Y$5:$Y$13))</f>
        <v>8.9394729644872769E-3</v>
      </c>
    </row>
    <row r="283" spans="1:22" x14ac:dyDescent="0.2">
      <c r="A283" s="1">
        <v>44026</v>
      </c>
      <c r="B283" s="3">
        <v>52.5</v>
      </c>
      <c r="C283" s="3">
        <v>20.379999000000002</v>
      </c>
      <c r="D283" s="3">
        <v>20.399999999999999</v>
      </c>
      <c r="E283" s="3">
        <v>43.900002000000001</v>
      </c>
      <c r="F283" s="3">
        <v>34.57235</v>
      </c>
      <c r="G283" s="3">
        <v>22.870000999999998</v>
      </c>
      <c r="H283" s="3">
        <v>22.9</v>
      </c>
      <c r="I283" s="3">
        <v>44.066971000000002</v>
      </c>
      <c r="J283" s="3">
        <v>61.700001</v>
      </c>
      <c r="L283" s="11">
        <f t="shared" si="42"/>
        <v>-8.8729656622057347E-3</v>
      </c>
      <c r="M283" s="11">
        <f t="shared" si="44"/>
        <v>2.0871564883479271E-2</v>
      </c>
      <c r="N283" s="11">
        <f t="shared" si="45"/>
        <v>1.8981018981018932E-2</v>
      </c>
      <c r="O283" s="11">
        <f t="shared" si="46"/>
        <v>4.2755441461066135E-2</v>
      </c>
      <c r="P283" s="11">
        <f t="shared" si="47"/>
        <v>1.4641273265057216E-2</v>
      </c>
      <c r="Q283" s="11">
        <f t="shared" si="48"/>
        <v>-2.1814572425830382E-3</v>
      </c>
      <c r="R283" s="11">
        <f t="shared" si="49"/>
        <v>3.3393501805054078E-2</v>
      </c>
      <c r="S283" s="11">
        <f t="shared" si="50"/>
        <v>1.3410012526029283E-2</v>
      </c>
      <c r="T283" s="11">
        <f t="shared" si="51"/>
        <v>7.0251497996478812E-2</v>
      </c>
      <c r="U283" s="11">
        <f t="shared" si="43"/>
        <v>2.2583320890377217E-2</v>
      </c>
      <c r="V283" s="11" cm="1">
        <f t="array" ref="V283">SUMPRODUCT(L283:T283,TRANSPOSE($Y$5:$Y$13))</f>
        <v>2.7350138600987377E-2</v>
      </c>
    </row>
    <row r="284" spans="1:22" x14ac:dyDescent="0.2">
      <c r="A284" s="1">
        <v>44025</v>
      </c>
      <c r="B284" s="3">
        <v>52.970001000000003</v>
      </c>
      <c r="C284" s="3">
        <v>19.963332999999999</v>
      </c>
      <c r="D284" s="3">
        <v>20.02</v>
      </c>
      <c r="E284" s="3">
        <v>42.099997999999999</v>
      </c>
      <c r="F284" s="3">
        <v>34.073470999999998</v>
      </c>
      <c r="G284" s="3">
        <v>22.92</v>
      </c>
      <c r="H284" s="3">
        <v>22.16</v>
      </c>
      <c r="I284" s="3">
        <v>43.483851999999999</v>
      </c>
      <c r="J284" s="3">
        <v>57.650002000000001</v>
      </c>
      <c r="L284" s="11">
        <f t="shared" si="42"/>
        <v>1.2810745942844162E-2</v>
      </c>
      <c r="M284" s="11">
        <f t="shared" si="44"/>
        <v>-1.0008840366677854E-3</v>
      </c>
      <c r="N284" s="11">
        <f t="shared" si="45"/>
        <v>-2.102694273706885E-2</v>
      </c>
      <c r="O284" s="11">
        <f t="shared" si="46"/>
        <v>-3.3073104431026477E-2</v>
      </c>
      <c r="P284" s="11">
        <f t="shared" si="47"/>
        <v>-2.8725807524239439E-2</v>
      </c>
      <c r="Q284" s="11">
        <f t="shared" si="48"/>
        <v>-2.0512820512820381E-2</v>
      </c>
      <c r="R284" s="11">
        <f t="shared" si="49"/>
        <v>-1.5548645046645998E-2</v>
      </c>
      <c r="S284" s="11">
        <f t="shared" si="50"/>
        <v>-1.4267799033900254E-2</v>
      </c>
      <c r="T284" s="11">
        <f t="shared" si="51"/>
        <v>1.1936124066418696E-2</v>
      </c>
      <c r="U284" s="11">
        <f t="shared" si="43"/>
        <v>-1.2156570368122925E-2</v>
      </c>
      <c r="V284" s="11" cm="1">
        <f t="array" ref="V284">SUMPRODUCT(L284:T284,TRANSPOSE($Y$5:$Y$13))</f>
        <v>-9.7473009246687638E-3</v>
      </c>
    </row>
    <row r="285" spans="1:22" x14ac:dyDescent="0.2">
      <c r="A285" s="1">
        <v>44022</v>
      </c>
      <c r="B285" s="3">
        <v>52.299999</v>
      </c>
      <c r="C285" s="3">
        <v>19.983333999999999</v>
      </c>
      <c r="D285" s="3">
        <v>20.450001</v>
      </c>
      <c r="E285" s="3">
        <v>43.540000999999997</v>
      </c>
      <c r="F285" s="3">
        <v>35.081206999999999</v>
      </c>
      <c r="G285" s="3">
        <v>23.4</v>
      </c>
      <c r="H285" s="3">
        <v>22.51</v>
      </c>
      <c r="I285" s="3">
        <v>44.113250999999998</v>
      </c>
      <c r="J285" s="3">
        <v>56.970001000000003</v>
      </c>
      <c r="L285" s="11">
        <f t="shared" si="42"/>
        <v>3.8387909343105984E-3</v>
      </c>
      <c r="M285" s="11">
        <f t="shared" si="44"/>
        <v>1.7999746204775544E-2</v>
      </c>
      <c r="N285" s="11">
        <f t="shared" si="45"/>
        <v>-9.2053299033589692E-3</v>
      </c>
      <c r="O285" s="11">
        <f t="shared" si="46"/>
        <v>4.8465033534961822E-3</v>
      </c>
      <c r="P285" s="11">
        <f t="shared" si="47"/>
        <v>-5.9372520330193412E-3</v>
      </c>
      <c r="Q285" s="11">
        <f t="shared" si="48"/>
        <v>1.2836542026677753E-3</v>
      </c>
      <c r="R285" s="11">
        <f t="shared" si="49"/>
        <v>1.6711879706950393E-2</v>
      </c>
      <c r="S285" s="11">
        <f t="shared" si="50"/>
        <v>1.4042592856733208E-2</v>
      </c>
      <c r="T285" s="11">
        <f t="shared" si="51"/>
        <v>9.7483697181273178E-3</v>
      </c>
      <c r="U285" s="11">
        <f t="shared" si="43"/>
        <v>5.9254394489647449E-3</v>
      </c>
      <c r="V285" s="11" cm="1">
        <f t="array" ref="V285">SUMPRODUCT(L285:T285,TRANSPOSE($Y$5:$Y$13))</f>
        <v>6.3077324758810029E-3</v>
      </c>
    </row>
    <row r="286" spans="1:22" x14ac:dyDescent="0.2">
      <c r="A286" s="1">
        <v>44021</v>
      </c>
      <c r="B286" s="3">
        <v>52.099997999999999</v>
      </c>
      <c r="C286" s="3">
        <v>19.629999000000002</v>
      </c>
      <c r="D286" s="3">
        <v>20.639999</v>
      </c>
      <c r="E286" s="3">
        <v>43.330002</v>
      </c>
      <c r="F286" s="3">
        <v>35.290737</v>
      </c>
      <c r="G286" s="3">
        <v>23.370000999999998</v>
      </c>
      <c r="H286" s="3">
        <v>22.139999</v>
      </c>
      <c r="I286" s="3">
        <v>43.502364999999998</v>
      </c>
      <c r="J286" s="3">
        <v>56.419998</v>
      </c>
      <c r="L286" s="11">
        <f t="shared" si="42"/>
        <v>3.2735990756787917E-3</v>
      </c>
      <c r="M286" s="11">
        <f t="shared" si="44"/>
        <v>-2.9018930669326395E-2</v>
      </c>
      <c r="N286" s="11">
        <f t="shared" si="45"/>
        <v>-1.7142904761904783E-2</v>
      </c>
      <c r="O286" s="11">
        <f t="shared" si="46"/>
        <v>-2.4538407228203822E-2</v>
      </c>
      <c r="P286" s="11">
        <f t="shared" si="47"/>
        <v>0.10118310276838029</v>
      </c>
      <c r="Q286" s="11">
        <f t="shared" si="48"/>
        <v>2.2757155361050198E-2</v>
      </c>
      <c r="R286" s="11">
        <f t="shared" si="49"/>
        <v>-2.2516600441501063E-2</v>
      </c>
      <c r="S286" s="11">
        <f t="shared" si="50"/>
        <v>-6.9723415515335506E-3</v>
      </c>
      <c r="T286" s="11">
        <f t="shared" si="51"/>
        <v>-1.5701360781577123E-2</v>
      </c>
      <c r="U286" s="11">
        <f t="shared" si="43"/>
        <v>1.258145752340281E-3</v>
      </c>
      <c r="V286" s="11" cm="1">
        <f t="array" ref="V286">SUMPRODUCT(L286:T286,TRANSPOSE($Y$5:$Y$13))</f>
        <v>-4.3780490105145781E-4</v>
      </c>
    </row>
    <row r="287" spans="1:22" x14ac:dyDescent="0.2">
      <c r="A287" s="1">
        <v>44020</v>
      </c>
      <c r="B287" s="3">
        <v>51.93</v>
      </c>
      <c r="C287" s="3">
        <v>20.216664999999999</v>
      </c>
      <c r="D287" s="3">
        <v>21</v>
      </c>
      <c r="E287" s="3">
        <v>44.419998</v>
      </c>
      <c r="F287" s="3">
        <v>32.048018999999996</v>
      </c>
      <c r="G287" s="3">
        <v>22.85</v>
      </c>
      <c r="H287" s="3">
        <v>22.65</v>
      </c>
      <c r="I287" s="3">
        <v>43.807808000000001</v>
      </c>
      <c r="J287" s="3">
        <v>57.32</v>
      </c>
      <c r="L287" s="11">
        <f t="shared" si="42"/>
        <v>2.0837448807498497E-2</v>
      </c>
      <c r="M287" s="11">
        <f t="shared" si="44"/>
        <v>6.08710915577306E-2</v>
      </c>
      <c r="N287" s="11">
        <f t="shared" si="45"/>
        <v>1.9912578921806711E-2</v>
      </c>
      <c r="O287" s="11">
        <f t="shared" si="46"/>
        <v>9.3160649541496592E-3</v>
      </c>
      <c r="P287" s="11">
        <f t="shared" si="47"/>
        <v>1.1653548765409586E-2</v>
      </c>
      <c r="Q287" s="11">
        <f t="shared" si="48"/>
        <v>2.0089285714285844E-2</v>
      </c>
      <c r="R287" s="11">
        <f t="shared" si="49"/>
        <v>1.8893387314439864E-2</v>
      </c>
      <c r="S287" s="11">
        <f t="shared" si="50"/>
        <v>-3.9983249237347069E-3</v>
      </c>
      <c r="T287" s="11">
        <f t="shared" si="51"/>
        <v>1.6852953997746219E-2</v>
      </c>
      <c r="U287" s="11">
        <f t="shared" si="43"/>
        <v>1.9380892789925813E-2</v>
      </c>
      <c r="V287" s="11" cm="1">
        <f t="array" ref="V287">SUMPRODUCT(L287:T287,TRANSPOSE($Y$5:$Y$13))</f>
        <v>1.9128098910707853E-2</v>
      </c>
    </row>
    <row r="288" spans="1:22" x14ac:dyDescent="0.2">
      <c r="A288" s="1">
        <v>44019</v>
      </c>
      <c r="B288" s="3">
        <v>50.869999</v>
      </c>
      <c r="C288" s="3">
        <v>19.056664999999999</v>
      </c>
      <c r="D288" s="3">
        <v>20.59</v>
      </c>
      <c r="E288" s="3">
        <v>44.009998000000003</v>
      </c>
      <c r="F288" s="3">
        <v>31.678847999999999</v>
      </c>
      <c r="G288" s="3">
        <v>22.4</v>
      </c>
      <c r="H288" s="3">
        <v>22.23</v>
      </c>
      <c r="I288" s="3">
        <v>43.983668999999999</v>
      </c>
      <c r="J288" s="3">
        <v>56.369999</v>
      </c>
      <c r="L288" s="11">
        <f t="shared" si="42"/>
        <v>1.7399979999999999E-2</v>
      </c>
      <c r="M288" s="11">
        <f t="shared" si="44"/>
        <v>1.1500265392781263E-2</v>
      </c>
      <c r="N288" s="11">
        <f t="shared" si="45"/>
        <v>-2.4224322879085255E-3</v>
      </c>
      <c r="O288" s="11">
        <f t="shared" si="46"/>
        <v>1.7572208092485619E-2</v>
      </c>
      <c r="P288" s="11">
        <f t="shared" si="47"/>
        <v>-2.6073615340980683E-2</v>
      </c>
      <c r="Q288" s="11">
        <f t="shared" si="48"/>
        <v>-1.7543816558939371E-2</v>
      </c>
      <c r="R288" s="11">
        <f t="shared" si="49"/>
        <v>-1.2438916037316798E-2</v>
      </c>
      <c r="S288" s="11">
        <f t="shared" si="50"/>
        <v>-1.123592348278858E-2</v>
      </c>
      <c r="T288" s="11">
        <f t="shared" si="51"/>
        <v>-3.5354604914265568E-3</v>
      </c>
      <c r="U288" s="11">
        <f t="shared" si="43"/>
        <v>-2.9753011904548477E-3</v>
      </c>
      <c r="V288" s="11" cm="1">
        <f t="array" ref="V288">SUMPRODUCT(L288:T288,TRANSPOSE($Y$5:$Y$13))</f>
        <v>-3.0313171205520193E-3</v>
      </c>
    </row>
    <row r="289" spans="1:22" x14ac:dyDescent="0.2">
      <c r="A289" s="1">
        <v>44018</v>
      </c>
      <c r="B289" s="3">
        <v>50</v>
      </c>
      <c r="C289" s="3">
        <v>18.84</v>
      </c>
      <c r="D289" s="3">
        <v>20.639999</v>
      </c>
      <c r="E289" s="3">
        <v>43.25</v>
      </c>
      <c r="F289" s="3">
        <v>32.526943000000003</v>
      </c>
      <c r="G289" s="3">
        <v>22.799999</v>
      </c>
      <c r="H289" s="3">
        <v>22.51</v>
      </c>
      <c r="I289" s="3">
        <v>44.483482000000002</v>
      </c>
      <c r="J289" s="3">
        <v>56.57</v>
      </c>
      <c r="L289" s="11">
        <f t="shared" si="42"/>
        <v>2.564102564102564E-2</v>
      </c>
      <c r="M289" s="11">
        <f t="shared" si="44"/>
        <v>3.540531224109058E-4</v>
      </c>
      <c r="N289" s="11">
        <f t="shared" si="45"/>
        <v>-1.1020699040694772E-2</v>
      </c>
      <c r="O289" s="11">
        <f t="shared" si="46"/>
        <v>1.2880538340034223E-2</v>
      </c>
      <c r="P289" s="11">
        <f t="shared" si="47"/>
        <v>5.1612822295226825E-2</v>
      </c>
      <c r="Q289" s="11">
        <f t="shared" si="48"/>
        <v>6.7915644028102962E-2</v>
      </c>
      <c r="R289" s="11">
        <f t="shared" si="49"/>
        <v>2.4112829845313974E-2</v>
      </c>
      <c r="S289" s="11">
        <f t="shared" si="50"/>
        <v>-1.0296559843870491E-2</v>
      </c>
      <c r="T289" s="11">
        <f t="shared" si="51"/>
        <v>2.3706153590523062E-2</v>
      </c>
      <c r="U289" s="11">
        <f t="shared" si="43"/>
        <v>2.054508977534137E-2</v>
      </c>
      <c r="V289" s="11" cm="1">
        <f t="array" ref="V289">SUMPRODUCT(L289:T289,TRANSPOSE($Y$5:$Y$13))</f>
        <v>2.0861196156859541E-2</v>
      </c>
    </row>
    <row r="290" spans="1:22" x14ac:dyDescent="0.2">
      <c r="A290" s="1">
        <v>44015</v>
      </c>
      <c r="B290" s="3">
        <v>48.75</v>
      </c>
      <c r="C290" s="3">
        <v>18.833331999999999</v>
      </c>
      <c r="D290" s="3">
        <v>20.870000999999998</v>
      </c>
      <c r="E290" s="3">
        <v>42.700001</v>
      </c>
      <c r="F290" s="3">
        <v>30.930530999999998</v>
      </c>
      <c r="G290" s="3">
        <v>21.35</v>
      </c>
      <c r="H290" s="3">
        <v>21.98</v>
      </c>
      <c r="I290" s="3">
        <v>44.946274000000003</v>
      </c>
      <c r="J290" s="3">
        <v>55.259998000000003</v>
      </c>
      <c r="L290" s="11">
        <f t="shared" si="42"/>
        <v>8.6902127585262601E-3</v>
      </c>
      <c r="M290" s="11">
        <f t="shared" si="44"/>
        <v>5.3379713402856837E-3</v>
      </c>
      <c r="N290" s="11">
        <f t="shared" si="45"/>
        <v>7.2394791138743336E-3</v>
      </c>
      <c r="O290" s="11">
        <f t="shared" si="46"/>
        <v>7.313092883064168E-3</v>
      </c>
      <c r="P290" s="11">
        <f t="shared" si="47"/>
        <v>-6.41019854718663E-3</v>
      </c>
      <c r="Q290" s="11">
        <f t="shared" si="48"/>
        <v>2.891566265060248E-2</v>
      </c>
      <c r="R290" s="11">
        <f t="shared" si="49"/>
        <v>-3.6264280882334046E-3</v>
      </c>
      <c r="S290" s="11">
        <f t="shared" si="50"/>
        <v>5.1082297609895619E-2</v>
      </c>
      <c r="T290" s="11">
        <f t="shared" si="51"/>
        <v>-4.1449629070114992E-3</v>
      </c>
      <c r="U290" s="11">
        <f t="shared" si="43"/>
        <v>1.0488569645979669E-2</v>
      </c>
      <c r="V290" s="11" cm="1">
        <f t="array" ref="V290">SUMPRODUCT(L290:T290,TRANSPOSE($Y$5:$Y$13))</f>
        <v>9.0252163906805512E-3</v>
      </c>
    </row>
    <row r="291" spans="1:22" x14ac:dyDescent="0.2">
      <c r="A291" s="1">
        <v>44014</v>
      </c>
      <c r="B291" s="3">
        <v>48.330002</v>
      </c>
      <c r="C291" s="3">
        <v>18.733333999999999</v>
      </c>
      <c r="D291" s="3">
        <v>20.719999000000001</v>
      </c>
      <c r="E291" s="3">
        <v>42.389999000000003</v>
      </c>
      <c r="F291" s="3">
        <v>31.130081000000001</v>
      </c>
      <c r="G291" s="3">
        <v>20.75</v>
      </c>
      <c r="H291" s="3">
        <v>22.059999000000001</v>
      </c>
      <c r="I291" s="3">
        <v>42.761898000000002</v>
      </c>
      <c r="J291" s="3">
        <v>55.490001999999997</v>
      </c>
      <c r="L291" s="11">
        <f t="shared" si="42"/>
        <v>7.0848090400163653E-3</v>
      </c>
      <c r="M291" s="11">
        <f t="shared" si="44"/>
        <v>3.0341603795880048E-3</v>
      </c>
      <c r="N291" s="11">
        <f t="shared" si="45"/>
        <v>-3.8461540310650156E-3</v>
      </c>
      <c r="O291" s="11">
        <f t="shared" si="46"/>
        <v>9.4453369277617747E-4</v>
      </c>
      <c r="P291" s="11">
        <f t="shared" si="47"/>
        <v>-4.2651178301740741E-2</v>
      </c>
      <c r="Q291" s="11">
        <f t="shared" si="48"/>
        <v>-9.5465866564875251E-3</v>
      </c>
      <c r="R291" s="11">
        <f t="shared" si="49"/>
        <v>1.6121603690539159E-2</v>
      </c>
      <c r="S291" s="11">
        <f t="shared" si="50"/>
        <v>-4.3104273269915444E-3</v>
      </c>
      <c r="T291" s="11">
        <f t="shared" si="51"/>
        <v>1.7418426523314517E-2</v>
      </c>
      <c r="U291" s="11">
        <f t="shared" si="43"/>
        <v>-1.7500903322278443E-3</v>
      </c>
      <c r="V291" s="11" cm="1">
        <f t="array" ref="V291">SUMPRODUCT(L291:T291,TRANSPOSE($Y$5:$Y$13))</f>
        <v>1.6676135332639166E-4</v>
      </c>
    </row>
    <row r="292" spans="1:22" x14ac:dyDescent="0.2">
      <c r="A292" s="1">
        <v>44013</v>
      </c>
      <c r="B292" s="3">
        <v>47.990001999999997</v>
      </c>
      <c r="C292" s="3">
        <v>18.676666000000001</v>
      </c>
      <c r="D292" s="3">
        <v>20.799999</v>
      </c>
      <c r="E292" s="3">
        <v>42.349997999999999</v>
      </c>
      <c r="F292" s="3">
        <v>32.516967999999999</v>
      </c>
      <c r="G292" s="3">
        <v>20.950001</v>
      </c>
      <c r="H292" s="3">
        <v>21.709999</v>
      </c>
      <c r="I292" s="3">
        <v>42.947018</v>
      </c>
      <c r="J292" s="3">
        <v>54.540000999999997</v>
      </c>
      <c r="L292" s="11">
        <f t="shared" si="42"/>
        <v>1.8789143265588236E-3</v>
      </c>
      <c r="M292" s="11">
        <f t="shared" si="44"/>
        <v>1.7062969995697407E-2</v>
      </c>
      <c r="N292" s="11">
        <f t="shared" si="45"/>
        <v>5.8026595744680833E-3</v>
      </c>
      <c r="O292" s="11">
        <f t="shared" si="46"/>
        <v>3.5199168907357685E-2</v>
      </c>
      <c r="P292" s="11">
        <f t="shared" si="47"/>
        <v>1.2740952120698755E-2</v>
      </c>
      <c r="Q292" s="11">
        <f t="shared" si="48"/>
        <v>2.1951268292682943E-2</v>
      </c>
      <c r="R292" s="11">
        <f t="shared" si="49"/>
        <v>7.4245943120461464E-3</v>
      </c>
      <c r="S292" s="11">
        <f t="shared" si="50"/>
        <v>2.950969019267239E-2</v>
      </c>
      <c r="T292" s="11">
        <f t="shared" si="51"/>
        <v>-2.4678058822534345E-2</v>
      </c>
      <c r="U292" s="11">
        <f t="shared" si="43"/>
        <v>1.1876906544405319E-2</v>
      </c>
      <c r="V292" s="11" cm="1">
        <f t="array" ref="V292">SUMPRODUCT(L292:T292,TRANSPOSE($Y$5:$Y$13))</f>
        <v>8.2214100077113543E-3</v>
      </c>
    </row>
    <row r="293" spans="1:22" x14ac:dyDescent="0.2">
      <c r="A293" s="1">
        <v>44012</v>
      </c>
      <c r="B293" s="3">
        <v>47.900002000000001</v>
      </c>
      <c r="C293" s="3">
        <v>18.363333000000001</v>
      </c>
      <c r="D293" s="3">
        <v>20.68</v>
      </c>
      <c r="E293" s="3">
        <v>40.909999999999997</v>
      </c>
      <c r="F293" s="3">
        <v>32.107883000000001</v>
      </c>
      <c r="G293" s="3">
        <v>20.5</v>
      </c>
      <c r="H293" s="3">
        <v>21.549999</v>
      </c>
      <c r="I293" s="3">
        <v>41.715992</v>
      </c>
      <c r="J293" s="3">
        <v>55.919998</v>
      </c>
      <c r="L293" s="11">
        <f t="shared" si="42"/>
        <v>9.483687892862221E-3</v>
      </c>
      <c r="M293" s="11">
        <f t="shared" si="44"/>
        <v>2.3653384279476259E-3</v>
      </c>
      <c r="N293" s="11">
        <f t="shared" si="45"/>
        <v>2.1739130434782674E-2</v>
      </c>
      <c r="O293" s="11">
        <f t="shared" si="46"/>
        <v>-7.2797623702928688E-3</v>
      </c>
      <c r="P293" s="11">
        <f t="shared" si="47"/>
        <v>5.6249177649325835E-3</v>
      </c>
      <c r="Q293" s="11">
        <f t="shared" si="48"/>
        <v>-1.0617712867650302E-2</v>
      </c>
      <c r="R293" s="11">
        <f t="shared" si="49"/>
        <v>-5.0785318559557003E-3</v>
      </c>
      <c r="S293" s="11">
        <f t="shared" si="50"/>
        <v>-1.9151196475414245E-2</v>
      </c>
      <c r="T293" s="11">
        <f t="shared" si="51"/>
        <v>5.2129605390443838E-3</v>
      </c>
      <c r="U293" s="11">
        <f t="shared" si="43"/>
        <v>2.5542572113959714E-4</v>
      </c>
      <c r="V293" s="11" cm="1">
        <f t="array" ref="V293">SUMPRODUCT(L293:T293,TRANSPOSE($Y$5:$Y$13))</f>
        <v>7.5117920293007534E-4</v>
      </c>
    </row>
    <row r="294" spans="1:22" x14ac:dyDescent="0.2">
      <c r="A294" s="1">
        <v>44011</v>
      </c>
      <c r="B294" s="3">
        <v>47.450001</v>
      </c>
      <c r="C294" s="3">
        <v>18.32</v>
      </c>
      <c r="D294" s="3">
        <v>20.239999999999998</v>
      </c>
      <c r="E294" s="3">
        <v>41.209999000000003</v>
      </c>
      <c r="F294" s="3">
        <v>31.928288999999999</v>
      </c>
      <c r="G294" s="3">
        <v>20.719999000000001</v>
      </c>
      <c r="H294" s="3">
        <v>21.66</v>
      </c>
      <c r="I294" s="3">
        <v>42.530501999999998</v>
      </c>
      <c r="J294" s="3">
        <v>55.630001</v>
      </c>
      <c r="L294" s="11">
        <f t="shared" si="42"/>
        <v>2.5059407538142064E-2</v>
      </c>
      <c r="M294" s="11">
        <f t="shared" si="44"/>
        <v>2.8250740065509383E-2</v>
      </c>
      <c r="N294" s="11">
        <f t="shared" si="45"/>
        <v>-1.3164310092637889E-2</v>
      </c>
      <c r="O294" s="11">
        <f t="shared" si="46"/>
        <v>2.3850906832298222E-2</v>
      </c>
      <c r="P294" s="11">
        <f t="shared" si="47"/>
        <v>2.7947338974028509E-2</v>
      </c>
      <c r="Q294" s="11">
        <f t="shared" si="48"/>
        <v>2.4221403855659959E-2</v>
      </c>
      <c r="R294" s="11">
        <f t="shared" si="49"/>
        <v>3.9347408829174681E-2</v>
      </c>
      <c r="S294" s="11">
        <f t="shared" si="50"/>
        <v>7.4544829833280528E-3</v>
      </c>
      <c r="T294" s="11">
        <f t="shared" si="51"/>
        <v>1.7982740344889373E-4</v>
      </c>
      <c r="U294" s="11">
        <f t="shared" si="43"/>
        <v>1.8127467376550209E-2</v>
      </c>
      <c r="V294" s="11" cm="1">
        <f t="array" ref="V294">SUMPRODUCT(L294:T294,TRANSPOSE($Y$5:$Y$13))</f>
        <v>1.6332703379240077E-2</v>
      </c>
    </row>
    <row r="295" spans="1:22" x14ac:dyDescent="0.2">
      <c r="A295" s="1">
        <v>44008</v>
      </c>
      <c r="B295" s="3">
        <v>46.290000999999997</v>
      </c>
      <c r="C295" s="3">
        <v>17.816666000000001</v>
      </c>
      <c r="D295" s="3">
        <v>20.51</v>
      </c>
      <c r="E295" s="3">
        <v>40.25</v>
      </c>
      <c r="F295" s="3">
        <v>31.060237999999998</v>
      </c>
      <c r="G295" s="3">
        <v>20.23</v>
      </c>
      <c r="H295" s="3">
        <v>20.84</v>
      </c>
      <c r="I295" s="3">
        <v>42.215805000000003</v>
      </c>
      <c r="J295" s="3">
        <v>55.619999</v>
      </c>
      <c r="L295" s="11">
        <f t="shared" si="42"/>
        <v>-3.36117104963796E-2</v>
      </c>
      <c r="M295" s="11">
        <f t="shared" si="44"/>
        <v>-2.8181783867765948E-2</v>
      </c>
      <c r="N295" s="11">
        <f t="shared" si="45"/>
        <v>2.4438417616736803E-3</v>
      </c>
      <c r="O295" s="11">
        <f t="shared" si="46"/>
        <v>-2.8950566249684777E-2</v>
      </c>
      <c r="P295" s="11">
        <f t="shared" si="47"/>
        <v>-3.9197562265537542E-2</v>
      </c>
      <c r="Q295" s="11">
        <f t="shared" si="48"/>
        <v>-5.0234697194117203E-2</v>
      </c>
      <c r="R295" s="11">
        <f t="shared" si="49"/>
        <v>-2.9343224468711036E-2</v>
      </c>
      <c r="S295" s="11">
        <f t="shared" si="50"/>
        <v>-1.8506570033353095E-2</v>
      </c>
      <c r="T295" s="11">
        <f t="shared" si="51"/>
        <v>-6.7857321428571437E-3</v>
      </c>
      <c r="U295" s="11">
        <f t="shared" si="43"/>
        <v>-2.5818667217414739E-2</v>
      </c>
      <c r="V295" s="11" cm="1">
        <f t="array" ref="V295">SUMPRODUCT(L295:T295,TRANSPOSE($Y$5:$Y$13))</f>
        <v>-2.3915373709958981E-2</v>
      </c>
    </row>
    <row r="296" spans="1:22" x14ac:dyDescent="0.2">
      <c r="A296" s="1">
        <v>44007</v>
      </c>
      <c r="B296" s="3">
        <v>47.900002000000001</v>
      </c>
      <c r="C296" s="3">
        <v>18.333331999999999</v>
      </c>
      <c r="D296" s="3">
        <v>20.459999</v>
      </c>
      <c r="E296" s="3">
        <v>41.450001</v>
      </c>
      <c r="F296" s="3">
        <v>32.327393000000001</v>
      </c>
      <c r="G296" s="3">
        <v>21.299999</v>
      </c>
      <c r="H296" s="3">
        <v>21.469999000000001</v>
      </c>
      <c r="I296" s="3">
        <v>43.011806</v>
      </c>
      <c r="J296" s="3">
        <v>56</v>
      </c>
      <c r="L296" s="11">
        <f t="shared" si="42"/>
        <v>5.4137391156192594E-2</v>
      </c>
      <c r="M296" s="11">
        <f t="shared" si="44"/>
        <v>4.4634361517627376E-2</v>
      </c>
      <c r="N296" s="11">
        <f t="shared" si="45"/>
        <v>-1.9512682926829353E-3</v>
      </c>
      <c r="O296" s="11">
        <f t="shared" si="46"/>
        <v>1.1469033674963481E-2</v>
      </c>
      <c r="P296" s="11">
        <f t="shared" si="47"/>
        <v>1.8867942962873117E-2</v>
      </c>
      <c r="Q296" s="11">
        <f t="shared" si="48"/>
        <v>-4.6729439252335934E-3</v>
      </c>
      <c r="R296" s="11">
        <f t="shared" si="49"/>
        <v>2.2380904761904827E-2</v>
      </c>
      <c r="S296" s="11">
        <f t="shared" si="50"/>
        <v>4.9932200319921689E-2</v>
      </c>
      <c r="T296" s="11">
        <f t="shared" si="51"/>
        <v>1.1012836450854546E-2</v>
      </c>
      <c r="U296" s="11">
        <f t="shared" si="43"/>
        <v>2.2867828736269011E-2</v>
      </c>
      <c r="V296" s="11" cm="1">
        <f t="array" ref="V296">SUMPRODUCT(L296:T296,TRANSPOSE($Y$5:$Y$13))</f>
        <v>2.1682329507727569E-2</v>
      </c>
    </row>
    <row r="297" spans="1:22" x14ac:dyDescent="0.2">
      <c r="A297" s="1">
        <v>44006</v>
      </c>
      <c r="B297" s="3">
        <v>45.439999</v>
      </c>
      <c r="C297" s="3">
        <v>17.549999</v>
      </c>
      <c r="D297" s="3">
        <v>20.5</v>
      </c>
      <c r="E297" s="3">
        <v>40.98</v>
      </c>
      <c r="F297" s="3">
        <v>31.728736999999999</v>
      </c>
      <c r="G297" s="3">
        <v>21.4</v>
      </c>
      <c r="H297" s="3">
        <v>21</v>
      </c>
      <c r="I297" s="3">
        <v>40.966270000000002</v>
      </c>
      <c r="J297" s="3">
        <v>55.389999000000003</v>
      </c>
      <c r="L297" s="11">
        <f t="shared" si="42"/>
        <v>-4.6779926443462391E-2</v>
      </c>
      <c r="M297" s="11">
        <f t="shared" si="44"/>
        <v>7.0772573480204874E-3</v>
      </c>
      <c r="N297" s="11">
        <f t="shared" si="45"/>
        <v>2.6539861118670991E-2</v>
      </c>
      <c r="O297" s="11">
        <f t="shared" si="46"/>
        <v>-1.8678113921365758E-2</v>
      </c>
      <c r="P297" s="11">
        <f t="shared" si="47"/>
        <v>-2.7225405505718635E-2</v>
      </c>
      <c r="Q297" s="11">
        <f t="shared" si="48"/>
        <v>-2.327704244637159E-2</v>
      </c>
      <c r="R297" s="11">
        <f t="shared" si="49"/>
        <v>-3.0023094688221647E-2</v>
      </c>
      <c r="S297" s="11">
        <f t="shared" si="50"/>
        <v>-7.6233192981327354E-3</v>
      </c>
      <c r="T297" s="11">
        <f t="shared" si="51"/>
        <v>-3.5977873718294712E-3</v>
      </c>
      <c r="U297" s="11">
        <f t="shared" si="43"/>
        <v>-1.3731952356490083E-2</v>
      </c>
      <c r="V297" s="11" cm="1">
        <f t="array" ref="V297">SUMPRODUCT(L297:T297,TRANSPOSE($Y$5:$Y$13))</f>
        <v>-1.2718535858024021E-2</v>
      </c>
    </row>
    <row r="298" spans="1:22" x14ac:dyDescent="0.2">
      <c r="A298" s="1">
        <v>44005</v>
      </c>
      <c r="B298" s="3">
        <v>47.669998</v>
      </c>
      <c r="C298" s="3">
        <v>17.426666000000001</v>
      </c>
      <c r="D298" s="3">
        <v>19.969999000000001</v>
      </c>
      <c r="E298" s="3">
        <v>41.759998000000003</v>
      </c>
      <c r="F298" s="3">
        <v>32.616740999999998</v>
      </c>
      <c r="G298" s="3">
        <v>21.91</v>
      </c>
      <c r="H298" s="3">
        <v>21.65</v>
      </c>
      <c r="I298" s="3">
        <v>41.280968000000001</v>
      </c>
      <c r="J298" s="3">
        <v>55.59</v>
      </c>
      <c r="L298" s="11">
        <f t="shared" si="42"/>
        <v>2.9811988986563277E-2</v>
      </c>
      <c r="M298" s="11">
        <f t="shared" si="44"/>
        <v>3.8744227324772028E-2</v>
      </c>
      <c r="N298" s="11">
        <f t="shared" si="45"/>
        <v>-1.9155303577833765E-2</v>
      </c>
      <c r="O298" s="11">
        <f t="shared" si="46"/>
        <v>1.2609019757079695E-2</v>
      </c>
      <c r="P298" s="11">
        <f t="shared" si="47"/>
        <v>5.8460544043775894E-3</v>
      </c>
      <c r="Q298" s="11">
        <f t="shared" si="48"/>
        <v>-4.0909090909090843E-3</v>
      </c>
      <c r="R298" s="11">
        <f t="shared" si="49"/>
        <v>3.3412838500580418E-2</v>
      </c>
      <c r="S298" s="11">
        <f t="shared" si="50"/>
        <v>-6.7218228783808584E-4</v>
      </c>
      <c r="T298" s="11">
        <f t="shared" si="51"/>
        <v>1.072727272727279E-2</v>
      </c>
      <c r="U298" s="11">
        <f t="shared" si="43"/>
        <v>1.1914778527118319E-2</v>
      </c>
      <c r="V298" s="11" cm="1">
        <f t="array" ref="V298">SUMPRODUCT(L298:T298,TRANSPOSE($Y$5:$Y$13))</f>
        <v>1.1796027947133764E-2</v>
      </c>
    </row>
    <row r="299" spans="1:22" x14ac:dyDescent="0.2">
      <c r="A299" s="1">
        <v>44004</v>
      </c>
      <c r="B299" s="3">
        <v>46.290000999999997</v>
      </c>
      <c r="C299" s="3">
        <v>16.776667</v>
      </c>
      <c r="D299" s="3">
        <v>20.360001</v>
      </c>
      <c r="E299" s="3">
        <v>41.240001999999997</v>
      </c>
      <c r="F299" s="3">
        <v>32.427169999999997</v>
      </c>
      <c r="G299" s="3">
        <v>22</v>
      </c>
      <c r="H299" s="3">
        <v>20.950001</v>
      </c>
      <c r="I299" s="3">
        <v>41.308734999999999</v>
      </c>
      <c r="J299" s="3">
        <v>55</v>
      </c>
      <c r="L299" s="11">
        <f t="shared" si="42"/>
        <v>3.8357983922925713E-2</v>
      </c>
      <c r="M299" s="11">
        <f t="shared" si="44"/>
        <v>-1.313723529411766E-2</v>
      </c>
      <c r="N299" s="11">
        <f t="shared" si="45"/>
        <v>-7.3134568503169716E-3</v>
      </c>
      <c r="O299" s="11">
        <f t="shared" si="46"/>
        <v>-1.5751789224258361E-2</v>
      </c>
      <c r="P299" s="11">
        <f t="shared" si="47"/>
        <v>-1.3057959676110068E-2</v>
      </c>
      <c r="Q299" s="11">
        <f t="shared" si="48"/>
        <v>-1.3618247225680386E-3</v>
      </c>
      <c r="R299" s="11">
        <f t="shared" si="49"/>
        <v>-2.4219749614333985E-2</v>
      </c>
      <c r="S299" s="11">
        <f t="shared" si="50"/>
        <v>-9.5428944838602033E-3</v>
      </c>
      <c r="T299" s="11">
        <f t="shared" si="51"/>
        <v>-3.0813486707032263E-3</v>
      </c>
      <c r="U299" s="11">
        <f t="shared" si="43"/>
        <v>-5.4564749570380888E-3</v>
      </c>
      <c r="V299" s="11" cm="1">
        <f t="array" ref="V299">SUMPRODUCT(L299:T299,TRANSPOSE($Y$5:$Y$13))</f>
        <v>-5.2189623284046036E-3</v>
      </c>
    </row>
    <row r="300" spans="1:22" x14ac:dyDescent="0.2">
      <c r="A300" s="1">
        <v>44001</v>
      </c>
      <c r="B300" s="3">
        <v>44.580002</v>
      </c>
      <c r="C300" s="3">
        <v>17</v>
      </c>
      <c r="D300" s="3">
        <v>20.51</v>
      </c>
      <c r="E300" s="3">
        <v>41.900002000000001</v>
      </c>
      <c r="F300" s="3">
        <v>32.856205000000003</v>
      </c>
      <c r="G300" s="3">
        <v>22.030000999999999</v>
      </c>
      <c r="H300" s="3">
        <v>21.469999000000001</v>
      </c>
      <c r="I300" s="3">
        <v>41.706738000000001</v>
      </c>
      <c r="J300" s="3">
        <v>55.169998</v>
      </c>
      <c r="L300" s="11">
        <f t="shared" si="42"/>
        <v>1.4334493416735077E-2</v>
      </c>
      <c r="M300" s="11">
        <f t="shared" si="44"/>
        <v>1.2708478699196132E-2</v>
      </c>
      <c r="N300" s="11">
        <f t="shared" si="45"/>
        <v>2.1414342629482237E-2</v>
      </c>
      <c r="O300" s="11">
        <f t="shared" si="46"/>
        <v>1.674358206123706E-2</v>
      </c>
      <c r="P300" s="11">
        <f t="shared" si="47"/>
        <v>-1.4071804628036122E-2</v>
      </c>
      <c r="Q300" s="11">
        <f t="shared" si="48"/>
        <v>1.0087208165392275E-2</v>
      </c>
      <c r="R300" s="11">
        <f t="shared" si="49"/>
        <v>-6.018564814814816E-3</v>
      </c>
      <c r="S300" s="11">
        <f t="shared" si="50"/>
        <v>3.0178412401284996E-2</v>
      </c>
      <c r="T300" s="11">
        <f t="shared" si="51"/>
        <v>-1.7803098372907188E-2</v>
      </c>
      <c r="U300" s="11">
        <f t="shared" si="43"/>
        <v>7.508116617507739E-3</v>
      </c>
      <c r="V300" s="11" cm="1">
        <f t="array" ref="V300">SUMPRODUCT(L300:T300,TRANSPOSE($Y$5:$Y$13))</f>
        <v>4.976995118466246E-3</v>
      </c>
    </row>
    <row r="301" spans="1:22" x14ac:dyDescent="0.2">
      <c r="A301" s="1">
        <v>44000</v>
      </c>
      <c r="B301" s="3">
        <v>43.950001</v>
      </c>
      <c r="C301" s="3">
        <v>16.786667000000001</v>
      </c>
      <c r="D301" s="3">
        <v>20.079999999999998</v>
      </c>
      <c r="E301" s="3">
        <v>41.209999000000003</v>
      </c>
      <c r="F301" s="3">
        <v>33.325150000000001</v>
      </c>
      <c r="G301" s="3">
        <v>21.809999000000001</v>
      </c>
      <c r="H301" s="3">
        <v>21.6</v>
      </c>
      <c r="I301" s="3">
        <v>40.484966</v>
      </c>
      <c r="J301" s="3">
        <v>56.169998</v>
      </c>
      <c r="L301" s="11">
        <f t="shared" si="42"/>
        <v>-4.3044405143734315E-3</v>
      </c>
      <c r="M301" s="11">
        <f t="shared" si="44"/>
        <v>-1.6406192047116883E-2</v>
      </c>
      <c r="N301" s="11">
        <f t="shared" si="45"/>
        <v>2.7110026962149647E-2</v>
      </c>
      <c r="O301" s="11">
        <f t="shared" si="46"/>
        <v>9.306808263198298E-3</v>
      </c>
      <c r="P301" s="11">
        <f t="shared" si="47"/>
        <v>2.1406687524826336E-2</v>
      </c>
      <c r="Q301" s="11">
        <f t="shared" si="48"/>
        <v>-3.452859672421419E-2</v>
      </c>
      <c r="R301" s="11">
        <f t="shared" si="49"/>
        <v>7.4626395773023831E-3</v>
      </c>
      <c r="S301" s="11">
        <f t="shared" si="50"/>
        <v>4.1428543279347405E-2</v>
      </c>
      <c r="T301" s="11">
        <f t="shared" si="51"/>
        <v>-5.3386120046511505E-4</v>
      </c>
      <c r="U301" s="11">
        <f t="shared" si="43"/>
        <v>5.6601794578504949E-3</v>
      </c>
      <c r="V301" s="11" cm="1">
        <f t="array" ref="V301">SUMPRODUCT(L301:T301,TRANSPOSE($Y$5:$Y$13))</f>
        <v>5.0407753920189338E-3</v>
      </c>
    </row>
    <row r="302" spans="1:22" x14ac:dyDescent="0.2">
      <c r="A302" s="1">
        <v>43999</v>
      </c>
      <c r="B302" s="3">
        <v>44.139999000000003</v>
      </c>
      <c r="C302" s="3">
        <v>17.066666000000001</v>
      </c>
      <c r="D302" s="3">
        <v>19.549999</v>
      </c>
      <c r="E302" s="3">
        <v>40.830002</v>
      </c>
      <c r="F302" s="3">
        <v>32.626719999999999</v>
      </c>
      <c r="G302" s="3">
        <v>22.59</v>
      </c>
      <c r="H302" s="3">
        <v>21.440000999999999</v>
      </c>
      <c r="I302" s="3">
        <v>38.874454</v>
      </c>
      <c r="J302" s="3">
        <v>56.200001</v>
      </c>
      <c r="L302" s="11">
        <f t="shared" si="42"/>
        <v>2.6511604651162864E-2</v>
      </c>
      <c r="M302" s="11">
        <f t="shared" si="44"/>
        <v>3.4343393939394028E-2</v>
      </c>
      <c r="N302" s="11">
        <f t="shared" si="45"/>
        <v>2.3024488591078526E-2</v>
      </c>
      <c r="O302" s="11">
        <f t="shared" si="46"/>
        <v>1.6430272164813169E-2</v>
      </c>
      <c r="P302" s="11">
        <f t="shared" si="47"/>
        <v>3.6121663645796852E-2</v>
      </c>
      <c r="Q302" s="11">
        <f t="shared" si="48"/>
        <v>5.4621848739495708E-2</v>
      </c>
      <c r="R302" s="11">
        <f t="shared" si="49"/>
        <v>3.2756198747955273E-3</v>
      </c>
      <c r="S302" s="11">
        <f t="shared" si="50"/>
        <v>-3.7951134355676732E-3</v>
      </c>
      <c r="T302" s="11">
        <f t="shared" si="51"/>
        <v>1.4623614634836826E-2</v>
      </c>
      <c r="U302" s="11">
        <f t="shared" si="43"/>
        <v>2.2795265867311759E-2</v>
      </c>
      <c r="V302" s="11" cm="1">
        <f t="array" ref="V302">SUMPRODUCT(L302:T302,TRANSPOSE($Y$5:$Y$13))</f>
        <v>2.1978100744064265E-2</v>
      </c>
    </row>
    <row r="303" spans="1:22" x14ac:dyDescent="0.2">
      <c r="A303" s="1">
        <v>43998</v>
      </c>
      <c r="B303" s="3">
        <v>43</v>
      </c>
      <c r="C303" s="3">
        <v>16.5</v>
      </c>
      <c r="D303" s="3">
        <v>19.110001</v>
      </c>
      <c r="E303" s="3">
        <v>40.169998</v>
      </c>
      <c r="F303" s="3">
        <v>31.489274999999999</v>
      </c>
      <c r="G303" s="3">
        <v>21.42</v>
      </c>
      <c r="H303" s="3">
        <v>21.370000999999998</v>
      </c>
      <c r="I303" s="3">
        <v>39.022548999999998</v>
      </c>
      <c r="J303" s="3">
        <v>55.389999000000003</v>
      </c>
      <c r="L303" s="11">
        <f t="shared" si="42"/>
        <v>-2.8906933805486236E-2</v>
      </c>
      <c r="M303" s="11">
        <f t="shared" si="44"/>
        <v>-2.0189862265391828E-4</v>
      </c>
      <c r="N303" s="11">
        <f t="shared" si="45"/>
        <v>-1.2403049095607284E-2</v>
      </c>
      <c r="O303" s="11">
        <f t="shared" si="46"/>
        <v>-1.3022186412231308E-2</v>
      </c>
      <c r="P303" s="11">
        <f t="shared" si="47"/>
        <v>-7.5471645782811845E-3</v>
      </c>
      <c r="Q303" s="11">
        <f t="shared" si="48"/>
        <v>-1.1992619926199171E-2</v>
      </c>
      <c r="R303" s="11">
        <f t="shared" si="49"/>
        <v>3.2367148194823669E-2</v>
      </c>
      <c r="S303" s="11">
        <f t="shared" si="50"/>
        <v>-3.1917255419092148E-2</v>
      </c>
      <c r="T303" s="11">
        <f t="shared" si="51"/>
        <v>2.802520363724572E-2</v>
      </c>
      <c r="U303" s="11">
        <f t="shared" si="43"/>
        <v>-5.0665284474979829E-3</v>
      </c>
      <c r="V303" s="11" cm="1">
        <f t="array" ref="V303">SUMPRODUCT(L303:T303,TRANSPOSE($Y$5:$Y$13))</f>
        <v>-1.7573552390236129E-3</v>
      </c>
    </row>
    <row r="304" spans="1:22" x14ac:dyDescent="0.2">
      <c r="A304" s="1">
        <v>43997</v>
      </c>
      <c r="B304" s="3">
        <v>44.279998999999997</v>
      </c>
      <c r="C304" s="3">
        <v>16.503332</v>
      </c>
      <c r="D304" s="3">
        <v>19.350000000000001</v>
      </c>
      <c r="E304" s="3">
        <v>40.700001</v>
      </c>
      <c r="F304" s="3">
        <v>31.728736999999999</v>
      </c>
      <c r="G304" s="3">
        <v>21.68</v>
      </c>
      <c r="H304" s="3">
        <v>20.700001</v>
      </c>
      <c r="I304" s="3">
        <v>40.309105000000002</v>
      </c>
      <c r="J304" s="3">
        <v>53.880001</v>
      </c>
      <c r="L304" s="11">
        <f t="shared" si="42"/>
        <v>1.3040494464435773E-2</v>
      </c>
      <c r="M304" s="11">
        <f t="shared" si="44"/>
        <v>-6.8205615482334276E-3</v>
      </c>
      <c r="N304" s="11">
        <f t="shared" si="45"/>
        <v>5.7172557172558728E-3</v>
      </c>
      <c r="O304" s="11">
        <f t="shared" si="46"/>
        <v>1.0176222135114956E-2</v>
      </c>
      <c r="P304" s="11">
        <f t="shared" si="47"/>
        <v>1.5974489283588026E-2</v>
      </c>
      <c r="Q304" s="11">
        <f t="shared" si="48"/>
        <v>-1.4545454545454558E-2</v>
      </c>
      <c r="R304" s="11">
        <f t="shared" si="49"/>
        <v>4.8544174757281016E-3</v>
      </c>
      <c r="S304" s="11">
        <f t="shared" si="50"/>
        <v>-2.7033124718102462E-2</v>
      </c>
      <c r="T304" s="11">
        <f t="shared" si="51"/>
        <v>8.9887449816949336E-3</v>
      </c>
      <c r="U304" s="11">
        <f t="shared" si="43"/>
        <v>1.1502759162252466E-3</v>
      </c>
      <c r="V304" s="11" cm="1">
        <f t="array" ref="V304">SUMPRODUCT(L304:T304,TRANSPOSE($Y$5:$Y$13))</f>
        <v>1.9341228227722151E-3</v>
      </c>
    </row>
    <row r="305" spans="1:22" x14ac:dyDescent="0.2">
      <c r="A305" s="1">
        <v>43994</v>
      </c>
      <c r="B305" s="3">
        <v>43.709999000000003</v>
      </c>
      <c r="C305" s="3">
        <v>16.616667</v>
      </c>
      <c r="D305" s="3">
        <v>19.239999999999998</v>
      </c>
      <c r="E305" s="3">
        <v>40.290000999999997</v>
      </c>
      <c r="F305" s="3">
        <v>31.229856000000002</v>
      </c>
      <c r="G305" s="3">
        <v>22</v>
      </c>
      <c r="H305" s="3">
        <v>20.6</v>
      </c>
      <c r="I305" s="3">
        <v>41.429062000000002</v>
      </c>
      <c r="J305" s="3">
        <v>53.400002000000001</v>
      </c>
      <c r="L305" s="11">
        <f t="shared" si="42"/>
        <v>-2.6069562698984715E-2</v>
      </c>
      <c r="M305" s="11">
        <f t="shared" si="44"/>
        <v>-1.7540421066597478E-2</v>
      </c>
      <c r="N305" s="11">
        <f t="shared" si="45"/>
        <v>-1.5856727153796848E-2</v>
      </c>
      <c r="O305" s="11">
        <f t="shared" si="46"/>
        <v>-1.9707957163404309E-2</v>
      </c>
      <c r="P305" s="11">
        <f t="shared" si="47"/>
        <v>2.1873929101124141E-2</v>
      </c>
      <c r="Q305" s="11">
        <f t="shared" si="48"/>
        <v>-3.0837047099689568E-2</v>
      </c>
      <c r="R305" s="11">
        <f t="shared" si="49"/>
        <v>-3.738317757009333E-2</v>
      </c>
      <c r="S305" s="11">
        <f t="shared" si="50"/>
        <v>-6.8781775583809232E-3</v>
      </c>
      <c r="T305" s="11">
        <f t="shared" si="51"/>
        <v>-1.4760128878964406E-2</v>
      </c>
      <c r="U305" s="11">
        <f t="shared" si="43"/>
        <v>-1.6351030009865271E-2</v>
      </c>
      <c r="V305" s="11" cm="1">
        <f t="array" ref="V305">SUMPRODUCT(L305:T305,TRANSPOSE($Y$5:$Y$13))</f>
        <v>-1.6191939896775184E-2</v>
      </c>
    </row>
    <row r="306" spans="1:22" x14ac:dyDescent="0.2">
      <c r="A306" s="1">
        <v>43992</v>
      </c>
      <c r="B306" s="3">
        <v>44.880001</v>
      </c>
      <c r="C306" s="3">
        <v>16.913333999999999</v>
      </c>
      <c r="D306" s="3">
        <v>19.549999</v>
      </c>
      <c r="E306" s="3">
        <v>41.099997999999999</v>
      </c>
      <c r="F306" s="3">
        <v>30.561358999999999</v>
      </c>
      <c r="G306" s="3">
        <v>22.700001</v>
      </c>
      <c r="H306" s="3">
        <v>21.4</v>
      </c>
      <c r="I306" s="3">
        <v>41.715992</v>
      </c>
      <c r="J306" s="3">
        <v>54.200001</v>
      </c>
      <c r="L306" s="11">
        <f t="shared" si="42"/>
        <v>-3.8972161906377693E-2</v>
      </c>
      <c r="M306" s="11">
        <f t="shared" si="44"/>
        <v>-6.4616605925527015E-3</v>
      </c>
      <c r="N306" s="11">
        <f t="shared" si="45"/>
        <v>-6.6057418699187014E-3</v>
      </c>
      <c r="O306" s="11">
        <f t="shared" si="46"/>
        <v>-4.1958133242045101E-2</v>
      </c>
      <c r="P306" s="11">
        <f t="shared" si="47"/>
        <v>1.2561969035336766E-2</v>
      </c>
      <c r="Q306" s="11">
        <f t="shared" si="48"/>
        <v>-5.1399874634350161E-2</v>
      </c>
      <c r="R306" s="11">
        <f t="shared" si="49"/>
        <v>-1.4732919647003795E-2</v>
      </c>
      <c r="S306" s="11">
        <f t="shared" si="50"/>
        <v>-1.636840533023922E-2</v>
      </c>
      <c r="T306" s="11">
        <f t="shared" si="51"/>
        <v>-1.4366266071421432E-2</v>
      </c>
      <c r="U306" s="11">
        <f t="shared" si="43"/>
        <v>-1.9811466028730226E-2</v>
      </c>
      <c r="V306" s="11" cm="1">
        <f t="array" ref="V306">SUMPRODUCT(L306:T306,TRANSPOSE($Y$5:$Y$13))</f>
        <v>-1.926694603299935E-2</v>
      </c>
    </row>
    <row r="307" spans="1:22" x14ac:dyDescent="0.2">
      <c r="A307" s="1">
        <v>43991</v>
      </c>
      <c r="B307" s="3">
        <v>46.700001</v>
      </c>
      <c r="C307" s="3">
        <v>17.023333000000001</v>
      </c>
      <c r="D307" s="3">
        <v>19.68</v>
      </c>
      <c r="E307" s="3">
        <v>42.900002000000001</v>
      </c>
      <c r="F307" s="3">
        <v>30.182210999999999</v>
      </c>
      <c r="G307" s="3">
        <v>23.93</v>
      </c>
      <c r="H307" s="3">
        <v>21.719999000000001</v>
      </c>
      <c r="I307" s="3">
        <v>42.410178999999999</v>
      </c>
      <c r="J307" s="3">
        <v>54.990001999999997</v>
      </c>
      <c r="L307" s="11">
        <f t="shared" si="42"/>
        <v>-1.2684947414058071E-2</v>
      </c>
      <c r="M307" s="11">
        <f t="shared" si="44"/>
        <v>-1.2567691415313081E-2</v>
      </c>
      <c r="N307" s="11">
        <f t="shared" si="45"/>
        <v>4.0816326530611373E-3</v>
      </c>
      <c r="O307" s="11">
        <f t="shared" si="46"/>
        <v>-6.9444211355457995E-3</v>
      </c>
      <c r="P307" s="11">
        <f t="shared" si="47"/>
        <v>1.5100685869229313E-2</v>
      </c>
      <c r="Q307" s="11">
        <f t="shared" si="48"/>
        <v>4.7264770240700138E-2</v>
      </c>
      <c r="R307" s="11">
        <f t="shared" si="49"/>
        <v>-3.5952151089562637E-2</v>
      </c>
      <c r="S307" s="11">
        <f t="shared" si="50"/>
        <v>-1.0367159467983509E-2</v>
      </c>
      <c r="T307" s="11">
        <f t="shared" si="51"/>
        <v>3.8335707162024664E-3</v>
      </c>
      <c r="U307" s="11">
        <f t="shared" si="43"/>
        <v>-9.1507900480778238E-4</v>
      </c>
      <c r="V307" s="11" cm="1">
        <f t="array" ref="V307">SUMPRODUCT(L307:T307,TRANSPOSE($Y$5:$Y$13))</f>
        <v>-4.4021403270675839E-4</v>
      </c>
    </row>
    <row r="308" spans="1:22" x14ac:dyDescent="0.2">
      <c r="A308" s="1">
        <v>43990</v>
      </c>
      <c r="B308" s="3">
        <v>47.299999</v>
      </c>
      <c r="C308" s="3">
        <v>17.239999999999998</v>
      </c>
      <c r="D308" s="3">
        <v>19.600000000000001</v>
      </c>
      <c r="E308" s="3">
        <v>43.200001</v>
      </c>
      <c r="F308" s="3">
        <v>29.733218999999998</v>
      </c>
      <c r="G308" s="3">
        <v>22.85</v>
      </c>
      <c r="H308" s="3">
        <v>22.530000999999999</v>
      </c>
      <c r="I308" s="3">
        <v>42.854458000000001</v>
      </c>
      <c r="J308" s="3">
        <v>54.779998999999997</v>
      </c>
      <c r="L308" s="11">
        <f t="shared" si="42"/>
        <v>2.6030391584832613E-2</v>
      </c>
      <c r="M308" s="11">
        <f t="shared" si="44"/>
        <v>5.400446191146379E-2</v>
      </c>
      <c r="N308" s="11">
        <f t="shared" si="45"/>
        <v>2.8331638422436439E-2</v>
      </c>
      <c r="O308" s="11">
        <f t="shared" si="46"/>
        <v>5.7786508325171321E-2</v>
      </c>
      <c r="P308" s="11">
        <f t="shared" si="47"/>
        <v>3.366972802756153E-3</v>
      </c>
      <c r="Q308" s="11">
        <f t="shared" si="48"/>
        <v>-1.0394110004330812E-2</v>
      </c>
      <c r="R308" s="11">
        <f t="shared" si="49"/>
        <v>1.9457058823529282E-2</v>
      </c>
      <c r="S308" s="11">
        <f t="shared" si="50"/>
        <v>2.1645437721215942E-3</v>
      </c>
      <c r="T308" s="11">
        <f t="shared" si="51"/>
        <v>3.1129462898196918E-3</v>
      </c>
      <c r="U308" s="11">
        <f t="shared" si="43"/>
        <v>2.0428934658644454E-2</v>
      </c>
      <c r="V308" s="11" cm="1">
        <f t="array" ref="V308">SUMPRODUCT(L308:T308,TRANSPOSE($Y$5:$Y$13))</f>
        <v>1.8697335821761977E-2</v>
      </c>
    </row>
    <row r="309" spans="1:22" x14ac:dyDescent="0.2">
      <c r="A309" s="1">
        <v>43987</v>
      </c>
      <c r="B309" s="3">
        <v>46.099997999999999</v>
      </c>
      <c r="C309" s="3">
        <v>16.356667000000002</v>
      </c>
      <c r="D309" s="3">
        <v>19.059999000000001</v>
      </c>
      <c r="E309" s="3">
        <v>40.840000000000003</v>
      </c>
      <c r="F309" s="3">
        <v>29.633444000000001</v>
      </c>
      <c r="G309" s="3">
        <v>23.09</v>
      </c>
      <c r="H309" s="3">
        <v>22.1</v>
      </c>
      <c r="I309" s="3">
        <v>42.761898000000002</v>
      </c>
      <c r="J309" s="3">
        <v>54.610000999999997</v>
      </c>
      <c r="L309" s="11">
        <f t="shared" si="42"/>
        <v>1.6313866483380422E-2</v>
      </c>
      <c r="M309" s="11">
        <f t="shared" si="44"/>
        <v>-1.0286405601322889E-2</v>
      </c>
      <c r="N309" s="11">
        <f t="shared" si="45"/>
        <v>-3.2978185336285333E-2</v>
      </c>
      <c r="O309" s="11">
        <f t="shared" si="46"/>
        <v>2.1000000000000085E-2</v>
      </c>
      <c r="P309" s="11">
        <f t="shared" si="47"/>
        <v>-2.270484519141909E-2</v>
      </c>
      <c r="Q309" s="11">
        <f t="shared" si="48"/>
        <v>4.3497172683776173E-3</v>
      </c>
      <c r="R309" s="11">
        <f t="shared" si="49"/>
        <v>3.1264582361176005E-2</v>
      </c>
      <c r="S309" s="11">
        <f t="shared" si="50"/>
        <v>-1.282055100036465E-2</v>
      </c>
      <c r="T309" s="11">
        <f t="shared" si="51"/>
        <v>-1.8864516708587849E-2</v>
      </c>
      <c r="U309" s="11">
        <f t="shared" si="43"/>
        <v>-2.7473708583384093E-3</v>
      </c>
      <c r="V309" s="11" cm="1">
        <f t="array" ref="V309">SUMPRODUCT(L309:T309,TRANSPOSE($Y$5:$Y$13))</f>
        <v>-4.3590854433633534E-3</v>
      </c>
    </row>
    <row r="310" spans="1:22" x14ac:dyDescent="0.2">
      <c r="A310" s="1">
        <v>43986</v>
      </c>
      <c r="B310" s="3">
        <v>45.360000999999997</v>
      </c>
      <c r="C310" s="3">
        <v>16.526667</v>
      </c>
      <c r="D310" s="3">
        <v>19.709999</v>
      </c>
      <c r="E310" s="3">
        <v>40</v>
      </c>
      <c r="F310" s="3">
        <v>30.321898000000001</v>
      </c>
      <c r="G310" s="3">
        <v>22.99</v>
      </c>
      <c r="H310" s="3">
        <v>21.43</v>
      </c>
      <c r="I310" s="3">
        <v>43.317248999999997</v>
      </c>
      <c r="J310" s="3">
        <v>55.66</v>
      </c>
      <c r="L310" s="11">
        <f t="shared" si="42"/>
        <v>-2.9525052224002903E-2</v>
      </c>
      <c r="M310" s="11">
        <f t="shared" si="44"/>
        <v>1.5567431699455719E-2</v>
      </c>
      <c r="N310" s="11">
        <f t="shared" si="45"/>
        <v>1.1806930184804897E-2</v>
      </c>
      <c r="O310" s="11">
        <f t="shared" si="46"/>
        <v>-2.4865919063871356E-2</v>
      </c>
      <c r="P310" s="11">
        <f t="shared" si="47"/>
        <v>5.2928405151683993E-3</v>
      </c>
      <c r="Q310" s="11">
        <f t="shared" si="48"/>
        <v>-2.4193506969164252E-2</v>
      </c>
      <c r="R310" s="11">
        <f t="shared" si="49"/>
        <v>-1.8630182516543978E-3</v>
      </c>
      <c r="S310" s="11">
        <f t="shared" si="50"/>
        <v>-8.4745559030973069E-3</v>
      </c>
      <c r="T310" s="11">
        <f t="shared" si="51"/>
        <v>3.7271710771524413E-2</v>
      </c>
      <c r="U310" s="11">
        <f t="shared" si="43"/>
        <v>-2.1092376934263102E-3</v>
      </c>
      <c r="V310" s="11" cm="1">
        <f t="array" ref="V310">SUMPRODUCT(L310:T310,TRANSPOSE($Y$5:$Y$13))</f>
        <v>1.8288571530687631E-3</v>
      </c>
    </row>
    <row r="311" spans="1:22" x14ac:dyDescent="0.2">
      <c r="A311" s="1">
        <v>43985</v>
      </c>
      <c r="B311" s="3">
        <v>46.740001999999997</v>
      </c>
      <c r="C311" s="3">
        <v>16.273333000000001</v>
      </c>
      <c r="D311" s="3">
        <v>19.48</v>
      </c>
      <c r="E311" s="3">
        <v>41.02</v>
      </c>
      <c r="F311" s="3">
        <v>30.162254000000001</v>
      </c>
      <c r="G311" s="3">
        <v>23.559999000000001</v>
      </c>
      <c r="H311" s="3">
        <v>21.469999000000001</v>
      </c>
      <c r="I311" s="3">
        <v>43.687480999999998</v>
      </c>
      <c r="J311" s="3">
        <v>53.66</v>
      </c>
      <c r="L311" s="11">
        <f t="shared" si="42"/>
        <v>-5.5318723404255967E-3</v>
      </c>
      <c r="M311" s="11">
        <f t="shared" si="44"/>
        <v>5.0796407696789052E-2</v>
      </c>
      <c r="N311" s="11">
        <f t="shared" si="45"/>
        <v>-1.1669153306400441E-2</v>
      </c>
      <c r="O311" s="11">
        <f t="shared" si="46"/>
        <v>7.241830065359485E-2</v>
      </c>
      <c r="P311" s="11">
        <f t="shared" si="47"/>
        <v>1.0023398243025453E-2</v>
      </c>
      <c r="Q311" s="11">
        <f t="shared" si="48"/>
        <v>3.7428447266774488E-2</v>
      </c>
      <c r="R311" s="11">
        <f t="shared" si="49"/>
        <v>3.2709813084113464E-3</v>
      </c>
      <c r="S311" s="11">
        <f t="shared" si="50"/>
        <v>2.6086964486888575E-2</v>
      </c>
      <c r="T311" s="11">
        <f t="shared" si="51"/>
        <v>4.4927369708998664E-3</v>
      </c>
      <c r="U311" s="11">
        <f t="shared" si="43"/>
        <v>2.0812912331061955E-2</v>
      </c>
      <c r="V311" s="11" cm="1">
        <f t="array" ref="V311">SUMPRODUCT(L311:T311,TRANSPOSE($Y$5:$Y$13))</f>
        <v>1.9180894795045748E-2</v>
      </c>
    </row>
    <row r="312" spans="1:22" x14ac:dyDescent="0.2">
      <c r="A312" s="1">
        <v>43984</v>
      </c>
      <c r="B312" s="3">
        <v>47</v>
      </c>
      <c r="C312" s="3">
        <v>15.486666</v>
      </c>
      <c r="D312" s="3">
        <v>19.709999</v>
      </c>
      <c r="E312" s="3">
        <v>38.25</v>
      </c>
      <c r="F312" s="3">
        <v>29.862926000000002</v>
      </c>
      <c r="G312" s="3">
        <v>22.709999</v>
      </c>
      <c r="H312" s="3">
        <v>21.4</v>
      </c>
      <c r="I312" s="3">
        <v>42.576782000000001</v>
      </c>
      <c r="J312" s="3">
        <v>53.419998</v>
      </c>
      <c r="L312" s="11">
        <f t="shared" si="42"/>
        <v>9.8130866778758583E-2</v>
      </c>
      <c r="M312" s="11">
        <f t="shared" si="44"/>
        <v>2.0426093583399588E-2</v>
      </c>
      <c r="N312" s="11">
        <f t="shared" si="45"/>
        <v>1.1806930184804897E-2</v>
      </c>
      <c r="O312" s="11">
        <f t="shared" si="46"/>
        <v>1.7016723823006629E-2</v>
      </c>
      <c r="P312" s="11">
        <f t="shared" si="47"/>
        <v>2.1501666242565057E-2</v>
      </c>
      <c r="Q312" s="11">
        <f t="shared" si="48"/>
        <v>1.9299729833943961E-2</v>
      </c>
      <c r="R312" s="11">
        <f t="shared" si="49"/>
        <v>5.2631578947368439E-2</v>
      </c>
      <c r="S312" s="11">
        <f t="shared" si="50"/>
        <v>6.3443009437967992E-3</v>
      </c>
      <c r="T312" s="11">
        <f t="shared" si="51"/>
        <v>0</v>
      </c>
      <c r="U312" s="11">
        <f t="shared" si="43"/>
        <v>2.746198781529377E-2</v>
      </c>
      <c r="V312" s="11" cm="1">
        <f t="array" ref="V312">SUMPRODUCT(L312:T312,TRANSPOSE($Y$5:$Y$13))</f>
        <v>2.4715789033764396E-2</v>
      </c>
    </row>
    <row r="313" spans="1:22" x14ac:dyDescent="0.2">
      <c r="A313" s="1">
        <v>43983</v>
      </c>
      <c r="B313" s="3">
        <v>42.799999</v>
      </c>
      <c r="C313" s="3">
        <v>15.176666000000001</v>
      </c>
      <c r="D313" s="3">
        <v>19.48</v>
      </c>
      <c r="E313" s="3">
        <v>37.610000999999997</v>
      </c>
      <c r="F313" s="3">
        <v>29.234338999999999</v>
      </c>
      <c r="G313" s="3">
        <v>22.280000999999999</v>
      </c>
      <c r="H313" s="3">
        <v>20.329999999999998</v>
      </c>
      <c r="I313" s="3">
        <v>42.308365000000002</v>
      </c>
      <c r="J313" s="3">
        <v>53.419998</v>
      </c>
      <c r="L313" s="11">
        <f t="shared" si="42"/>
        <v>1.6627102927653355E-2</v>
      </c>
      <c r="M313" s="11">
        <f t="shared" si="44"/>
        <v>-4.3909989987036603E-4</v>
      </c>
      <c r="N313" s="11">
        <f t="shared" si="45"/>
        <v>-4.0899286344544712E-3</v>
      </c>
      <c r="O313" s="11">
        <f t="shared" si="46"/>
        <v>-2.2609121621621622E-2</v>
      </c>
      <c r="P313" s="11">
        <f t="shared" si="47"/>
        <v>3.7168179833524939E-2</v>
      </c>
      <c r="Q313" s="11">
        <f t="shared" si="48"/>
        <v>7.6848715473720852E-2</v>
      </c>
      <c r="R313" s="11">
        <f t="shared" si="49"/>
        <v>-4.9164208456251544E-4</v>
      </c>
      <c r="S313" s="11">
        <f t="shared" si="50"/>
        <v>2.2595051599177178E-2</v>
      </c>
      <c r="T313" s="11">
        <f t="shared" si="51"/>
        <v>7.9244905660377299E-3</v>
      </c>
      <c r="U313" s="11">
        <f t="shared" si="43"/>
        <v>1.483708312884501E-2</v>
      </c>
      <c r="V313" s="11" cm="1">
        <f t="array" ref="V313">SUMPRODUCT(L313:T313,TRANSPOSE($Y$5:$Y$13))</f>
        <v>1.4145823872564283E-2</v>
      </c>
    </row>
    <row r="314" spans="1:22" x14ac:dyDescent="0.2">
      <c r="A314" s="1">
        <v>43980</v>
      </c>
      <c r="B314" s="3">
        <v>42.099997999999999</v>
      </c>
      <c r="C314" s="3">
        <v>15.183332999999999</v>
      </c>
      <c r="D314" s="3">
        <v>19.559999000000001</v>
      </c>
      <c r="E314" s="3">
        <v>38.479999999999997</v>
      </c>
      <c r="F314" s="3">
        <v>28.186691</v>
      </c>
      <c r="G314" s="3">
        <v>20.690000999999999</v>
      </c>
      <c r="H314" s="3">
        <v>20.34</v>
      </c>
      <c r="I314" s="3">
        <v>41.373528</v>
      </c>
      <c r="J314" s="3">
        <v>53</v>
      </c>
      <c r="L314" s="11">
        <f t="shared" si="42"/>
        <v>-3.4182197751778019E-2</v>
      </c>
      <c r="M314" s="11">
        <f t="shared" si="44"/>
        <v>-8.7050928707331204E-3</v>
      </c>
      <c r="N314" s="11">
        <f t="shared" si="45"/>
        <v>3.5915341200617144E-3</v>
      </c>
      <c r="O314" s="11">
        <f t="shared" si="46"/>
        <v>3.108252947481234E-2</v>
      </c>
      <c r="P314" s="11">
        <f t="shared" si="47"/>
        <v>-1.6022287494859597E-2</v>
      </c>
      <c r="Q314" s="11">
        <f t="shared" si="48"/>
        <v>-2.863840510039465E-2</v>
      </c>
      <c r="R314" s="11">
        <f t="shared" si="49"/>
        <v>2.8831562974203355E-2</v>
      </c>
      <c r="S314" s="11">
        <f t="shared" si="50"/>
        <v>1.6140096209970915E-2</v>
      </c>
      <c r="T314" s="11">
        <f t="shared" si="51"/>
        <v>5.8095428229187389E-2</v>
      </c>
      <c r="U314" s="11">
        <f t="shared" si="43"/>
        <v>5.5770186433855909E-3</v>
      </c>
      <c r="V314" s="11" cm="1">
        <f t="array" ref="V314">SUMPRODUCT(L314:T314,TRANSPOSE($Y$5:$Y$13))</f>
        <v>1.0828859601965772E-2</v>
      </c>
    </row>
    <row r="315" spans="1:22" x14ac:dyDescent="0.2">
      <c r="A315" s="1">
        <v>43979</v>
      </c>
      <c r="B315" s="3">
        <v>43.59</v>
      </c>
      <c r="C315" s="3">
        <v>15.316666</v>
      </c>
      <c r="D315" s="3">
        <v>19.489999999999998</v>
      </c>
      <c r="E315" s="3">
        <v>37.32</v>
      </c>
      <c r="F315" s="3">
        <v>28.645659999999999</v>
      </c>
      <c r="G315" s="3">
        <v>21.299999</v>
      </c>
      <c r="H315" s="3">
        <v>19.77</v>
      </c>
      <c r="I315" s="3">
        <v>40.716361999999997</v>
      </c>
      <c r="J315" s="3">
        <v>50.09</v>
      </c>
      <c r="L315" s="11">
        <f t="shared" si="42"/>
        <v>-7.061548653232344E-3</v>
      </c>
      <c r="M315" s="11">
        <f t="shared" si="44"/>
        <v>-1.3736896329684462E-2</v>
      </c>
      <c r="N315" s="11">
        <f t="shared" si="45"/>
        <v>-1.5159221063202662E-2</v>
      </c>
      <c r="O315" s="11">
        <f t="shared" si="46"/>
        <v>-4.5524247852902683E-2</v>
      </c>
      <c r="P315" s="11">
        <f t="shared" si="47"/>
        <v>-6.5744563352975113E-3</v>
      </c>
      <c r="Q315" s="11">
        <f t="shared" si="48"/>
        <v>-5.5013395962138618E-2</v>
      </c>
      <c r="R315" s="11">
        <f t="shared" si="49"/>
        <v>-8.0280983442047229E-3</v>
      </c>
      <c r="S315" s="11">
        <f t="shared" si="50"/>
        <v>-4.5447543413366985E-4</v>
      </c>
      <c r="T315" s="11">
        <f t="shared" si="51"/>
        <v>-1.0860959930113736E-2</v>
      </c>
      <c r="U315" s="11">
        <f t="shared" si="43"/>
        <v>-1.8045922211656715E-2</v>
      </c>
      <c r="V315" s="11" cm="1">
        <f t="array" ref="V315">SUMPRODUCT(L315:T315,TRANSPOSE($Y$5:$Y$13))</f>
        <v>-1.7327425983502415E-2</v>
      </c>
    </row>
    <row r="316" spans="1:22" x14ac:dyDescent="0.2">
      <c r="A316" s="1">
        <v>43978</v>
      </c>
      <c r="B316" s="3">
        <v>43.900002000000001</v>
      </c>
      <c r="C316" s="3">
        <v>15.53</v>
      </c>
      <c r="D316" s="3">
        <v>19.790001</v>
      </c>
      <c r="E316" s="3">
        <v>39.099997999999999</v>
      </c>
      <c r="F316" s="3">
        <v>28.835235999999998</v>
      </c>
      <c r="G316" s="3">
        <v>22.540001</v>
      </c>
      <c r="H316" s="3">
        <v>19.93</v>
      </c>
      <c r="I316" s="3">
        <v>40.734875000000002</v>
      </c>
      <c r="J316" s="3">
        <v>50.639999000000003</v>
      </c>
      <c r="L316" s="11">
        <f t="shared" si="42"/>
        <v>5.681273334586593E-2</v>
      </c>
      <c r="M316" s="11">
        <f t="shared" si="44"/>
        <v>1.9354838709677007E-3</v>
      </c>
      <c r="N316" s="11">
        <f t="shared" si="45"/>
        <v>5.2659683652110857E-2</v>
      </c>
      <c r="O316" s="11">
        <f t="shared" si="46"/>
        <v>6.0195144788634886E-2</v>
      </c>
      <c r="P316" s="11">
        <f t="shared" si="47"/>
        <v>7.4349439886067237E-2</v>
      </c>
      <c r="Q316" s="11">
        <f t="shared" si="48"/>
        <v>3.4894396928631985E-2</v>
      </c>
      <c r="R316" s="11">
        <f t="shared" si="49"/>
        <v>1.3218098627351195E-2</v>
      </c>
      <c r="S316" s="11">
        <f t="shared" si="50"/>
        <v>-1.8144806667522409E-3</v>
      </c>
      <c r="T316" s="11">
        <f t="shared" si="51"/>
        <v>2.9268251437637224E-2</v>
      </c>
      <c r="U316" s="11">
        <f t="shared" si="43"/>
        <v>3.5724305763390536E-2</v>
      </c>
      <c r="V316" s="11" cm="1">
        <f t="array" ref="V316">SUMPRODUCT(L316:T316,TRANSPOSE($Y$5:$Y$13))</f>
        <v>3.5078700330815199E-2</v>
      </c>
    </row>
    <row r="317" spans="1:22" x14ac:dyDescent="0.2">
      <c r="A317" s="1">
        <v>43977</v>
      </c>
      <c r="B317" s="3">
        <v>41.540000999999997</v>
      </c>
      <c r="C317" s="3">
        <v>15.5</v>
      </c>
      <c r="D317" s="3">
        <v>18.799999</v>
      </c>
      <c r="E317" s="3">
        <v>36.880001</v>
      </c>
      <c r="F317" s="3">
        <v>26.839718000000001</v>
      </c>
      <c r="G317" s="3">
        <v>21.780000999999999</v>
      </c>
      <c r="H317" s="3">
        <v>19.670000000000002</v>
      </c>
      <c r="I317" s="3">
        <v>40.808922000000003</v>
      </c>
      <c r="J317" s="3">
        <v>49.200001</v>
      </c>
      <c r="L317" s="11">
        <f t="shared" si="42"/>
        <v>-2.9439206295308631E-2</v>
      </c>
      <c r="M317" s="11">
        <f t="shared" si="44"/>
        <v>0</v>
      </c>
      <c r="N317" s="11">
        <f t="shared" si="45"/>
        <v>-9.4837197049526204E-3</v>
      </c>
      <c r="O317" s="11">
        <f t="shared" si="46"/>
        <v>4.9046320189473488E-3</v>
      </c>
      <c r="P317" s="11">
        <f t="shared" si="47"/>
        <v>4.4660198709379595E-2</v>
      </c>
      <c r="Q317" s="11">
        <f t="shared" si="48"/>
        <v>-3.7985779062976149E-2</v>
      </c>
      <c r="R317" s="11">
        <f t="shared" si="49"/>
        <v>9.7535934291581756E-3</v>
      </c>
      <c r="S317" s="11">
        <f t="shared" si="50"/>
        <v>1.9421962736132947E-2</v>
      </c>
      <c r="T317" s="11">
        <f t="shared" si="51"/>
        <v>-1.7964012693174141E-2</v>
      </c>
      <c r="U317" s="11">
        <f t="shared" si="43"/>
        <v>-1.792481206977053E-3</v>
      </c>
      <c r="V317" s="11" cm="1">
        <f t="array" ref="V317">SUMPRODUCT(L317:T317,TRANSPOSE($Y$5:$Y$13))</f>
        <v>-3.409634355596762E-3</v>
      </c>
    </row>
    <row r="318" spans="1:22" x14ac:dyDescent="0.2">
      <c r="A318" s="1">
        <v>43976</v>
      </c>
      <c r="B318" s="3">
        <v>42.799999</v>
      </c>
      <c r="C318" s="3">
        <v>15.5</v>
      </c>
      <c r="D318" s="3">
        <v>18.98</v>
      </c>
      <c r="E318" s="3">
        <v>36.700001</v>
      </c>
      <c r="F318" s="3">
        <v>25.692295000000001</v>
      </c>
      <c r="G318" s="3">
        <v>22.639999</v>
      </c>
      <c r="H318" s="3">
        <v>19.48</v>
      </c>
      <c r="I318" s="3">
        <v>40.031433</v>
      </c>
      <c r="J318" s="3">
        <v>50.099997999999999</v>
      </c>
      <c r="L318" s="11">
        <f t="shared" si="42"/>
        <v>2.613282249179618E-2</v>
      </c>
      <c r="M318" s="11">
        <f t="shared" si="44"/>
        <v>5.9708343651246283E-2</v>
      </c>
      <c r="N318" s="11">
        <f t="shared" si="45"/>
        <v>-1.1458384819875786E-2</v>
      </c>
      <c r="O318" s="11">
        <f t="shared" si="46"/>
        <v>1.4092346341319326E-2</v>
      </c>
      <c r="P318" s="11">
        <f t="shared" si="47"/>
        <v>1.5779068138177268E-2</v>
      </c>
      <c r="Q318" s="11">
        <f t="shared" si="48"/>
        <v>6.8428406397904415E-2</v>
      </c>
      <c r="R318" s="11">
        <f t="shared" si="49"/>
        <v>4.3385109801821031E-2</v>
      </c>
      <c r="S318" s="11">
        <f t="shared" si="50"/>
        <v>4.8484888803946795E-2</v>
      </c>
      <c r="T318" s="11">
        <f t="shared" si="51"/>
        <v>-3.3817783966581211E-3</v>
      </c>
      <c r="U318" s="11">
        <f t="shared" si="43"/>
        <v>2.9018980267741936E-2</v>
      </c>
      <c r="V318" s="11" cm="1">
        <f t="array" ref="V318">SUMPRODUCT(L318:T318,TRANSPOSE($Y$5:$Y$13))</f>
        <v>2.5778904401301928E-2</v>
      </c>
    </row>
    <row r="319" spans="1:22" x14ac:dyDescent="0.2">
      <c r="A319" s="1">
        <v>43973</v>
      </c>
      <c r="B319" s="3">
        <v>41.709999000000003</v>
      </c>
      <c r="C319" s="3">
        <v>14.626666</v>
      </c>
      <c r="D319" s="3">
        <v>19.200001</v>
      </c>
      <c r="E319" s="3">
        <v>36.189999</v>
      </c>
      <c r="F319" s="3">
        <v>25.293192000000001</v>
      </c>
      <c r="G319" s="3">
        <v>21.190000999999999</v>
      </c>
      <c r="H319" s="3">
        <v>18.670000000000002</v>
      </c>
      <c r="I319" s="3">
        <v>38.180267000000001</v>
      </c>
      <c r="J319" s="3">
        <v>50.27</v>
      </c>
      <c r="L319" s="11">
        <f t="shared" si="42"/>
        <v>-4.378725455725014E-2</v>
      </c>
      <c r="M319" s="11">
        <f t="shared" si="44"/>
        <v>5.9605226960110745E-3</v>
      </c>
      <c r="N319" s="11">
        <f t="shared" si="45"/>
        <v>6.8170424750917686E-3</v>
      </c>
      <c r="O319" s="11">
        <f t="shared" si="46"/>
        <v>-2.7556350852676026E-3</v>
      </c>
      <c r="P319" s="11">
        <f t="shared" si="47"/>
        <v>-5.5865866109111775E-2</v>
      </c>
      <c r="Q319" s="11">
        <f t="shared" si="48"/>
        <v>-2.350230306441007E-2</v>
      </c>
      <c r="R319" s="11">
        <f t="shared" si="49"/>
        <v>-2.7097497285174559E-2</v>
      </c>
      <c r="S319" s="11">
        <f t="shared" si="50"/>
        <v>-3.3278680285238935E-2</v>
      </c>
      <c r="T319" s="11">
        <f t="shared" si="51"/>
        <v>-1.6819890146295847E-2</v>
      </c>
      <c r="U319" s="11">
        <f t="shared" si="43"/>
        <v>-2.1147729040182896E-2</v>
      </c>
      <c r="V319" s="11" cm="1">
        <f t="array" ref="V319">SUMPRODUCT(L319:T319,TRANSPOSE($Y$5:$Y$13))</f>
        <v>-2.0714945150794195E-2</v>
      </c>
    </row>
    <row r="320" spans="1:22" x14ac:dyDescent="0.2">
      <c r="A320" s="1">
        <v>43972</v>
      </c>
      <c r="B320" s="3">
        <v>43.619999</v>
      </c>
      <c r="C320" s="3">
        <v>14.54</v>
      </c>
      <c r="D320" s="3">
        <v>19.07</v>
      </c>
      <c r="E320" s="3">
        <v>36.290000999999997</v>
      </c>
      <c r="F320" s="3">
        <v>26.789829000000001</v>
      </c>
      <c r="G320" s="3">
        <v>21.700001</v>
      </c>
      <c r="H320" s="3">
        <v>19.190000999999999</v>
      </c>
      <c r="I320" s="3">
        <v>39.494594999999997</v>
      </c>
      <c r="J320" s="3">
        <v>51.130001</v>
      </c>
      <c r="L320" s="11">
        <f t="shared" si="42"/>
        <v>7.7037012345679015E-2</v>
      </c>
      <c r="M320" s="11">
        <f t="shared" si="44"/>
        <v>7.3326824474745228E-2</v>
      </c>
      <c r="N320" s="11">
        <f t="shared" si="45"/>
        <v>-3.9294710327455976E-2</v>
      </c>
      <c r="O320" s="11">
        <f t="shared" si="46"/>
        <v>2.8045383230747314E-2</v>
      </c>
      <c r="P320" s="11">
        <f t="shared" si="47"/>
        <v>3.7255620382066473E-4</v>
      </c>
      <c r="Q320" s="11">
        <f t="shared" si="48"/>
        <v>5.2376331116569877E-2</v>
      </c>
      <c r="R320" s="11">
        <f t="shared" si="49"/>
        <v>-5.6993785336466041E-3</v>
      </c>
      <c r="S320" s="11">
        <f t="shared" si="50"/>
        <v>4.943435187391107E-2</v>
      </c>
      <c r="T320" s="11">
        <f t="shared" si="51"/>
        <v>-2.6095219047619047E-2</v>
      </c>
      <c r="U320" s="11">
        <f t="shared" si="43"/>
        <v>2.3278127926305722E-2</v>
      </c>
      <c r="V320" s="11" cm="1">
        <f t="array" ref="V320">SUMPRODUCT(L320:T320,TRANSPOSE($Y$5:$Y$13))</f>
        <v>1.8340793228913257E-2</v>
      </c>
    </row>
    <row r="321" spans="1:22" x14ac:dyDescent="0.2">
      <c r="A321" s="1">
        <v>43971</v>
      </c>
      <c r="B321" s="3">
        <v>40.5</v>
      </c>
      <c r="C321" s="3">
        <v>13.546666</v>
      </c>
      <c r="D321" s="3">
        <v>19.850000000000001</v>
      </c>
      <c r="E321" s="3">
        <v>35.299999</v>
      </c>
      <c r="F321" s="3">
        <v>26.779852000000002</v>
      </c>
      <c r="G321" s="3">
        <v>20.620000999999998</v>
      </c>
      <c r="H321" s="3">
        <v>19.299999</v>
      </c>
      <c r="I321" s="3">
        <v>37.634174000000002</v>
      </c>
      <c r="J321" s="3">
        <v>52.5</v>
      </c>
      <c r="L321" s="11">
        <f t="shared" si="42"/>
        <v>-2.8543992049508089E-2</v>
      </c>
      <c r="M321" s="11">
        <f t="shared" si="44"/>
        <v>-1.9646611484445105E-3</v>
      </c>
      <c r="N321" s="11">
        <f t="shared" si="45"/>
        <v>-9.4810873512430841E-3</v>
      </c>
      <c r="O321" s="11">
        <f t="shared" si="46"/>
        <v>6.5582834331337153E-3</v>
      </c>
      <c r="P321" s="11">
        <f t="shared" si="47"/>
        <v>-3.4879565962976568E-2</v>
      </c>
      <c r="Q321" s="11">
        <f t="shared" si="48"/>
        <v>4.8296949669547368E-2</v>
      </c>
      <c r="R321" s="11">
        <f t="shared" si="49"/>
        <v>3.3190524625267663E-2</v>
      </c>
      <c r="S321" s="11">
        <f t="shared" si="50"/>
        <v>1.7008451340610724E-2</v>
      </c>
      <c r="T321" s="11">
        <f t="shared" si="51"/>
        <v>3.8241109717803306E-3</v>
      </c>
      <c r="U321" s="11">
        <f t="shared" si="43"/>
        <v>3.7787792809075055E-3</v>
      </c>
      <c r="V321" s="11" cm="1">
        <f t="array" ref="V321">SUMPRODUCT(L321:T321,TRANSPOSE($Y$5:$Y$13))</f>
        <v>3.7833124499947884E-3</v>
      </c>
    </row>
    <row r="322" spans="1:22" x14ac:dyDescent="0.2">
      <c r="A322" s="1">
        <v>43970</v>
      </c>
      <c r="B322" s="3">
        <v>41.689999</v>
      </c>
      <c r="C322" s="3">
        <v>13.573333</v>
      </c>
      <c r="D322" s="3">
        <v>20.040001</v>
      </c>
      <c r="E322" s="3">
        <v>35.07</v>
      </c>
      <c r="F322" s="3">
        <v>27.747679000000002</v>
      </c>
      <c r="G322" s="3">
        <v>19.670000000000002</v>
      </c>
      <c r="H322" s="3">
        <v>18.68</v>
      </c>
      <c r="I322" s="3">
        <v>37.004779999999997</v>
      </c>
      <c r="J322" s="3">
        <v>52.299999</v>
      </c>
      <c r="L322" s="11">
        <f t="shared" si="42"/>
        <v>5.1450110897850634E-2</v>
      </c>
      <c r="M322" s="11">
        <f t="shared" si="44"/>
        <v>-3.0245274124566488E-2</v>
      </c>
      <c r="N322" s="11">
        <f t="shared" si="45"/>
        <v>2.0000500000000089E-3</v>
      </c>
      <c r="O322" s="11">
        <f t="shared" si="46"/>
        <v>4.6553330143439493E-2</v>
      </c>
      <c r="P322" s="11">
        <f t="shared" si="47"/>
        <v>3.4213449917388436E-2</v>
      </c>
      <c r="Q322" s="11">
        <f t="shared" si="48"/>
        <v>1.4440485530711073E-2</v>
      </c>
      <c r="R322" s="11">
        <f t="shared" si="49"/>
        <v>7.5511862162250983E-3</v>
      </c>
      <c r="S322" s="11">
        <f t="shared" si="50"/>
        <v>2.5128300396706493E-2</v>
      </c>
      <c r="T322" s="11">
        <f t="shared" si="51"/>
        <v>2.0288744451375056E-2</v>
      </c>
      <c r="U322" s="11">
        <f t="shared" si="43"/>
        <v>1.9042264825458868E-2</v>
      </c>
      <c r="V322" s="11" cm="1">
        <f t="array" ref="V322">SUMPRODUCT(L322:T322,TRANSPOSE($Y$5:$Y$13))</f>
        <v>1.9166912788050487E-2</v>
      </c>
    </row>
    <row r="323" spans="1:22" x14ac:dyDescent="0.2">
      <c r="A323" s="1">
        <v>43969</v>
      </c>
      <c r="B323" s="3">
        <v>39.650002000000001</v>
      </c>
      <c r="C323" s="3">
        <v>13.996665999999999</v>
      </c>
      <c r="D323" s="3">
        <v>20</v>
      </c>
      <c r="E323" s="3">
        <v>33.509998000000003</v>
      </c>
      <c r="F323" s="3">
        <v>26.829740999999999</v>
      </c>
      <c r="G323" s="3">
        <v>19.389999</v>
      </c>
      <c r="H323" s="3">
        <v>18.540001</v>
      </c>
      <c r="I323" s="3">
        <v>36.097706000000002</v>
      </c>
      <c r="J323" s="3">
        <v>51.259998000000003</v>
      </c>
      <c r="L323" s="11">
        <f t="shared" si="42"/>
        <v>2.3225858064516144E-2</v>
      </c>
      <c r="M323" s="11">
        <f t="shared" si="44"/>
        <v>6.1962518968133512E-2</v>
      </c>
      <c r="N323" s="11">
        <f t="shared" si="45"/>
        <v>-7.9613437643810417E-2</v>
      </c>
      <c r="O323" s="11">
        <f t="shared" si="46"/>
        <v>0.10960254603965089</v>
      </c>
      <c r="P323" s="11">
        <f t="shared" si="47"/>
        <v>1.4334311635392642E-2</v>
      </c>
      <c r="Q323" s="11">
        <f t="shared" si="48"/>
        <v>7.1270662983425298E-2</v>
      </c>
      <c r="R323" s="11">
        <f t="shared" si="49"/>
        <v>8.1049620991253749E-2</v>
      </c>
      <c r="S323" s="11">
        <f t="shared" si="50"/>
        <v>5.5480331964689086E-2</v>
      </c>
      <c r="T323" s="11">
        <f t="shared" si="51"/>
        <v>6.6805391608853168E-2</v>
      </c>
      <c r="U323" s="11">
        <f t="shared" si="43"/>
        <v>4.4901978290233791E-2</v>
      </c>
      <c r="V323" s="11" cm="1">
        <f t="array" ref="V323">SUMPRODUCT(L323:T323,TRANSPOSE($Y$5:$Y$13))</f>
        <v>4.709231962209573E-2</v>
      </c>
    </row>
    <row r="324" spans="1:22" x14ac:dyDescent="0.2">
      <c r="A324" s="1">
        <v>43966</v>
      </c>
      <c r="B324" s="3">
        <v>38.75</v>
      </c>
      <c r="C324" s="3">
        <v>13.18</v>
      </c>
      <c r="D324" s="3">
        <v>21.73</v>
      </c>
      <c r="E324" s="3">
        <v>30.200001</v>
      </c>
      <c r="F324" s="3">
        <v>26.450589999999998</v>
      </c>
      <c r="G324" s="3">
        <v>18.100000000000001</v>
      </c>
      <c r="H324" s="3">
        <v>17.149999999999999</v>
      </c>
      <c r="I324" s="3">
        <v>34.200263999999997</v>
      </c>
      <c r="J324" s="3">
        <v>48.049999</v>
      </c>
      <c r="L324" s="11">
        <f t="shared" si="42"/>
        <v>1.0957421812813881E-2</v>
      </c>
      <c r="M324" s="11">
        <f t="shared" si="44"/>
        <v>4.5478638047521773E-2</v>
      </c>
      <c r="N324" s="11">
        <f t="shared" si="45"/>
        <v>-2.7305282005371505E-2</v>
      </c>
      <c r="O324" s="11">
        <f t="shared" si="46"/>
        <v>3.1068623043065111E-2</v>
      </c>
      <c r="P324" s="11">
        <f t="shared" si="47"/>
        <v>-2.4291537103834363E-2</v>
      </c>
      <c r="Q324" s="11">
        <f t="shared" si="48"/>
        <v>-3.053026245313338E-2</v>
      </c>
      <c r="R324" s="11">
        <f t="shared" si="49"/>
        <v>-1.4367816091954025E-2</v>
      </c>
      <c r="S324" s="11">
        <f t="shared" si="50"/>
        <v>-2.429364540480098E-2</v>
      </c>
      <c r="T324" s="11">
        <f t="shared" si="51"/>
        <v>-8.3179455188196554E-4</v>
      </c>
      <c r="U324" s="11">
        <f t="shared" si="43"/>
        <v>-3.7906283008417169E-3</v>
      </c>
      <c r="V324" s="11" cm="1">
        <f t="array" ref="V324">SUMPRODUCT(L324:T324,TRANSPOSE($Y$5:$Y$13))</f>
        <v>-3.494744925945743E-3</v>
      </c>
    </row>
    <row r="325" spans="1:22" x14ac:dyDescent="0.2">
      <c r="A325" s="1">
        <v>43965</v>
      </c>
      <c r="B325" s="3">
        <v>38.330002</v>
      </c>
      <c r="C325" s="3">
        <v>12.606666000000001</v>
      </c>
      <c r="D325" s="3">
        <v>22.34</v>
      </c>
      <c r="E325" s="3">
        <v>29.290001</v>
      </c>
      <c r="F325" s="3">
        <v>27.109112</v>
      </c>
      <c r="G325" s="3">
        <v>18.670000000000002</v>
      </c>
      <c r="H325" s="3">
        <v>17.399999999999999</v>
      </c>
      <c r="I325" s="3">
        <v>35.0518</v>
      </c>
      <c r="J325" s="3">
        <v>48.09</v>
      </c>
      <c r="L325" s="11">
        <f t="shared" si="42"/>
        <v>-2.6910307867740811E-2</v>
      </c>
      <c r="M325" s="11">
        <f t="shared" si="44"/>
        <v>4.5907053260703927E-2</v>
      </c>
      <c r="N325" s="11">
        <f t="shared" si="45"/>
        <v>-4.1613000498198278E-2</v>
      </c>
      <c r="O325" s="11">
        <f t="shared" si="46"/>
        <v>7.2500991303588072E-2</v>
      </c>
      <c r="P325" s="11">
        <f t="shared" si="47"/>
        <v>-1.4700713171151695E-3</v>
      </c>
      <c r="Q325" s="11">
        <f t="shared" si="48"/>
        <v>2.5824119460213291E-2</v>
      </c>
      <c r="R325" s="11">
        <f t="shared" si="49"/>
        <v>-1.0801591813530487E-2</v>
      </c>
      <c r="S325" s="11">
        <f t="shared" si="50"/>
        <v>-6.9075635327235596E-2</v>
      </c>
      <c r="T325" s="11">
        <f t="shared" si="51"/>
        <v>-9.2707249841217192E-3</v>
      </c>
      <c r="U325" s="11">
        <f t="shared" si="43"/>
        <v>-1.6565741981596413E-3</v>
      </c>
      <c r="V325" s="11" cm="1">
        <f t="array" ref="V325">SUMPRODUCT(L325:T325,TRANSPOSE($Y$5:$Y$13))</f>
        <v>-2.4179892767558489E-3</v>
      </c>
    </row>
    <row r="326" spans="1:22" x14ac:dyDescent="0.2">
      <c r="A326" s="1">
        <v>43964</v>
      </c>
      <c r="B326" s="3">
        <v>39.389999000000003</v>
      </c>
      <c r="C326" s="3">
        <v>12.053333</v>
      </c>
      <c r="D326" s="3">
        <v>23.309999000000001</v>
      </c>
      <c r="E326" s="3">
        <v>27.309999000000001</v>
      </c>
      <c r="F326" s="3">
        <v>27.149023</v>
      </c>
      <c r="G326" s="3">
        <v>18.200001</v>
      </c>
      <c r="H326" s="3">
        <v>17.59</v>
      </c>
      <c r="I326" s="3">
        <v>37.652683000000003</v>
      </c>
      <c r="J326" s="3">
        <v>48.540000999999997</v>
      </c>
      <c r="L326" s="11">
        <f t="shared" si="42"/>
        <v>-2.6205240390476066E-2</v>
      </c>
      <c r="M326" s="11">
        <f t="shared" si="44"/>
        <v>1.203467674223343E-2</v>
      </c>
      <c r="N326" s="11">
        <f t="shared" si="45"/>
        <v>7.9166620370370352E-2</v>
      </c>
      <c r="O326" s="11">
        <f t="shared" si="46"/>
        <v>-7.2701199563795097E-3</v>
      </c>
      <c r="P326" s="11">
        <f t="shared" si="47"/>
        <v>3.775741992677558E-2</v>
      </c>
      <c r="Q326" s="11">
        <f t="shared" si="48"/>
        <v>1.1673207337409777E-2</v>
      </c>
      <c r="R326" s="11">
        <f t="shared" si="49"/>
        <v>-3.0319681936035372E-2</v>
      </c>
      <c r="S326" s="11">
        <f t="shared" si="50"/>
        <v>0</v>
      </c>
      <c r="T326" s="11">
        <f t="shared" si="51"/>
        <v>2.2756047677118432E-2</v>
      </c>
      <c r="U326" s="11">
        <f t="shared" si="43"/>
        <v>1.1065881085668512E-2</v>
      </c>
      <c r="V326" s="11" cm="1">
        <f t="array" ref="V326">SUMPRODUCT(L326:T326,TRANSPOSE($Y$5:$Y$13))</f>
        <v>1.2234897744813508E-2</v>
      </c>
    </row>
    <row r="327" spans="1:22" x14ac:dyDescent="0.2">
      <c r="A327" s="1">
        <v>43963</v>
      </c>
      <c r="B327" s="3">
        <v>40.450001</v>
      </c>
      <c r="C327" s="3">
        <v>11.91</v>
      </c>
      <c r="D327" s="3">
        <v>21.6</v>
      </c>
      <c r="E327" s="3">
        <v>27.51</v>
      </c>
      <c r="F327" s="3">
        <v>26.161242000000001</v>
      </c>
      <c r="G327" s="3">
        <v>17.989999999999998</v>
      </c>
      <c r="H327" s="3">
        <v>18.139999</v>
      </c>
      <c r="I327" s="3">
        <v>37.652683000000003</v>
      </c>
      <c r="J327" s="3">
        <v>47.459999000000003</v>
      </c>
      <c r="L327" s="11">
        <f t="shared" ref="L327:L390" si="52">(B327-B328)/B328</f>
        <v>-4.3735178338893094E-2</v>
      </c>
      <c r="M327" s="11">
        <f t="shared" si="44"/>
        <v>-2.9076034188914947E-2</v>
      </c>
      <c r="N327" s="11">
        <f t="shared" si="45"/>
        <v>-2.7700831024930158E-3</v>
      </c>
      <c r="O327" s="11">
        <f t="shared" si="46"/>
        <v>-2.0996441281138783E-2</v>
      </c>
      <c r="P327" s="11">
        <f t="shared" si="47"/>
        <v>-1.903237434115663E-3</v>
      </c>
      <c r="Q327" s="11">
        <f t="shared" si="48"/>
        <v>-2.1218662743126539E-2</v>
      </c>
      <c r="R327" s="11">
        <f t="shared" si="49"/>
        <v>-5.5101928374650354E-4</v>
      </c>
      <c r="S327" s="11">
        <f t="shared" si="50"/>
        <v>-2.795711099905223E-2</v>
      </c>
      <c r="T327" s="11">
        <f t="shared" si="51"/>
        <v>-5.6568405614915883E-3</v>
      </c>
      <c r="U327" s="11">
        <f t="shared" ref="U327:U390" si="53">AVERAGE(L327:T327)</f>
        <v>-1.7096067548108038E-2</v>
      </c>
      <c r="V327" s="11" cm="1">
        <f t="array" ref="V327">SUMPRODUCT(L327:T327,TRANSPOSE($Y$5:$Y$13))</f>
        <v>-1.5952144849446393E-2</v>
      </c>
    </row>
    <row r="328" spans="1:22" x14ac:dyDescent="0.2">
      <c r="A328" s="1">
        <v>43962</v>
      </c>
      <c r="B328" s="3">
        <v>42.299999</v>
      </c>
      <c r="C328" s="3">
        <v>12.266666000000001</v>
      </c>
      <c r="D328" s="3">
        <v>21.66</v>
      </c>
      <c r="E328" s="3">
        <v>28.1</v>
      </c>
      <c r="F328" s="3">
        <v>26.211127999999999</v>
      </c>
      <c r="G328" s="3">
        <v>18.379999000000002</v>
      </c>
      <c r="H328" s="3">
        <v>18.149999999999999</v>
      </c>
      <c r="I328" s="3">
        <v>38.735619</v>
      </c>
      <c r="J328" s="3">
        <v>47.73</v>
      </c>
      <c r="L328" s="11">
        <f t="shared" si="52"/>
        <v>1.4388440901955839E-2</v>
      </c>
      <c r="M328" s="11">
        <f t="shared" si="44"/>
        <v>-2.5423730160155082E-2</v>
      </c>
      <c r="N328" s="11">
        <f t="shared" si="45"/>
        <v>7.9106561191252551E-3</v>
      </c>
      <c r="O328" s="11">
        <f t="shared" si="46"/>
        <v>-5.2276559865092657E-2</v>
      </c>
      <c r="P328" s="11">
        <f t="shared" si="47"/>
        <v>-2.3420141746645872E-2</v>
      </c>
      <c r="Q328" s="11">
        <f t="shared" si="48"/>
        <v>-2.4416188959660207E-2</v>
      </c>
      <c r="R328" s="11">
        <f t="shared" si="49"/>
        <v>-1.7857142857142957E-2</v>
      </c>
      <c r="S328" s="11">
        <f t="shared" si="50"/>
        <v>-3.593631512250664E-2</v>
      </c>
      <c r="T328" s="11">
        <f t="shared" si="51"/>
        <v>-2.2927288553829674E-2</v>
      </c>
      <c r="U328" s="11">
        <f t="shared" si="53"/>
        <v>-1.9995363360439108E-2</v>
      </c>
      <c r="V328" s="11" cm="1">
        <f t="array" ref="V328">SUMPRODUCT(L328:T328,TRANSPOSE($Y$5:$Y$13))</f>
        <v>-2.0288555879778167E-2</v>
      </c>
    </row>
    <row r="329" spans="1:22" x14ac:dyDescent="0.2">
      <c r="A329" s="1">
        <v>43959</v>
      </c>
      <c r="B329" s="3">
        <v>41.700001</v>
      </c>
      <c r="C329" s="3">
        <v>12.586665999999999</v>
      </c>
      <c r="D329" s="3">
        <v>21.49</v>
      </c>
      <c r="E329" s="3">
        <v>29.65</v>
      </c>
      <c r="F329" s="3">
        <v>26.839718000000001</v>
      </c>
      <c r="G329" s="3">
        <v>18.84</v>
      </c>
      <c r="H329" s="3">
        <v>18.48</v>
      </c>
      <c r="I329" s="3">
        <v>40.179523000000003</v>
      </c>
      <c r="J329" s="3">
        <v>48.849997999999999</v>
      </c>
      <c r="L329" s="11">
        <f t="shared" si="52"/>
        <v>9.6017762842063681E-4</v>
      </c>
      <c r="M329" s="11">
        <f t="shared" si="44"/>
        <v>2.4694681809896264E-2</v>
      </c>
      <c r="N329" s="11">
        <f t="shared" si="45"/>
        <v>5.0342182323664761E-2</v>
      </c>
      <c r="O329" s="11">
        <f t="shared" si="46"/>
        <v>-4.0309035942224054E-3</v>
      </c>
      <c r="P329" s="11">
        <f t="shared" si="47"/>
        <v>3.7313093748928732E-3</v>
      </c>
      <c r="Q329" s="11">
        <f t="shared" si="48"/>
        <v>2.1691918563345042E-2</v>
      </c>
      <c r="R329" s="11">
        <f t="shared" si="49"/>
        <v>5.9632966764164852E-2</v>
      </c>
      <c r="S329" s="11">
        <f t="shared" si="50"/>
        <v>-1.2735955652103254E-2</v>
      </c>
      <c r="T329" s="11">
        <f t="shared" si="51"/>
        <v>6.0803454089108658E-2</v>
      </c>
      <c r="U329" s="11">
        <f t="shared" si="53"/>
        <v>2.2787759034129711E-2</v>
      </c>
      <c r="V329" s="11" cm="1">
        <f t="array" ref="V329">SUMPRODUCT(L329:T329,TRANSPOSE($Y$5:$Y$13))</f>
        <v>2.6589328539627612E-2</v>
      </c>
    </row>
    <row r="330" spans="1:22" x14ac:dyDescent="0.2">
      <c r="A330" s="1">
        <v>43958</v>
      </c>
      <c r="B330" s="3">
        <v>41.66</v>
      </c>
      <c r="C330" s="3">
        <v>12.283333000000001</v>
      </c>
      <c r="D330" s="3">
        <v>20.459999</v>
      </c>
      <c r="E330" s="3">
        <v>29.77</v>
      </c>
      <c r="F330" s="3">
        <v>26.739943</v>
      </c>
      <c r="G330" s="3">
        <v>18.440000999999999</v>
      </c>
      <c r="H330" s="3">
        <v>17.440000999999999</v>
      </c>
      <c r="I330" s="3">
        <v>40.697848999999998</v>
      </c>
      <c r="J330" s="3">
        <v>46.049999</v>
      </c>
      <c r="L330" s="11">
        <f t="shared" si="52"/>
        <v>-2.7317346377896592E-2</v>
      </c>
      <c r="M330" s="11">
        <f t="shared" si="44"/>
        <v>-4.1363164447532845E-2</v>
      </c>
      <c r="N330" s="11">
        <f t="shared" si="45"/>
        <v>0.1011840150699678</v>
      </c>
      <c r="O330" s="11">
        <f t="shared" si="46"/>
        <v>-8.4000000000000019E-2</v>
      </c>
      <c r="P330" s="11">
        <f t="shared" si="47"/>
        <v>-2.2611210468623844E-2</v>
      </c>
      <c r="Q330" s="11">
        <f t="shared" si="48"/>
        <v>-4.4559484174066584E-2</v>
      </c>
      <c r="R330" s="11">
        <f t="shared" si="49"/>
        <v>9.2592587234225365E-3</v>
      </c>
      <c r="S330" s="11">
        <f t="shared" si="50"/>
        <v>-1.5008958930697215E-2</v>
      </c>
      <c r="T330" s="11">
        <f t="shared" si="51"/>
        <v>3.8799840342890114E-2</v>
      </c>
      <c r="U330" s="11">
        <f t="shared" si="53"/>
        <v>-9.5130055847262932E-3</v>
      </c>
      <c r="V330" s="11" cm="1">
        <f t="array" ref="V330">SUMPRODUCT(L330:T330,TRANSPOSE($Y$5:$Y$13))</f>
        <v>-4.6817209919646522E-3</v>
      </c>
    </row>
    <row r="331" spans="1:22" x14ac:dyDescent="0.2">
      <c r="A331" s="1">
        <v>43957</v>
      </c>
      <c r="B331" s="3">
        <v>42.830002</v>
      </c>
      <c r="C331" s="3">
        <v>12.813333</v>
      </c>
      <c r="D331" s="3">
        <v>18.579999999999998</v>
      </c>
      <c r="E331" s="3">
        <v>32.5</v>
      </c>
      <c r="F331" s="3">
        <v>27.358553000000001</v>
      </c>
      <c r="G331" s="3">
        <v>19.299999</v>
      </c>
      <c r="H331" s="3">
        <v>17.280000999999999</v>
      </c>
      <c r="I331" s="3">
        <v>41.317988999999997</v>
      </c>
      <c r="J331" s="3">
        <v>44.330002</v>
      </c>
      <c r="L331" s="11">
        <f t="shared" si="52"/>
        <v>2.956740526766374E-2</v>
      </c>
      <c r="M331" s="11">
        <f t="shared" si="44"/>
        <v>-7.743934118325582E-3</v>
      </c>
      <c r="N331" s="11">
        <f t="shared" si="45"/>
        <v>-6.417165432237251E-3</v>
      </c>
      <c r="O331" s="11">
        <f t="shared" si="46"/>
        <v>-3.3600980267589051E-2</v>
      </c>
      <c r="P331" s="11">
        <f t="shared" si="47"/>
        <v>7.3610065469740041E-2</v>
      </c>
      <c r="Q331" s="11">
        <f t="shared" si="48"/>
        <v>-1.9807109202279832E-2</v>
      </c>
      <c r="R331" s="11">
        <f t="shared" si="49"/>
        <v>-3.6789295608177515E-2</v>
      </c>
      <c r="S331" s="11">
        <f t="shared" si="50"/>
        <v>1.5006740346182273E-2</v>
      </c>
      <c r="T331" s="11">
        <f t="shared" si="51"/>
        <v>1.4416498525938249E-2</v>
      </c>
      <c r="U331" s="11">
        <f t="shared" si="53"/>
        <v>3.1380249978794515E-3</v>
      </c>
      <c r="V331" s="11" cm="1">
        <f t="array" ref="V331">SUMPRODUCT(L331:T331,TRANSPOSE($Y$5:$Y$13))</f>
        <v>4.2658723506853319E-3</v>
      </c>
    </row>
    <row r="332" spans="1:22" x14ac:dyDescent="0.2">
      <c r="A332" s="1">
        <v>43956</v>
      </c>
      <c r="B332" s="3">
        <v>41.599997999999999</v>
      </c>
      <c r="C332" s="3">
        <v>12.913333</v>
      </c>
      <c r="D332" s="3">
        <v>18.700001</v>
      </c>
      <c r="E332" s="3">
        <v>33.630001</v>
      </c>
      <c r="F332" s="3">
        <v>25.482765000000001</v>
      </c>
      <c r="G332" s="3">
        <v>19.690000999999999</v>
      </c>
      <c r="H332" s="3">
        <v>17.940000999999999</v>
      </c>
      <c r="I332" s="3">
        <v>40.707107999999998</v>
      </c>
      <c r="J332" s="3">
        <v>43.700001</v>
      </c>
      <c r="L332" s="11">
        <f t="shared" si="52"/>
        <v>1.7114815789006532E-2</v>
      </c>
      <c r="M332" s="11">
        <f t="shared" si="44"/>
        <v>9.3798856013518304E-3</v>
      </c>
      <c r="N332" s="11">
        <f t="shared" si="45"/>
        <v>5.1743529148283049E-2</v>
      </c>
      <c r="O332" s="11">
        <f t="shared" si="46"/>
        <v>6.584884765040511E-3</v>
      </c>
      <c r="P332" s="11">
        <f t="shared" si="47"/>
        <v>1.108465788377554E-2</v>
      </c>
      <c r="Q332" s="11">
        <f t="shared" si="48"/>
        <v>-1.4514464464464548E-2</v>
      </c>
      <c r="R332" s="11">
        <f t="shared" si="49"/>
        <v>3.2221060542063161E-2</v>
      </c>
      <c r="S332" s="11">
        <f t="shared" si="50"/>
        <v>2.5174854973161381E-2</v>
      </c>
      <c r="T332" s="11">
        <f t="shared" si="51"/>
        <v>-5.2355793307534574E-3</v>
      </c>
      <c r="U332" s="11">
        <f t="shared" si="53"/>
        <v>1.4839293878607111E-2</v>
      </c>
      <c r="V332" s="11" cm="1">
        <f t="array" ref="V332">SUMPRODUCT(L332:T332,TRANSPOSE($Y$5:$Y$13))</f>
        <v>1.2831806557671053E-2</v>
      </c>
    </row>
    <row r="333" spans="1:22" x14ac:dyDescent="0.2">
      <c r="A333" s="1">
        <v>43955</v>
      </c>
      <c r="B333" s="3">
        <v>40.900002000000001</v>
      </c>
      <c r="C333" s="3">
        <v>12.793333000000001</v>
      </c>
      <c r="D333" s="3">
        <v>17.780000999999999</v>
      </c>
      <c r="E333" s="3">
        <v>33.409999999999997</v>
      </c>
      <c r="F333" s="3">
        <v>25.203393999999999</v>
      </c>
      <c r="G333" s="3">
        <v>19.98</v>
      </c>
      <c r="H333" s="3">
        <v>17.379999000000002</v>
      </c>
      <c r="I333" s="3">
        <v>39.707478000000002</v>
      </c>
      <c r="J333" s="3">
        <v>43.93</v>
      </c>
      <c r="L333" s="11">
        <f t="shared" si="52"/>
        <v>-3.7647011764705869E-2</v>
      </c>
      <c r="M333" s="11">
        <f t="shared" si="44"/>
        <v>-1.041098440452759E-3</v>
      </c>
      <c r="N333" s="11">
        <f t="shared" si="45"/>
        <v>-1.6843347380312954E-3</v>
      </c>
      <c r="O333" s="11">
        <f t="shared" si="46"/>
        <v>-2.281365963187082E-2</v>
      </c>
      <c r="P333" s="11">
        <f t="shared" si="47"/>
        <v>1.5273375495342344E-2</v>
      </c>
      <c r="Q333" s="11">
        <f t="shared" si="48"/>
        <v>-4.3561466900979708E-2</v>
      </c>
      <c r="R333" s="11">
        <f t="shared" si="49"/>
        <v>-3.7119115629867798E-2</v>
      </c>
      <c r="S333" s="11">
        <f t="shared" si="50"/>
        <v>-4.3478252490709787E-2</v>
      </c>
      <c r="T333" s="11">
        <f t="shared" si="51"/>
        <v>-2.0731185449594555E-2</v>
      </c>
      <c r="U333" s="11">
        <f t="shared" si="53"/>
        <v>-2.1422527727874476E-2</v>
      </c>
      <c r="V333" s="11" cm="1">
        <f t="array" ref="V333">SUMPRODUCT(L333:T333,TRANSPOSE($Y$5:$Y$13))</f>
        <v>-2.1353393500046482E-2</v>
      </c>
    </row>
    <row r="334" spans="1:22" x14ac:dyDescent="0.2">
      <c r="A334" s="1">
        <v>43951</v>
      </c>
      <c r="B334" s="3">
        <v>42.5</v>
      </c>
      <c r="C334" s="3">
        <v>12.806666</v>
      </c>
      <c r="D334" s="3">
        <v>17.809999000000001</v>
      </c>
      <c r="E334" s="3">
        <v>34.189999</v>
      </c>
      <c r="F334" s="3">
        <v>24.824244</v>
      </c>
      <c r="G334" s="3">
        <v>20.889999</v>
      </c>
      <c r="H334" s="3">
        <v>18.049999</v>
      </c>
      <c r="I334" s="3">
        <v>41.512363000000001</v>
      </c>
      <c r="J334" s="3">
        <v>44.860000999999997</v>
      </c>
      <c r="L334" s="11">
        <f t="shared" si="52"/>
        <v>-7.7691012252994268E-2</v>
      </c>
      <c r="M334" s="11">
        <f t="shared" si="44"/>
        <v>-3.7092781954887279E-2</v>
      </c>
      <c r="N334" s="11">
        <f t="shared" si="45"/>
        <v>1.8878661327231167E-2</v>
      </c>
      <c r="O334" s="11">
        <f t="shared" si="46"/>
        <v>-5.4218613874488869E-2</v>
      </c>
      <c r="P334" s="11">
        <f t="shared" si="47"/>
        <v>-3.4536300790479271E-2</v>
      </c>
      <c r="Q334" s="11">
        <f t="shared" si="48"/>
        <v>-6.6160122210097316E-2</v>
      </c>
      <c r="R334" s="11">
        <f t="shared" si="49"/>
        <v>-8.2418676790182947E-3</v>
      </c>
      <c r="S334" s="11">
        <f t="shared" si="50"/>
        <v>-5.8564244105498459E-2</v>
      </c>
      <c r="T334" s="11">
        <f t="shared" si="51"/>
        <v>-4.001709822383908E-2</v>
      </c>
      <c r="U334" s="11">
        <f t="shared" si="53"/>
        <v>-3.9738153307119072E-2</v>
      </c>
      <c r="V334" s="11" cm="1">
        <f t="array" ref="V334">SUMPRODUCT(L334:T334,TRANSPOSE($Y$5:$Y$13))</f>
        <v>-3.9766047798791074E-2</v>
      </c>
    </row>
    <row r="335" spans="1:22" x14ac:dyDescent="0.2">
      <c r="A335" s="1">
        <v>43950</v>
      </c>
      <c r="B335" s="3">
        <v>46.080002</v>
      </c>
      <c r="C335" s="3">
        <v>13.3</v>
      </c>
      <c r="D335" s="3">
        <v>17.48</v>
      </c>
      <c r="E335" s="3">
        <v>36.150002000000001</v>
      </c>
      <c r="F335" s="3">
        <v>25.712250000000001</v>
      </c>
      <c r="G335" s="3">
        <v>22.370000999999998</v>
      </c>
      <c r="H335" s="3">
        <v>18.200001</v>
      </c>
      <c r="I335" s="3">
        <v>44.094738</v>
      </c>
      <c r="J335" s="3">
        <v>46.73</v>
      </c>
      <c r="L335" s="11">
        <f t="shared" si="52"/>
        <v>1.0748014915551588E-2</v>
      </c>
      <c r="M335" s="11">
        <f t="shared" si="44"/>
        <v>2.5126131915886004E-3</v>
      </c>
      <c r="N335" s="11">
        <f t="shared" si="45"/>
        <v>-2.5641079953116968E-2</v>
      </c>
      <c r="O335" s="11">
        <f t="shared" si="46"/>
        <v>2.6988664006003873E-2</v>
      </c>
      <c r="P335" s="11">
        <f t="shared" si="47"/>
        <v>2.3024959744048914E-2</v>
      </c>
      <c r="Q335" s="11">
        <f t="shared" si="48"/>
        <v>2.8033134191176326E-2</v>
      </c>
      <c r="R335" s="11">
        <f t="shared" si="49"/>
        <v>5.5072521739130451E-2</v>
      </c>
      <c r="S335" s="11">
        <f t="shared" si="50"/>
        <v>1.6428458248088716E-2</v>
      </c>
      <c r="T335" s="11">
        <f t="shared" si="51"/>
        <v>4.7522953429209744E-2</v>
      </c>
      <c r="U335" s="11">
        <f t="shared" si="53"/>
        <v>2.0521137723520138E-2</v>
      </c>
      <c r="V335" s="11" cm="1">
        <f t="array" ref="V335">SUMPRODUCT(L335:T335,TRANSPOSE($Y$5:$Y$13))</f>
        <v>2.3221319294089098E-2</v>
      </c>
    </row>
    <row r="336" spans="1:22" x14ac:dyDescent="0.2">
      <c r="A336" s="1">
        <v>43949</v>
      </c>
      <c r="B336" s="3">
        <v>45.59</v>
      </c>
      <c r="C336" s="3">
        <v>13.266666000000001</v>
      </c>
      <c r="D336" s="3">
        <v>17.940000999999999</v>
      </c>
      <c r="E336" s="3">
        <v>35.200001</v>
      </c>
      <c r="F336" s="3">
        <v>25.133551000000001</v>
      </c>
      <c r="G336" s="3">
        <v>21.76</v>
      </c>
      <c r="H336" s="3">
        <v>17.25</v>
      </c>
      <c r="I336" s="3">
        <v>43.382038000000001</v>
      </c>
      <c r="J336" s="3">
        <v>44.610000999999997</v>
      </c>
      <c r="L336" s="11">
        <f t="shared" si="52"/>
        <v>7.0187843670790881E-2</v>
      </c>
      <c r="M336" s="11">
        <f t="shared" si="44"/>
        <v>1.4529697401463131E-2</v>
      </c>
      <c r="N336" s="11">
        <f t="shared" si="45"/>
        <v>-3.8866740699612882E-3</v>
      </c>
      <c r="O336" s="11">
        <f t="shared" si="46"/>
        <v>5.0746298507462699E-2</v>
      </c>
      <c r="P336" s="11">
        <f t="shared" si="47"/>
        <v>4.958336425331817E-2</v>
      </c>
      <c r="Q336" s="11">
        <f t="shared" si="48"/>
        <v>3.3238415633353086E-2</v>
      </c>
      <c r="R336" s="11">
        <f t="shared" si="49"/>
        <v>4.8632155098349214E-2</v>
      </c>
      <c r="S336" s="11">
        <f t="shared" si="50"/>
        <v>4.2714055738067393E-2</v>
      </c>
      <c r="T336" s="11">
        <f t="shared" si="51"/>
        <v>1.3468462704117508E-3</v>
      </c>
      <c r="U336" s="11">
        <f t="shared" si="53"/>
        <v>3.4121333611472786E-2</v>
      </c>
      <c r="V336" s="11" cm="1">
        <f t="array" ref="V336">SUMPRODUCT(L336:T336,TRANSPOSE($Y$5:$Y$13))</f>
        <v>3.0843884877366685E-2</v>
      </c>
    </row>
    <row r="337" spans="1:22" x14ac:dyDescent="0.2">
      <c r="A337" s="1">
        <v>43948</v>
      </c>
      <c r="B337" s="3">
        <v>42.599997999999999</v>
      </c>
      <c r="C337" s="3">
        <v>13.076665999999999</v>
      </c>
      <c r="D337" s="3">
        <v>18.010000000000002</v>
      </c>
      <c r="E337" s="3">
        <v>33.5</v>
      </c>
      <c r="F337" s="3">
        <v>23.946217000000001</v>
      </c>
      <c r="G337" s="3">
        <v>21.059999000000001</v>
      </c>
      <c r="H337" s="3">
        <v>16.450001</v>
      </c>
      <c r="I337" s="3">
        <v>41.604922999999999</v>
      </c>
      <c r="J337" s="3">
        <v>44.549999</v>
      </c>
      <c r="L337" s="11">
        <f t="shared" si="52"/>
        <v>-9.0719698035835773E-3</v>
      </c>
      <c r="M337" s="11">
        <f t="shared" si="44"/>
        <v>6.0270244872168768E-2</v>
      </c>
      <c r="N337" s="11">
        <f t="shared" si="45"/>
        <v>5.9411764705882442E-2</v>
      </c>
      <c r="O337" s="11">
        <f t="shared" si="46"/>
        <v>1.57671315949061E-2</v>
      </c>
      <c r="P337" s="11">
        <f t="shared" si="47"/>
        <v>6.666673496787931E-2</v>
      </c>
      <c r="Q337" s="11">
        <f t="shared" si="48"/>
        <v>2.3323566569485081E-2</v>
      </c>
      <c r="R337" s="11">
        <f t="shared" si="49"/>
        <v>3.1348025078369972E-2</v>
      </c>
      <c r="S337" s="11">
        <f t="shared" si="50"/>
        <v>2.0894852248722371E-2</v>
      </c>
      <c r="T337" s="11">
        <f t="shared" si="51"/>
        <v>1.8053040130394809E-2</v>
      </c>
      <c r="U337" s="11">
        <f t="shared" si="53"/>
        <v>3.1851487818247259E-2</v>
      </c>
      <c r="V337" s="11" cm="1">
        <f t="array" ref="V337">SUMPRODUCT(L337:T337,TRANSPOSE($Y$5:$Y$13))</f>
        <v>3.0471643049462011E-2</v>
      </c>
    </row>
    <row r="338" spans="1:22" x14ac:dyDescent="0.2">
      <c r="A338" s="1">
        <v>43945</v>
      </c>
      <c r="B338" s="3">
        <v>42.990001999999997</v>
      </c>
      <c r="C338" s="3">
        <v>12.333333</v>
      </c>
      <c r="D338" s="3">
        <v>17</v>
      </c>
      <c r="E338" s="3">
        <v>32.979999999999997</v>
      </c>
      <c r="F338" s="3">
        <v>22.449577000000001</v>
      </c>
      <c r="G338" s="3">
        <v>20.58</v>
      </c>
      <c r="H338" s="3">
        <v>15.95</v>
      </c>
      <c r="I338" s="3">
        <v>40.753386999999996</v>
      </c>
      <c r="J338" s="3">
        <v>43.759998000000003</v>
      </c>
      <c r="L338" s="11">
        <f t="shared" si="52"/>
        <v>-3.328084026802712E-2</v>
      </c>
      <c r="M338" s="11">
        <f t="shared" si="44"/>
        <v>-0.1030303272727273</v>
      </c>
      <c r="N338" s="11">
        <f t="shared" si="45"/>
        <v>2.3585496673673256E-3</v>
      </c>
      <c r="O338" s="11">
        <f t="shared" si="46"/>
        <v>-5.7175528873642086E-2</v>
      </c>
      <c r="P338" s="11">
        <f t="shared" si="47"/>
        <v>-8.0130878740280811E-2</v>
      </c>
      <c r="Q338" s="11">
        <f t="shared" si="48"/>
        <v>-0.10443864229765022</v>
      </c>
      <c r="R338" s="11">
        <f t="shared" si="49"/>
        <v>-5.8997105663887633E-2</v>
      </c>
      <c r="S338" s="11">
        <f t="shared" si="50"/>
        <v>-2.5453726577621048E-2</v>
      </c>
      <c r="T338" s="11">
        <f t="shared" si="51"/>
        <v>5.7458058260540477E-3</v>
      </c>
      <c r="U338" s="11">
        <f t="shared" si="53"/>
        <v>-5.0489188244490543E-2</v>
      </c>
      <c r="V338" s="11" cm="1">
        <f t="array" ref="V338">SUMPRODUCT(L338:T338,TRANSPOSE($Y$5:$Y$13))</f>
        <v>-4.486568883743608E-2</v>
      </c>
    </row>
    <row r="339" spans="1:22" x14ac:dyDescent="0.2">
      <c r="A339" s="1">
        <v>43944</v>
      </c>
      <c r="B339" s="3">
        <v>44.470001000000003</v>
      </c>
      <c r="C339" s="3">
        <v>13.75</v>
      </c>
      <c r="D339" s="3">
        <v>16.959999</v>
      </c>
      <c r="E339" s="3">
        <v>34.979999999999997</v>
      </c>
      <c r="F339" s="3">
        <v>24.405186</v>
      </c>
      <c r="G339" s="3">
        <v>22.98</v>
      </c>
      <c r="H339" s="3">
        <v>16.950001</v>
      </c>
      <c r="I339" s="3">
        <v>41.817805999999997</v>
      </c>
      <c r="J339" s="3">
        <v>43.509998000000003</v>
      </c>
      <c r="L339" s="11">
        <f t="shared" si="52"/>
        <v>-6.9470599090382806E-2</v>
      </c>
      <c r="M339" s="11">
        <f t="shared" si="44"/>
        <v>-1.8090907357555489E-2</v>
      </c>
      <c r="N339" s="11">
        <f t="shared" si="45"/>
        <v>2.6013186569075298E-2</v>
      </c>
      <c r="O339" s="11">
        <f t="shared" si="46"/>
        <v>-4.1643835616438439E-2</v>
      </c>
      <c r="P339" s="11">
        <f t="shared" si="47"/>
        <v>-2.8208148941167029E-2</v>
      </c>
      <c r="Q339" s="11">
        <f t="shared" si="48"/>
        <v>-9.4828013153964909E-3</v>
      </c>
      <c r="R339" s="11">
        <f t="shared" si="49"/>
        <v>1.1940358208955244E-2</v>
      </c>
      <c r="S339" s="11">
        <f t="shared" si="50"/>
        <v>-5.0840356772012464E-2</v>
      </c>
      <c r="T339" s="11">
        <f t="shared" si="51"/>
        <v>1.4219020316129646E-2</v>
      </c>
      <c r="U339" s="11">
        <f t="shared" si="53"/>
        <v>-1.8396009333199168E-2</v>
      </c>
      <c r="V339" s="11" cm="1">
        <f t="array" ref="V339">SUMPRODUCT(L339:T339,TRANSPOSE($Y$5:$Y$13))</f>
        <v>-1.5134506368266288E-2</v>
      </c>
    </row>
    <row r="340" spans="1:22" x14ac:dyDescent="0.2">
      <c r="A340" s="1">
        <v>43943</v>
      </c>
      <c r="B340" s="3">
        <v>47.790000999999997</v>
      </c>
      <c r="C340" s="3">
        <v>14.003333</v>
      </c>
      <c r="D340" s="3">
        <v>16.530000999999999</v>
      </c>
      <c r="E340" s="3">
        <v>36.5</v>
      </c>
      <c r="F340" s="3">
        <v>25.113593999999999</v>
      </c>
      <c r="G340" s="3">
        <v>23.200001</v>
      </c>
      <c r="H340" s="3">
        <v>16.75</v>
      </c>
      <c r="I340" s="3">
        <v>44.057715999999999</v>
      </c>
      <c r="J340" s="3">
        <v>42.900002000000001</v>
      </c>
      <c r="L340" s="11">
        <f t="shared" si="52"/>
        <v>6.3654596038281705E-2</v>
      </c>
      <c r="M340" s="11">
        <f t="shared" si="44"/>
        <v>3.4983961566888412E-2</v>
      </c>
      <c r="N340" s="11">
        <f t="shared" si="45"/>
        <v>3.6363699059561085E-2</v>
      </c>
      <c r="O340" s="11">
        <f t="shared" si="46"/>
        <v>7.3529411764705885E-2</v>
      </c>
      <c r="P340" s="11">
        <f t="shared" si="47"/>
        <v>0.10249676047991386</v>
      </c>
      <c r="Q340" s="11">
        <f t="shared" si="48"/>
        <v>7.4074120370370311E-2</v>
      </c>
      <c r="R340" s="11">
        <f t="shared" si="49"/>
        <v>5.0156739811912272E-2</v>
      </c>
      <c r="S340" s="11">
        <f t="shared" si="50"/>
        <v>3.9301357016730563E-2</v>
      </c>
      <c r="T340" s="11">
        <f t="shared" si="51"/>
        <v>1.0362765199311409E-2</v>
      </c>
      <c r="U340" s="11">
        <f t="shared" si="53"/>
        <v>5.388037903418616E-2</v>
      </c>
      <c r="V340" s="11" cm="1">
        <f t="array" ref="V340">SUMPRODUCT(L340:T340,TRANSPOSE($Y$5:$Y$13))</f>
        <v>4.95286176506987E-2</v>
      </c>
    </row>
    <row r="341" spans="1:22" x14ac:dyDescent="0.2">
      <c r="A341" s="1">
        <v>43941</v>
      </c>
      <c r="B341" s="3">
        <v>44.93</v>
      </c>
      <c r="C341" s="3">
        <v>13.53</v>
      </c>
      <c r="D341" s="3">
        <v>15.95</v>
      </c>
      <c r="E341" s="3">
        <v>34</v>
      </c>
      <c r="F341" s="3">
        <v>22.778836999999999</v>
      </c>
      <c r="G341" s="3">
        <v>21.6</v>
      </c>
      <c r="H341" s="3">
        <v>15.95</v>
      </c>
      <c r="I341" s="3">
        <v>42.391666000000001</v>
      </c>
      <c r="J341" s="3">
        <v>42.459999000000003</v>
      </c>
      <c r="L341" s="11">
        <f t="shared" si="52"/>
        <v>6.2174966008864449E-2</v>
      </c>
      <c r="M341" s="11">
        <f t="shared" si="44"/>
        <v>2.6815129107772669E-2</v>
      </c>
      <c r="N341" s="11">
        <f t="shared" si="45"/>
        <v>6.3091482649842053E-3</v>
      </c>
      <c r="O341" s="11">
        <f t="shared" si="46"/>
        <v>6.1504872354195314E-2</v>
      </c>
      <c r="P341" s="11">
        <f t="shared" si="47"/>
        <v>4.9655139808024037E-2</v>
      </c>
      <c r="Q341" s="11">
        <f t="shared" si="48"/>
        <v>3.1026203769632329E-2</v>
      </c>
      <c r="R341" s="11">
        <f t="shared" si="49"/>
        <v>-1.1159269135726681E-2</v>
      </c>
      <c r="S341" s="11">
        <f t="shared" si="50"/>
        <v>5.2147900716087693E-2</v>
      </c>
      <c r="T341" s="11">
        <f t="shared" si="51"/>
        <v>-3.5000022727272651E-2</v>
      </c>
      <c r="U341" s="11">
        <f t="shared" si="53"/>
        <v>2.7052674240729047E-2</v>
      </c>
      <c r="V341" s="11" cm="1">
        <f t="array" ref="V341">SUMPRODUCT(L341:T341,TRANSPOSE($Y$5:$Y$13))</f>
        <v>2.0847404543928871E-2</v>
      </c>
    </row>
    <row r="342" spans="1:22" x14ac:dyDescent="0.2">
      <c r="A342" s="1">
        <v>43938</v>
      </c>
      <c r="B342" s="3">
        <v>42.299999</v>
      </c>
      <c r="C342" s="3">
        <v>13.176666000000001</v>
      </c>
      <c r="D342" s="3">
        <v>15.85</v>
      </c>
      <c r="E342" s="3">
        <v>32.029998999999997</v>
      </c>
      <c r="F342" s="3">
        <v>21.701257999999999</v>
      </c>
      <c r="G342" s="3">
        <v>20.950001</v>
      </c>
      <c r="H342" s="3">
        <v>16.129999000000002</v>
      </c>
      <c r="I342" s="3">
        <v>40.290596000000001</v>
      </c>
      <c r="J342" s="3">
        <v>44</v>
      </c>
      <c r="L342" s="11">
        <f t="shared" si="52"/>
        <v>5.4862870566726722E-2</v>
      </c>
      <c r="M342" s="11">
        <f t="shared" ref="M342:M405" si="54">(C342-C343)/C343</f>
        <v>5.5965150240783511E-3</v>
      </c>
      <c r="N342" s="11">
        <f t="shared" ref="N342:N405" si="55">(D342-D343)/D343</f>
        <v>-5.6461731493099038E-3</v>
      </c>
      <c r="O342" s="11">
        <f t="shared" ref="O342:O405" si="56">(E342-E343)/E343</f>
        <v>8.3558866155577172E-2</v>
      </c>
      <c r="P342" s="11">
        <f t="shared" ref="P342:P405" si="57">(F342-F343)/F343</f>
        <v>-2.7715665701965635E-2</v>
      </c>
      <c r="Q342" s="11">
        <f t="shared" ref="Q342:Q405" si="58">(G342-G343)/G343</f>
        <v>0.11436181459371358</v>
      </c>
      <c r="R342" s="11">
        <f t="shared" ref="R342:R405" si="59">(H342-H343)/H343</f>
        <v>2.6081361323155271E-2</v>
      </c>
      <c r="S342" s="11">
        <f t="shared" ref="S342:S405" si="60">(I342-I343)/I343</f>
        <v>2.7863122801473159E-2</v>
      </c>
      <c r="T342" s="11">
        <f t="shared" ref="T342:T405" si="61">(J342-J343)/J343</f>
        <v>2.899911267535599E-2</v>
      </c>
      <c r="U342" s="11">
        <f t="shared" si="53"/>
        <v>3.4217980476533856E-2</v>
      </c>
      <c r="V342" s="11" cm="1">
        <f t="array" ref="V342">SUMPRODUCT(L342:T342,TRANSPOSE($Y$5:$Y$13))</f>
        <v>3.3696093696416074E-2</v>
      </c>
    </row>
    <row r="343" spans="1:22" x14ac:dyDescent="0.2">
      <c r="A343" s="1">
        <v>43937</v>
      </c>
      <c r="B343" s="3">
        <v>40.099997999999999</v>
      </c>
      <c r="C343" s="3">
        <v>13.103332999999999</v>
      </c>
      <c r="D343" s="3">
        <v>15.94</v>
      </c>
      <c r="E343" s="3">
        <v>29.559999000000001</v>
      </c>
      <c r="F343" s="3">
        <v>22.319868</v>
      </c>
      <c r="G343" s="3">
        <v>18.799999</v>
      </c>
      <c r="H343" s="3">
        <v>15.72</v>
      </c>
      <c r="I343" s="3">
        <v>39.198405999999999</v>
      </c>
      <c r="J343" s="3">
        <v>42.759998000000003</v>
      </c>
      <c r="L343" s="11">
        <f t="shared" si="52"/>
        <v>4.4814928483196216E-2</v>
      </c>
      <c r="M343" s="11">
        <f t="shared" si="54"/>
        <v>-1.5280536837702295E-2</v>
      </c>
      <c r="N343" s="11">
        <f t="shared" si="55"/>
        <v>-1.1166314443776956E-2</v>
      </c>
      <c r="O343" s="11">
        <f t="shared" si="56"/>
        <v>-1.8592363260545617E-2</v>
      </c>
      <c r="P343" s="11">
        <f t="shared" si="57"/>
        <v>3.9015350239156393E-2</v>
      </c>
      <c r="Q343" s="11">
        <f t="shared" si="58"/>
        <v>-1.2605146396788555E-2</v>
      </c>
      <c r="R343" s="11">
        <f t="shared" si="59"/>
        <v>-4.029298170286829E-2</v>
      </c>
      <c r="S343" s="11">
        <f t="shared" si="60"/>
        <v>-3.1114190579530833E-2</v>
      </c>
      <c r="T343" s="11">
        <f t="shared" si="61"/>
        <v>-9.9560317192875416E-3</v>
      </c>
      <c r="U343" s="11">
        <f t="shared" si="53"/>
        <v>-6.130809579794165E-3</v>
      </c>
      <c r="V343" s="11" cm="1">
        <f t="array" ref="V343">SUMPRODUCT(L343:T343,TRANSPOSE($Y$5:$Y$13))</f>
        <v>-6.5133317937435022E-3</v>
      </c>
    </row>
    <row r="344" spans="1:22" x14ac:dyDescent="0.2">
      <c r="A344" s="1">
        <v>43936</v>
      </c>
      <c r="B344" s="3">
        <v>38.380001</v>
      </c>
      <c r="C344" s="3">
        <v>13.306666</v>
      </c>
      <c r="D344" s="3">
        <v>16.120000999999998</v>
      </c>
      <c r="E344" s="3">
        <v>30.120000999999998</v>
      </c>
      <c r="F344" s="3">
        <v>21.481750000000002</v>
      </c>
      <c r="G344" s="3">
        <v>19.040001</v>
      </c>
      <c r="H344" s="3">
        <v>16.379999000000002</v>
      </c>
      <c r="I344" s="3">
        <v>40.457199000000003</v>
      </c>
      <c r="J344" s="3">
        <v>43.189999</v>
      </c>
      <c r="L344" s="11">
        <f t="shared" si="52"/>
        <v>2.6203180416942206E-2</v>
      </c>
      <c r="M344" s="11">
        <f t="shared" si="54"/>
        <v>9.1001015723003228E-3</v>
      </c>
      <c r="N344" s="11">
        <f t="shared" si="55"/>
        <v>-2.2437780473013948E-2</v>
      </c>
      <c r="O344" s="11">
        <f t="shared" si="56"/>
        <v>-1.2135093473269925E-2</v>
      </c>
      <c r="P344" s="11">
        <f t="shared" si="57"/>
        <v>2.4262506439859659E-2</v>
      </c>
      <c r="Q344" s="11">
        <f t="shared" si="58"/>
        <v>-2.8571377551020471E-2</v>
      </c>
      <c r="R344" s="11">
        <f t="shared" si="59"/>
        <v>-2.0920561864913263E-2</v>
      </c>
      <c r="S344" s="11">
        <f t="shared" si="60"/>
        <v>-1.2872583746273229E-2</v>
      </c>
      <c r="T344" s="11">
        <f t="shared" si="61"/>
        <v>-3.0092073435707835E-2</v>
      </c>
      <c r="U344" s="11">
        <f t="shared" si="53"/>
        <v>-7.4959646794551648E-3</v>
      </c>
      <c r="V344" s="11" cm="1">
        <f t="array" ref="V344">SUMPRODUCT(L344:T344,TRANSPOSE($Y$5:$Y$13))</f>
        <v>-9.755575555080432E-3</v>
      </c>
    </row>
    <row r="345" spans="1:22" x14ac:dyDescent="0.2">
      <c r="A345" s="1">
        <v>43935</v>
      </c>
      <c r="B345" s="3">
        <v>37.400002000000001</v>
      </c>
      <c r="C345" s="3">
        <v>13.186666000000001</v>
      </c>
      <c r="D345" s="3">
        <v>16.489999999999998</v>
      </c>
      <c r="E345" s="3">
        <v>30.49</v>
      </c>
      <c r="F345" s="3">
        <v>20.972895000000001</v>
      </c>
      <c r="G345" s="3">
        <v>19.600000000000001</v>
      </c>
      <c r="H345" s="3">
        <v>16.73</v>
      </c>
      <c r="I345" s="3">
        <v>40.984779000000003</v>
      </c>
      <c r="J345" s="3">
        <v>44.529998999999997</v>
      </c>
      <c r="L345" s="11">
        <f t="shared" si="52"/>
        <v>2.3255896669108007E-2</v>
      </c>
      <c r="M345" s="11">
        <f t="shared" si="54"/>
        <v>5.5922472189183225E-3</v>
      </c>
      <c r="N345" s="11">
        <f t="shared" si="55"/>
        <v>1.7901171734495454E-2</v>
      </c>
      <c r="O345" s="11">
        <f t="shared" si="56"/>
        <v>2.487394957983188E-2</v>
      </c>
      <c r="P345" s="11">
        <f t="shared" si="57"/>
        <v>1.5949710407106184E-2</v>
      </c>
      <c r="Q345" s="11">
        <f t="shared" si="58"/>
        <v>-5.0761926357262063E-3</v>
      </c>
      <c r="R345" s="11">
        <f t="shared" si="59"/>
        <v>-1.1813349084465404E-2</v>
      </c>
      <c r="S345" s="11">
        <f t="shared" si="60"/>
        <v>8.6625706343658987E-2</v>
      </c>
      <c r="T345" s="11">
        <f t="shared" si="61"/>
        <v>-8.9748709894556266E-4</v>
      </c>
      <c r="U345" s="11">
        <f t="shared" si="53"/>
        <v>1.7379072570442407E-2</v>
      </c>
      <c r="V345" s="11" cm="1">
        <f t="array" ref="V345">SUMPRODUCT(L345:T345,TRANSPOSE($Y$5:$Y$13))</f>
        <v>1.5551416603503612E-2</v>
      </c>
    </row>
    <row r="346" spans="1:22" x14ac:dyDescent="0.2">
      <c r="A346" s="1">
        <v>43934</v>
      </c>
      <c r="B346" s="3">
        <v>36.549999</v>
      </c>
      <c r="C346" s="3">
        <v>13.113333000000001</v>
      </c>
      <c r="D346" s="3">
        <v>16.200001</v>
      </c>
      <c r="E346" s="3">
        <v>29.75</v>
      </c>
      <c r="F346" s="3">
        <v>20.643635</v>
      </c>
      <c r="G346" s="3">
        <v>19.700001</v>
      </c>
      <c r="H346" s="3">
        <v>16.93</v>
      </c>
      <c r="I346" s="3">
        <v>37.717475999999998</v>
      </c>
      <c r="J346" s="3">
        <v>44.57</v>
      </c>
      <c r="L346" s="11">
        <f t="shared" si="52"/>
        <v>-2.7925506804548226E-2</v>
      </c>
      <c r="M346" s="11">
        <f t="shared" si="54"/>
        <v>8.4593696093148742E-3</v>
      </c>
      <c r="N346" s="11">
        <f t="shared" si="55"/>
        <v>1.250006250000002E-2</v>
      </c>
      <c r="O346" s="11">
        <f t="shared" si="56"/>
        <v>-1.3266998341625161E-2</v>
      </c>
      <c r="P346" s="11">
        <f t="shared" si="57"/>
        <v>-2.8638496371304986E-2</v>
      </c>
      <c r="Q346" s="11">
        <f t="shared" si="58"/>
        <v>7.1575668280964158E-3</v>
      </c>
      <c r="R346" s="11">
        <f t="shared" si="59"/>
        <v>6.539833531510073E-3</v>
      </c>
      <c r="S346" s="11">
        <f t="shared" si="60"/>
        <v>3.6895696020338604E-2</v>
      </c>
      <c r="T346" s="11">
        <f t="shared" si="61"/>
        <v>2.9805938766311057E-2</v>
      </c>
      <c r="U346" s="11">
        <f t="shared" si="53"/>
        <v>3.5030517486769638E-3</v>
      </c>
      <c r="V346" s="11" cm="1">
        <f t="array" ref="V346">SUMPRODUCT(L346:T346,TRANSPOSE($Y$5:$Y$13))</f>
        <v>6.1333404504403735E-3</v>
      </c>
    </row>
    <row r="347" spans="1:22" x14ac:dyDescent="0.2">
      <c r="A347" s="1">
        <v>43930</v>
      </c>
      <c r="B347" s="3">
        <v>37.599997999999999</v>
      </c>
      <c r="C347" s="3">
        <v>13.003333</v>
      </c>
      <c r="D347" s="3">
        <v>16</v>
      </c>
      <c r="E347" s="3">
        <v>30.15</v>
      </c>
      <c r="F347" s="3">
        <v>21.252268000000001</v>
      </c>
      <c r="G347" s="3">
        <v>19.559999000000001</v>
      </c>
      <c r="H347" s="3">
        <v>16.82</v>
      </c>
      <c r="I347" s="3">
        <v>36.375380999999997</v>
      </c>
      <c r="J347" s="3">
        <v>43.279998999999997</v>
      </c>
      <c r="L347" s="11">
        <f t="shared" si="52"/>
        <v>-4.9785241344452891E-2</v>
      </c>
      <c r="M347" s="11">
        <f t="shared" si="54"/>
        <v>-7.6316460857706698E-3</v>
      </c>
      <c r="N347" s="11">
        <f t="shared" si="55"/>
        <v>-1.4778325123152615E-2</v>
      </c>
      <c r="O347" s="11">
        <f t="shared" si="56"/>
        <v>-5.4858934169278999E-2</v>
      </c>
      <c r="P347" s="11">
        <f t="shared" si="57"/>
        <v>-2.6952864308429136E-2</v>
      </c>
      <c r="Q347" s="11">
        <f t="shared" si="58"/>
        <v>-3.0242984630639583E-2</v>
      </c>
      <c r="R347" s="11">
        <f t="shared" si="59"/>
        <v>-2.8868360277136258E-2</v>
      </c>
      <c r="S347" s="11">
        <f t="shared" si="60"/>
        <v>-3.5582842287750126E-2</v>
      </c>
      <c r="T347" s="11">
        <f t="shared" si="61"/>
        <v>-5.2861183767465699E-3</v>
      </c>
      <c r="U347" s="11">
        <f t="shared" si="53"/>
        <v>-2.8220812955928543E-2</v>
      </c>
      <c r="V347" s="11" cm="1">
        <f t="array" ref="V347">SUMPRODUCT(L347:T347,TRANSPOSE($Y$5:$Y$13))</f>
        <v>-2.5927343498010347E-2</v>
      </c>
    </row>
    <row r="348" spans="1:22" x14ac:dyDescent="0.2">
      <c r="A348" s="1">
        <v>43929</v>
      </c>
      <c r="B348" s="3">
        <v>39.57</v>
      </c>
      <c r="C348" s="3">
        <v>13.103332999999999</v>
      </c>
      <c r="D348" s="3">
        <v>16.239999999999998</v>
      </c>
      <c r="E348" s="3">
        <v>31.9</v>
      </c>
      <c r="F348" s="3">
        <v>21.840944</v>
      </c>
      <c r="G348" s="3">
        <v>20.170000000000002</v>
      </c>
      <c r="H348" s="3">
        <v>17.32</v>
      </c>
      <c r="I348" s="3">
        <v>37.717475999999998</v>
      </c>
      <c r="J348" s="3">
        <v>43.509998000000003</v>
      </c>
      <c r="L348" s="11">
        <f t="shared" si="52"/>
        <v>1.7485240871309798E-2</v>
      </c>
      <c r="M348" s="11">
        <f t="shared" si="54"/>
        <v>2.1038961585427542E-2</v>
      </c>
      <c r="N348" s="11">
        <f t="shared" si="55"/>
        <v>8.695652173912858E-3</v>
      </c>
      <c r="O348" s="11">
        <f t="shared" si="56"/>
        <v>9.1718038730938936E-2</v>
      </c>
      <c r="P348" s="11">
        <f t="shared" si="57"/>
        <v>6.9892507882278479E-2</v>
      </c>
      <c r="Q348" s="11">
        <f t="shared" si="58"/>
        <v>2.4850396379206561E-3</v>
      </c>
      <c r="R348" s="11">
        <f t="shared" si="59"/>
        <v>5.6097560975609868E-2</v>
      </c>
      <c r="S348" s="11">
        <f t="shared" si="60"/>
        <v>2.5931529012820826E-2</v>
      </c>
      <c r="T348" s="11">
        <f t="shared" si="61"/>
        <v>-6.1672226168847906E-3</v>
      </c>
      <c r="U348" s="11">
        <f t="shared" si="53"/>
        <v>3.1908589805926015E-2</v>
      </c>
      <c r="V348" s="11" cm="1">
        <f t="array" ref="V348">SUMPRODUCT(L348:T348,TRANSPOSE($Y$5:$Y$13))</f>
        <v>2.810100856364494E-2</v>
      </c>
    </row>
    <row r="349" spans="1:22" x14ac:dyDescent="0.2">
      <c r="A349" s="1">
        <v>43928</v>
      </c>
      <c r="B349" s="3">
        <v>38.889999000000003</v>
      </c>
      <c r="C349" s="3">
        <v>12.833333</v>
      </c>
      <c r="D349" s="3">
        <v>16.100000000000001</v>
      </c>
      <c r="E349" s="3">
        <v>29.219999000000001</v>
      </c>
      <c r="F349" s="3">
        <v>20.414148000000001</v>
      </c>
      <c r="G349" s="3">
        <v>20.120000999999998</v>
      </c>
      <c r="H349" s="3">
        <v>16.399999999999999</v>
      </c>
      <c r="I349" s="3">
        <v>36.764125999999997</v>
      </c>
      <c r="J349" s="3">
        <v>43.779998999999997</v>
      </c>
      <c r="L349" s="11">
        <f t="shared" si="52"/>
        <v>3.7066640000000081E-2</v>
      </c>
      <c r="M349" s="11">
        <f t="shared" si="54"/>
        <v>3.4668100904813225E-2</v>
      </c>
      <c r="N349" s="11">
        <f t="shared" si="55"/>
        <v>-2.3650697392358828E-2</v>
      </c>
      <c r="O349" s="11">
        <f t="shared" si="56"/>
        <v>4.3571392857142906E-2</v>
      </c>
      <c r="P349" s="11">
        <f t="shared" si="57"/>
        <v>4.9230683674147568E-2</v>
      </c>
      <c r="Q349" s="11">
        <f t="shared" si="58"/>
        <v>2.2357774390243841E-2</v>
      </c>
      <c r="R349" s="11">
        <f t="shared" si="59"/>
        <v>3.9949270767279582E-2</v>
      </c>
      <c r="S349" s="11">
        <f t="shared" si="60"/>
        <v>3.2224504410256934E-2</v>
      </c>
      <c r="T349" s="11">
        <f t="shared" si="61"/>
        <v>1.5070669717814207E-2</v>
      </c>
      <c r="U349" s="11">
        <f t="shared" si="53"/>
        <v>2.7832037703259944E-2</v>
      </c>
      <c r="V349" s="11" cm="1">
        <f t="array" ref="V349">SUMPRODUCT(L349:T349,TRANSPOSE($Y$5:$Y$13))</f>
        <v>2.6555900904715376E-2</v>
      </c>
    </row>
    <row r="350" spans="1:22" x14ac:dyDescent="0.2">
      <c r="A350" s="1">
        <v>43927</v>
      </c>
      <c r="B350" s="3">
        <v>37.5</v>
      </c>
      <c r="C350" s="3">
        <v>12.403333</v>
      </c>
      <c r="D350" s="3">
        <v>16.489999999999998</v>
      </c>
      <c r="E350" s="3">
        <v>28</v>
      </c>
      <c r="F350" s="3">
        <v>19.456301</v>
      </c>
      <c r="G350" s="3">
        <v>19.68</v>
      </c>
      <c r="H350" s="3">
        <v>15.77</v>
      </c>
      <c r="I350" s="3">
        <v>35.616405</v>
      </c>
      <c r="J350" s="3">
        <v>43.130001</v>
      </c>
      <c r="L350" s="11">
        <f t="shared" si="52"/>
        <v>0.13533155117564502</v>
      </c>
      <c r="M350" s="11">
        <f t="shared" si="54"/>
        <v>3.793581589958165E-2</v>
      </c>
      <c r="N350" s="11">
        <f t="shared" si="55"/>
        <v>-7.2246232856940842E-3</v>
      </c>
      <c r="O350" s="11">
        <f t="shared" si="56"/>
        <v>0.20120125273278641</v>
      </c>
      <c r="P350" s="11">
        <f t="shared" si="57"/>
        <v>0.11811929221891009</v>
      </c>
      <c r="Q350" s="11">
        <f t="shared" si="58"/>
        <v>8.48953189027188E-2</v>
      </c>
      <c r="R350" s="11">
        <f t="shared" si="59"/>
        <v>2.8031290743155132E-2</v>
      </c>
      <c r="S350" s="11">
        <f t="shared" si="60"/>
        <v>0.12153898111344923</v>
      </c>
      <c r="T350" s="11">
        <f t="shared" si="61"/>
        <v>6.49382962962963E-2</v>
      </c>
      <c r="U350" s="11">
        <f t="shared" si="53"/>
        <v>8.7196352866316496E-2</v>
      </c>
      <c r="V350" s="11" cm="1">
        <f t="array" ref="V350">SUMPRODUCT(L350:T350,TRANSPOSE($Y$5:$Y$13))</f>
        <v>8.497054720931449E-2</v>
      </c>
    </row>
    <row r="351" spans="1:22" x14ac:dyDescent="0.2">
      <c r="A351" s="1">
        <v>43924</v>
      </c>
      <c r="B351" s="3">
        <v>33.029998999999997</v>
      </c>
      <c r="C351" s="3">
        <v>11.95</v>
      </c>
      <c r="D351" s="3">
        <v>16.610001</v>
      </c>
      <c r="E351" s="3">
        <v>23.309999000000001</v>
      </c>
      <c r="F351" s="3">
        <v>17.400917</v>
      </c>
      <c r="G351" s="3">
        <v>18.139999</v>
      </c>
      <c r="H351" s="3">
        <v>15.34</v>
      </c>
      <c r="I351" s="3">
        <v>31.756724999999999</v>
      </c>
      <c r="J351" s="3">
        <v>40.5</v>
      </c>
      <c r="L351" s="11">
        <f t="shared" si="52"/>
        <v>-8.4788057633693723E-2</v>
      </c>
      <c r="M351" s="11">
        <f t="shared" si="54"/>
        <v>-2.5815164446476444E-2</v>
      </c>
      <c r="N351" s="11">
        <f t="shared" si="55"/>
        <v>-1.4243264094955545E-2</v>
      </c>
      <c r="O351" s="11">
        <f t="shared" si="56"/>
        <v>-0.10826320230540171</v>
      </c>
      <c r="P351" s="11">
        <f t="shared" si="57"/>
        <v>-5.9838300709460543E-2</v>
      </c>
      <c r="Q351" s="11">
        <f t="shared" si="58"/>
        <v>-2.5778838572565004E-2</v>
      </c>
      <c r="R351" s="11">
        <f t="shared" si="59"/>
        <v>-1.0960670535138616E-2</v>
      </c>
      <c r="S351" s="11">
        <f t="shared" si="60"/>
        <v>-3.4880511143037231E-2</v>
      </c>
      <c r="T351" s="11">
        <f t="shared" si="61"/>
        <v>-5.3295910549226444E-2</v>
      </c>
      <c r="U351" s="11">
        <f t="shared" si="53"/>
        <v>-4.6429324443328368E-2</v>
      </c>
      <c r="V351" s="11" cm="1">
        <f t="array" ref="V351">SUMPRODUCT(L351:T351,TRANSPOSE($Y$5:$Y$13))</f>
        <v>-4.7115983053918169E-2</v>
      </c>
    </row>
    <row r="352" spans="1:22" x14ac:dyDescent="0.2">
      <c r="A352" s="1">
        <v>43923</v>
      </c>
      <c r="B352" s="3">
        <v>36.090000000000003</v>
      </c>
      <c r="C352" s="3">
        <v>12.266666000000001</v>
      </c>
      <c r="D352" s="3">
        <v>16.850000000000001</v>
      </c>
      <c r="E352" s="3">
        <v>26.139999</v>
      </c>
      <c r="F352" s="3">
        <v>18.508430000000001</v>
      </c>
      <c r="G352" s="3">
        <v>18.620000999999998</v>
      </c>
      <c r="H352" s="3">
        <v>15.51</v>
      </c>
      <c r="I352" s="3">
        <v>32.904449</v>
      </c>
      <c r="J352" s="3">
        <v>42.779998999999997</v>
      </c>
      <c r="L352" s="11">
        <f t="shared" si="52"/>
        <v>-2.7695292393079788E-4</v>
      </c>
      <c r="M352" s="11">
        <f t="shared" si="54"/>
        <v>6.2049004329004329E-2</v>
      </c>
      <c r="N352" s="11">
        <f t="shared" si="55"/>
        <v>6.9841269841269926E-2</v>
      </c>
      <c r="O352" s="11">
        <f t="shared" si="56"/>
        <v>0.10295349776567517</v>
      </c>
      <c r="P352" s="11">
        <f t="shared" si="57"/>
        <v>3.3426159736791826E-2</v>
      </c>
      <c r="Q352" s="11">
        <f t="shared" si="58"/>
        <v>4.8569884049115735E-3</v>
      </c>
      <c r="R352" s="11">
        <f t="shared" si="59"/>
        <v>8.4615384615384551E-2</v>
      </c>
      <c r="S352" s="11">
        <f t="shared" si="60"/>
        <v>3.5235892067370995E-2</v>
      </c>
      <c r="T352" s="11">
        <f t="shared" si="61"/>
        <v>-1.3603873959047207E-2</v>
      </c>
      <c r="U352" s="11">
        <f t="shared" si="53"/>
        <v>4.2121929986381146E-2</v>
      </c>
      <c r="V352" s="11" cm="1">
        <f t="array" ref="V352">SUMPRODUCT(L352:T352,TRANSPOSE($Y$5:$Y$13))</f>
        <v>3.6549349591838323E-2</v>
      </c>
    </row>
    <row r="353" spans="1:22" x14ac:dyDescent="0.2">
      <c r="A353" s="1">
        <v>43922</v>
      </c>
      <c r="B353" s="3">
        <v>36.099997999999999</v>
      </c>
      <c r="C353" s="3">
        <v>11.55</v>
      </c>
      <c r="D353" s="3">
        <v>15.75</v>
      </c>
      <c r="E353" s="3">
        <v>23.700001</v>
      </c>
      <c r="F353" s="3">
        <v>17.909775</v>
      </c>
      <c r="G353" s="3">
        <v>18.530000999999999</v>
      </c>
      <c r="H353" s="3">
        <v>14.3</v>
      </c>
      <c r="I353" s="3">
        <v>31.784493999999999</v>
      </c>
      <c r="J353" s="3">
        <v>43.369999</v>
      </c>
      <c r="L353" s="11">
        <f t="shared" si="52"/>
        <v>-2.0884215375216057E-2</v>
      </c>
      <c r="M353" s="11">
        <f t="shared" si="54"/>
        <v>-3.4818887733642716E-2</v>
      </c>
      <c r="N353" s="11">
        <f t="shared" si="55"/>
        <v>-2.8976512267355956E-2</v>
      </c>
      <c r="O353" s="11">
        <f t="shared" si="56"/>
        <v>-9.8859243302632807E-2</v>
      </c>
      <c r="P353" s="11">
        <f t="shared" si="57"/>
        <v>-2.7776693557857667E-3</v>
      </c>
      <c r="Q353" s="11">
        <f t="shared" si="58"/>
        <v>-2.8825943396226402E-2</v>
      </c>
      <c r="R353" s="11">
        <f t="shared" si="59"/>
        <v>2.2158684774839205E-2</v>
      </c>
      <c r="S353" s="11">
        <f t="shared" si="60"/>
        <v>1.5976350596405293E-2</v>
      </c>
      <c r="T353" s="11">
        <f t="shared" si="61"/>
        <v>3.4705691006345998E-3</v>
      </c>
      <c r="U353" s="11">
        <f t="shared" si="53"/>
        <v>-1.9281874106553402E-2</v>
      </c>
      <c r="V353" s="11" cm="1">
        <f t="array" ref="V353">SUMPRODUCT(L353:T353,TRANSPOSE($Y$5:$Y$13))</f>
        <v>-1.7006629785834605E-2</v>
      </c>
    </row>
    <row r="354" spans="1:22" x14ac:dyDescent="0.2">
      <c r="A354" s="1">
        <v>43921</v>
      </c>
      <c r="B354" s="3">
        <v>36.869999</v>
      </c>
      <c r="C354" s="3">
        <v>11.966666</v>
      </c>
      <c r="D354" s="3">
        <v>16.219999000000001</v>
      </c>
      <c r="E354" s="3">
        <v>26.299999</v>
      </c>
      <c r="F354" s="3">
        <v>17.959661000000001</v>
      </c>
      <c r="G354" s="3">
        <v>19.079999999999998</v>
      </c>
      <c r="H354" s="3">
        <v>13.99</v>
      </c>
      <c r="I354" s="3">
        <v>31.284679000000001</v>
      </c>
      <c r="J354" s="3">
        <v>43.220001000000003</v>
      </c>
      <c r="L354" s="11">
        <f t="shared" si="52"/>
        <v>-1.5487369412887341E-2</v>
      </c>
      <c r="M354" s="11">
        <f t="shared" si="54"/>
        <v>-2.9729757560263689E-2</v>
      </c>
      <c r="N354" s="11">
        <f t="shared" si="55"/>
        <v>3.1150603941513092E-2</v>
      </c>
      <c r="O354" s="11">
        <f t="shared" si="56"/>
        <v>-8.362376015248224E-2</v>
      </c>
      <c r="P354" s="11">
        <f t="shared" si="57"/>
        <v>-5.4621933227255254E-2</v>
      </c>
      <c r="Q354" s="11">
        <f t="shared" si="58"/>
        <v>-8.9260186670158254E-2</v>
      </c>
      <c r="R354" s="11">
        <f t="shared" si="59"/>
        <v>4.5590433482810118E-2</v>
      </c>
      <c r="S354" s="11">
        <f t="shared" si="60"/>
        <v>-5.4545473777004916E-2</v>
      </c>
      <c r="T354" s="11">
        <f t="shared" si="61"/>
        <v>3.4713933445056265E-2</v>
      </c>
      <c r="U354" s="11">
        <f t="shared" si="53"/>
        <v>-2.3979278881185805E-2</v>
      </c>
      <c r="V354" s="11" cm="1">
        <f t="array" ref="V354">SUMPRODUCT(L354:T354,TRANSPOSE($Y$5:$Y$13))</f>
        <v>-1.8109957648561593E-2</v>
      </c>
    </row>
    <row r="355" spans="1:22" x14ac:dyDescent="0.2">
      <c r="A355" s="1">
        <v>43920</v>
      </c>
      <c r="B355" s="3">
        <v>37.450001</v>
      </c>
      <c r="C355" s="3">
        <v>12.333333</v>
      </c>
      <c r="D355" s="3">
        <v>15.73</v>
      </c>
      <c r="E355" s="3">
        <v>28.700001</v>
      </c>
      <c r="F355" s="3">
        <v>18.997332</v>
      </c>
      <c r="G355" s="3">
        <v>20.950001</v>
      </c>
      <c r="H355" s="3">
        <v>13.38</v>
      </c>
      <c r="I355" s="3">
        <v>33.089565</v>
      </c>
      <c r="J355" s="3">
        <v>41.77</v>
      </c>
      <c r="L355" s="11">
        <f t="shared" si="52"/>
        <v>-5.5008830305101425E-2</v>
      </c>
      <c r="M355" s="11">
        <f t="shared" si="54"/>
        <v>2.4383636531661265E-3</v>
      </c>
      <c r="N355" s="11">
        <f t="shared" si="55"/>
        <v>5.0066755674232306E-2</v>
      </c>
      <c r="O355" s="11">
        <f t="shared" si="56"/>
        <v>-8.3652586206896556E-2</v>
      </c>
      <c r="P355" s="11">
        <f t="shared" si="57"/>
        <v>2.1053497786091705E-3</v>
      </c>
      <c r="Q355" s="11">
        <f t="shared" si="58"/>
        <v>-1.6893384180825203E-2</v>
      </c>
      <c r="R355" s="11">
        <f t="shared" si="59"/>
        <v>6.0150375939849671E-3</v>
      </c>
      <c r="S355" s="11">
        <f t="shared" si="60"/>
        <v>-6.9444575743177585E-3</v>
      </c>
      <c r="T355" s="11">
        <f t="shared" si="61"/>
        <v>4.164593723919896E-2</v>
      </c>
      <c r="U355" s="11">
        <f t="shared" si="53"/>
        <v>-6.6919793697721563E-3</v>
      </c>
      <c r="V355" s="11" cm="1">
        <f t="array" ref="V355">SUMPRODUCT(L355:T355,TRANSPOSE($Y$5:$Y$13))</f>
        <v>-1.8581877088750427E-3</v>
      </c>
    </row>
    <row r="356" spans="1:22" x14ac:dyDescent="0.2">
      <c r="A356" s="1">
        <v>43917</v>
      </c>
      <c r="B356" s="3">
        <v>39.630001</v>
      </c>
      <c r="C356" s="3">
        <v>12.303333</v>
      </c>
      <c r="D356" s="3">
        <v>14.98</v>
      </c>
      <c r="E356" s="3">
        <v>31.32</v>
      </c>
      <c r="F356" s="3">
        <v>18.957419999999999</v>
      </c>
      <c r="G356" s="3">
        <v>21.309999000000001</v>
      </c>
      <c r="H356" s="3">
        <v>13.3</v>
      </c>
      <c r="I356" s="3">
        <v>33.320960999999997</v>
      </c>
      <c r="J356" s="3">
        <v>40.099997999999999</v>
      </c>
      <c r="L356" s="11">
        <f t="shared" si="52"/>
        <v>-5.9786497756275328E-2</v>
      </c>
      <c r="M356" s="11">
        <f t="shared" si="54"/>
        <v>-4.4772282608695688E-2</v>
      </c>
      <c r="N356" s="11">
        <f t="shared" si="55"/>
        <v>6.0155697098372228E-2</v>
      </c>
      <c r="O356" s="11">
        <f t="shared" si="56"/>
        <v>-9.7146125602367406E-2</v>
      </c>
      <c r="P356" s="11">
        <f t="shared" si="57"/>
        <v>-8.8729014481085972E-2</v>
      </c>
      <c r="Q356" s="11">
        <f t="shared" si="58"/>
        <v>-0.10499790445182294</v>
      </c>
      <c r="R356" s="11">
        <f t="shared" si="59"/>
        <v>-7.5747046560111178E-2</v>
      </c>
      <c r="S356" s="11">
        <f t="shared" si="60"/>
        <v>-6.469210675675921E-2</v>
      </c>
      <c r="T356" s="11">
        <f t="shared" si="61"/>
        <v>-4.5238142857142873E-2</v>
      </c>
      <c r="U356" s="11">
        <f t="shared" si="53"/>
        <v>-5.7883713775098711E-2</v>
      </c>
      <c r="V356" s="11" cm="1">
        <f t="array" ref="V356">SUMPRODUCT(L356:T356,TRANSPOSE($Y$5:$Y$13))</f>
        <v>-5.6619156683303126E-2</v>
      </c>
    </row>
    <row r="357" spans="1:22" x14ac:dyDescent="0.2">
      <c r="A357" s="1">
        <v>43916</v>
      </c>
      <c r="B357" s="3">
        <v>42.150002000000001</v>
      </c>
      <c r="C357" s="3">
        <v>12.88</v>
      </c>
      <c r="D357" s="3">
        <v>14.13</v>
      </c>
      <c r="E357" s="3">
        <v>34.689999</v>
      </c>
      <c r="F357" s="3">
        <v>20.803273999999998</v>
      </c>
      <c r="G357" s="3">
        <v>23.809999000000001</v>
      </c>
      <c r="H357" s="3">
        <v>14.39</v>
      </c>
      <c r="I357" s="3">
        <v>35.625660000000003</v>
      </c>
      <c r="J357" s="3">
        <v>42</v>
      </c>
      <c r="L357" s="11">
        <f t="shared" si="52"/>
        <v>2.6796663259358446E-2</v>
      </c>
      <c r="M357" s="11">
        <f t="shared" si="54"/>
        <v>-3.8669760247485641E-3</v>
      </c>
      <c r="N357" s="11">
        <f t="shared" si="55"/>
        <v>1.8011527377521614E-2</v>
      </c>
      <c r="O357" s="11">
        <f t="shared" si="56"/>
        <v>6.3823032671219467E-3</v>
      </c>
      <c r="P357" s="11">
        <f t="shared" si="57"/>
        <v>4.0938522589289338E-2</v>
      </c>
      <c r="Q357" s="11">
        <f t="shared" si="58"/>
        <v>3.1182286704201014E-2</v>
      </c>
      <c r="R357" s="11">
        <f t="shared" si="59"/>
        <v>4.888268156424601E-3</v>
      </c>
      <c r="S357" s="11">
        <f t="shared" si="60"/>
        <v>7.035598193675191E-2</v>
      </c>
      <c r="T357" s="11">
        <f t="shared" si="61"/>
        <v>2.8151825123712386E-2</v>
      </c>
      <c r="U357" s="11">
        <f t="shared" si="53"/>
        <v>2.4760044709959187E-2</v>
      </c>
      <c r="V357" s="11" cm="1">
        <f t="array" ref="V357">SUMPRODUCT(L357:T357,TRANSPOSE($Y$5:$Y$13))</f>
        <v>2.5099222751334506E-2</v>
      </c>
    </row>
    <row r="358" spans="1:22" x14ac:dyDescent="0.2">
      <c r="A358" s="1">
        <v>43915</v>
      </c>
      <c r="B358" s="3">
        <v>41.049999</v>
      </c>
      <c r="C358" s="3">
        <v>12.93</v>
      </c>
      <c r="D358" s="3">
        <v>13.88</v>
      </c>
      <c r="E358" s="3">
        <v>34.470001000000003</v>
      </c>
      <c r="F358" s="3">
        <v>19.985112999999998</v>
      </c>
      <c r="G358" s="3">
        <v>23.09</v>
      </c>
      <c r="H358" s="3">
        <v>14.32</v>
      </c>
      <c r="I358" s="3">
        <v>33.283935999999997</v>
      </c>
      <c r="J358" s="3">
        <v>40.849997999999999</v>
      </c>
      <c r="L358" s="11">
        <f t="shared" si="52"/>
        <v>0.16619312027860453</v>
      </c>
      <c r="M358" s="11">
        <f t="shared" si="54"/>
        <v>6.8300773018473551E-2</v>
      </c>
      <c r="N358" s="11">
        <f t="shared" si="55"/>
        <v>3.0438010393466972E-2</v>
      </c>
      <c r="O358" s="11">
        <f t="shared" si="56"/>
        <v>0.26821195732156011</v>
      </c>
      <c r="P358" s="11">
        <f t="shared" si="57"/>
        <v>3.8361863400359436E-2</v>
      </c>
      <c r="Q358" s="11">
        <f t="shared" si="58"/>
        <v>0.12414794916514364</v>
      </c>
      <c r="R358" s="11">
        <f t="shared" si="59"/>
        <v>8.0754716981132096E-2</v>
      </c>
      <c r="S358" s="11">
        <f t="shared" si="60"/>
        <v>0.1027291738126033</v>
      </c>
      <c r="T358" s="11">
        <f t="shared" si="61"/>
        <v>8.5281591001104856E-2</v>
      </c>
      <c r="U358" s="11">
        <f t="shared" si="53"/>
        <v>0.10715768393027206</v>
      </c>
      <c r="V358" s="11" cm="1">
        <f t="array" ref="V358">SUMPRODUCT(L358:T358,TRANSPOSE($Y$5:$Y$13))</f>
        <v>0.10497007463735533</v>
      </c>
    </row>
    <row r="359" spans="1:22" x14ac:dyDescent="0.2">
      <c r="A359" s="1">
        <v>43914</v>
      </c>
      <c r="B359" s="3">
        <v>35.200001</v>
      </c>
      <c r="C359" s="3">
        <v>12.103332999999999</v>
      </c>
      <c r="D359" s="3">
        <v>13.47</v>
      </c>
      <c r="E359" s="3">
        <v>27.18</v>
      </c>
      <c r="F359" s="3">
        <v>19.246770999999999</v>
      </c>
      <c r="G359" s="3">
        <v>20.540001</v>
      </c>
      <c r="H359" s="3">
        <v>13.25</v>
      </c>
      <c r="I359" s="3">
        <v>30.183236999999998</v>
      </c>
      <c r="J359" s="3">
        <v>37.639999000000003</v>
      </c>
      <c r="L359" s="11">
        <f t="shared" si="52"/>
        <v>4.9493141040753218E-2</v>
      </c>
      <c r="M359" s="11">
        <f t="shared" si="54"/>
        <v>0.19244660098522157</v>
      </c>
      <c r="N359" s="11">
        <f t="shared" si="55"/>
        <v>-2.9607698001479755E-3</v>
      </c>
      <c r="O359" s="11">
        <f t="shared" si="56"/>
        <v>0.12780082987551861</v>
      </c>
      <c r="P359" s="11">
        <f t="shared" si="57"/>
        <v>0.10291587677955957</v>
      </c>
      <c r="Q359" s="11">
        <f t="shared" si="58"/>
        <v>0.17304403198172463</v>
      </c>
      <c r="R359" s="11">
        <f t="shared" si="59"/>
        <v>0.15217391304347827</v>
      </c>
      <c r="S359" s="11">
        <f t="shared" si="60"/>
        <v>0.1198488996846542</v>
      </c>
      <c r="T359" s="11">
        <f t="shared" si="61"/>
        <v>0.10381235212975684</v>
      </c>
      <c r="U359" s="11">
        <f t="shared" si="53"/>
        <v>0.11317498619116877</v>
      </c>
      <c r="V359" s="11" cm="1">
        <f t="array" ref="V359">SUMPRODUCT(L359:T359,TRANSPOSE($Y$5:$Y$13))</f>
        <v>0.11223872278502758</v>
      </c>
    </row>
    <row r="360" spans="1:22" x14ac:dyDescent="0.2">
      <c r="A360" s="1">
        <v>43913</v>
      </c>
      <c r="B360" s="3">
        <v>33.540000999999997</v>
      </c>
      <c r="C360" s="3">
        <v>10.15</v>
      </c>
      <c r="D360" s="3">
        <v>13.51</v>
      </c>
      <c r="E360" s="3">
        <v>24.1</v>
      </c>
      <c r="F360" s="3">
        <v>17.450806</v>
      </c>
      <c r="G360" s="3">
        <v>17.510000000000002</v>
      </c>
      <c r="H360" s="3">
        <v>11.5</v>
      </c>
      <c r="I360" s="3">
        <v>26.952954999999999</v>
      </c>
      <c r="J360" s="3">
        <v>34.099997999999999</v>
      </c>
      <c r="L360" s="11">
        <f t="shared" si="52"/>
        <v>-4.8240661280325704E-2</v>
      </c>
      <c r="M360" s="11">
        <f t="shared" si="54"/>
        <v>-6.1343990793587856E-2</v>
      </c>
      <c r="N360" s="11">
        <f t="shared" si="55"/>
        <v>3.5249042145593795E-2</v>
      </c>
      <c r="O360" s="11">
        <f t="shared" si="56"/>
        <v>-0.12522682850188119</v>
      </c>
      <c r="P360" s="11">
        <f t="shared" si="57"/>
        <v>-6.8142485806921629E-3</v>
      </c>
      <c r="Q360" s="11">
        <f t="shared" si="58"/>
        <v>-7.987393169343486E-2</v>
      </c>
      <c r="R360" s="11">
        <f t="shared" si="59"/>
        <v>-4.1666666666666664E-2</v>
      </c>
      <c r="S360" s="11">
        <f t="shared" si="60"/>
        <v>-3.7673470241734924E-2</v>
      </c>
      <c r="T360" s="11">
        <f t="shared" si="61"/>
        <v>-3.097473802144754E-2</v>
      </c>
      <c r="U360" s="11">
        <f t="shared" si="53"/>
        <v>-4.4062832626019684E-2</v>
      </c>
      <c r="V360" s="11" cm="1">
        <f t="array" ref="V360">SUMPRODUCT(L360:T360,TRANSPOSE($Y$5:$Y$13))</f>
        <v>-4.2754023165562469E-2</v>
      </c>
    </row>
    <row r="361" spans="1:22" x14ac:dyDescent="0.2">
      <c r="A361" s="1">
        <v>43910</v>
      </c>
      <c r="B361" s="3">
        <v>35.240001999999997</v>
      </c>
      <c r="C361" s="3">
        <v>10.813333</v>
      </c>
      <c r="D361" s="3">
        <v>13.05</v>
      </c>
      <c r="E361" s="3">
        <v>27.549999</v>
      </c>
      <c r="F361" s="3">
        <v>17.570536000000001</v>
      </c>
      <c r="G361" s="3">
        <v>19.030000999999999</v>
      </c>
      <c r="H361" s="3">
        <v>12</v>
      </c>
      <c r="I361" s="3">
        <v>28.008118</v>
      </c>
      <c r="J361" s="3">
        <v>35.189999</v>
      </c>
      <c r="L361" s="11">
        <f t="shared" si="52"/>
        <v>-6.0266613333333413E-2</v>
      </c>
      <c r="M361" s="11">
        <f t="shared" si="54"/>
        <v>-2.153153008499031E-3</v>
      </c>
      <c r="N361" s="11">
        <f t="shared" si="55"/>
        <v>-7.3153409090909047E-2</v>
      </c>
      <c r="O361" s="11">
        <f t="shared" si="56"/>
        <v>5.6364992331288402E-2</v>
      </c>
      <c r="P361" s="11">
        <f t="shared" si="57"/>
        <v>7.7723316688321706E-2</v>
      </c>
      <c r="Q361" s="11">
        <f t="shared" si="58"/>
        <v>-4.7547497497497586E-2</v>
      </c>
      <c r="R361" s="11">
        <f t="shared" si="59"/>
        <v>-1.7199017199017268E-2</v>
      </c>
      <c r="S361" s="11">
        <f t="shared" si="60"/>
        <v>5.4355350512763183E-2</v>
      </c>
      <c r="T361" s="11">
        <f t="shared" si="61"/>
        <v>-3.3241838832866008E-2</v>
      </c>
      <c r="U361" s="11">
        <f t="shared" si="53"/>
        <v>-5.0130966033054523E-3</v>
      </c>
      <c r="V361" s="11" cm="1">
        <f t="array" ref="V361">SUMPRODUCT(L361:T361,TRANSPOSE($Y$5:$Y$13))</f>
        <v>-7.8359708262615083E-3</v>
      </c>
    </row>
    <row r="362" spans="1:22" x14ac:dyDescent="0.2">
      <c r="A362" s="1">
        <v>43909</v>
      </c>
      <c r="B362" s="3">
        <v>37.5</v>
      </c>
      <c r="C362" s="3">
        <v>10.836665999999999</v>
      </c>
      <c r="D362" s="3">
        <v>14.08</v>
      </c>
      <c r="E362" s="3">
        <v>26.08</v>
      </c>
      <c r="F362" s="3">
        <v>16.303383</v>
      </c>
      <c r="G362" s="3">
        <v>19.98</v>
      </c>
      <c r="H362" s="3">
        <v>12.21</v>
      </c>
      <c r="I362" s="3">
        <v>26.564211</v>
      </c>
      <c r="J362" s="3">
        <v>36.400002000000001</v>
      </c>
      <c r="L362" s="11">
        <f t="shared" si="52"/>
        <v>7.1428571428571425E-2</v>
      </c>
      <c r="M362" s="11">
        <f t="shared" si="54"/>
        <v>-8.8414941719967798E-3</v>
      </c>
      <c r="N362" s="11">
        <f t="shared" si="55"/>
        <v>9.9141295862607295E-2</v>
      </c>
      <c r="O362" s="11">
        <f t="shared" si="56"/>
        <v>9.2584788748018898E-2</v>
      </c>
      <c r="P362" s="11">
        <f t="shared" si="57"/>
        <v>1.0513419002957856E-2</v>
      </c>
      <c r="Q362" s="11">
        <f t="shared" si="58"/>
        <v>0.16162783944024189</v>
      </c>
      <c r="R362" s="11">
        <f t="shared" si="59"/>
        <v>8.1488042515500597E-2</v>
      </c>
      <c r="S362" s="11">
        <f t="shared" si="60"/>
        <v>8.3018912848288162E-2</v>
      </c>
      <c r="T362" s="11">
        <f t="shared" si="61"/>
        <v>-5.8214744723687206E-2</v>
      </c>
      <c r="U362" s="11">
        <f t="shared" si="53"/>
        <v>5.9194070105611361E-2</v>
      </c>
      <c r="V362" s="11" cm="1">
        <f t="array" ref="V362">SUMPRODUCT(L362:T362,TRANSPOSE($Y$5:$Y$13))</f>
        <v>4.7453188622681504E-2</v>
      </c>
    </row>
    <row r="363" spans="1:22" x14ac:dyDescent="0.2">
      <c r="A363" s="1">
        <v>43908</v>
      </c>
      <c r="B363" s="3">
        <v>35</v>
      </c>
      <c r="C363" s="3">
        <v>10.933332999999999</v>
      </c>
      <c r="D363" s="3">
        <v>12.81</v>
      </c>
      <c r="E363" s="3">
        <v>23.870000999999998</v>
      </c>
      <c r="F363" s="3">
        <v>16.133762000000001</v>
      </c>
      <c r="G363" s="3">
        <v>17.200001</v>
      </c>
      <c r="H363" s="3">
        <v>11.29</v>
      </c>
      <c r="I363" s="3">
        <v>24.527929</v>
      </c>
      <c r="J363" s="3">
        <v>38.650002000000001</v>
      </c>
      <c r="L363" s="11">
        <f t="shared" si="52"/>
        <v>-0.16666666666666666</v>
      </c>
      <c r="M363" s="11">
        <f t="shared" si="54"/>
        <v>-7.7096205801699944E-2</v>
      </c>
      <c r="N363" s="11">
        <f t="shared" si="55"/>
        <v>-0.10294117647058816</v>
      </c>
      <c r="O363" s="11">
        <f t="shared" si="56"/>
        <v>-0.1382671430228469</v>
      </c>
      <c r="P363" s="11">
        <f t="shared" si="57"/>
        <v>-0.12119577529362399</v>
      </c>
      <c r="Q363" s="11">
        <f t="shared" si="58"/>
        <v>-0.11794866666666665</v>
      </c>
      <c r="R363" s="11">
        <f t="shared" si="59"/>
        <v>-0.1315384615384616</v>
      </c>
      <c r="S363" s="11">
        <f t="shared" si="60"/>
        <v>-0.13342052148676747</v>
      </c>
      <c r="T363" s="11">
        <f t="shared" si="61"/>
        <v>-6.8898967424667237E-2</v>
      </c>
      <c r="U363" s="11">
        <f t="shared" si="53"/>
        <v>-0.11755262048577649</v>
      </c>
      <c r="V363" s="11" cm="1">
        <f t="array" ref="V363">SUMPRODUCT(L363:T363,TRANSPOSE($Y$5:$Y$13))</f>
        <v>-0.1126872551796656</v>
      </c>
    </row>
    <row r="364" spans="1:22" x14ac:dyDescent="0.2">
      <c r="A364" s="1">
        <v>43907</v>
      </c>
      <c r="B364" s="3">
        <v>42</v>
      </c>
      <c r="C364" s="3">
        <v>11.846666000000001</v>
      </c>
      <c r="D364" s="3">
        <v>14.28</v>
      </c>
      <c r="E364" s="3">
        <v>27.700001</v>
      </c>
      <c r="F364" s="3">
        <v>18.358767</v>
      </c>
      <c r="G364" s="3">
        <v>19.5</v>
      </c>
      <c r="H364" s="3">
        <v>13</v>
      </c>
      <c r="I364" s="3">
        <v>28.304303999999998</v>
      </c>
      <c r="J364" s="3">
        <v>41.509998000000003</v>
      </c>
      <c r="L364" s="11">
        <f t="shared" si="52"/>
        <v>0</v>
      </c>
      <c r="M364" s="11">
        <f t="shared" si="54"/>
        <v>3.6453718285214445E-2</v>
      </c>
      <c r="N364" s="11">
        <f t="shared" si="55"/>
        <v>4.2335766423357672E-2</v>
      </c>
      <c r="O364" s="11">
        <f t="shared" si="56"/>
        <v>7.2727636363636482E-3</v>
      </c>
      <c r="P364" s="11">
        <f t="shared" si="57"/>
        <v>5.2029745789392207E-2</v>
      </c>
      <c r="Q364" s="11">
        <f t="shared" si="58"/>
        <v>5.3484602917341889E-2</v>
      </c>
      <c r="R364" s="11">
        <f t="shared" si="59"/>
        <v>-6.8754774637127467E-3</v>
      </c>
      <c r="S364" s="11">
        <f t="shared" si="60"/>
        <v>-3.6850420366175404E-2</v>
      </c>
      <c r="T364" s="11">
        <f t="shared" si="61"/>
        <v>6.3268364158085108E-2</v>
      </c>
      <c r="U364" s="11">
        <f t="shared" si="53"/>
        <v>2.345767370887409E-2</v>
      </c>
      <c r="V364" s="11" cm="1">
        <f t="array" ref="V364">SUMPRODUCT(L364:T364,TRANSPOSE($Y$5:$Y$13))</f>
        <v>2.7438742753795195E-2</v>
      </c>
    </row>
    <row r="365" spans="1:22" x14ac:dyDescent="0.2">
      <c r="A365" s="1">
        <v>43906</v>
      </c>
      <c r="B365" s="3">
        <v>42</v>
      </c>
      <c r="C365" s="3">
        <v>11.43</v>
      </c>
      <c r="D365" s="3">
        <v>13.7</v>
      </c>
      <c r="E365" s="3">
        <v>27.5</v>
      </c>
      <c r="F365" s="3">
        <v>17.450806</v>
      </c>
      <c r="G365" s="3">
        <v>18.510000000000002</v>
      </c>
      <c r="H365" s="3">
        <v>13.09</v>
      </c>
      <c r="I365" s="3">
        <v>29.387236000000001</v>
      </c>
      <c r="J365" s="3">
        <v>39.040000999999997</v>
      </c>
      <c r="L365" s="11">
        <f t="shared" si="52"/>
        <v>-0.14057702354362642</v>
      </c>
      <c r="M365" s="11">
        <f t="shared" si="54"/>
        <v>-0.16120348146788072</v>
      </c>
      <c r="N365" s="11">
        <f t="shared" si="55"/>
        <v>-0.15222772277227728</v>
      </c>
      <c r="O365" s="11">
        <f t="shared" si="56"/>
        <v>-0.2361111111111111</v>
      </c>
      <c r="P365" s="11">
        <f t="shared" si="57"/>
        <v>-0.18537490116416455</v>
      </c>
      <c r="Q365" s="11">
        <f t="shared" si="58"/>
        <v>-0.22389937106918237</v>
      </c>
      <c r="R365" s="11">
        <f t="shared" si="59"/>
        <v>-0.15000000000000002</v>
      </c>
      <c r="S365" s="11">
        <f t="shared" si="60"/>
        <v>-0.17532462685331582</v>
      </c>
      <c r="T365" s="11">
        <f t="shared" si="61"/>
        <v>-8.9976709091995011E-2</v>
      </c>
      <c r="U365" s="11">
        <f t="shared" si="53"/>
        <v>-0.16829943856372809</v>
      </c>
      <c r="V365" s="11" cm="1">
        <f t="array" ref="V365">SUMPRODUCT(L365:T365,TRANSPOSE($Y$5:$Y$13))</f>
        <v>-0.16046716561655483</v>
      </c>
    </row>
    <row r="366" spans="1:22" x14ac:dyDescent="0.2">
      <c r="A366" s="1">
        <v>43903</v>
      </c>
      <c r="B366" s="3">
        <v>48.869999</v>
      </c>
      <c r="C366" s="3">
        <v>13.626666</v>
      </c>
      <c r="D366" s="3">
        <v>16.16</v>
      </c>
      <c r="E366" s="3">
        <v>36</v>
      </c>
      <c r="F366" s="3">
        <v>21.421886000000001</v>
      </c>
      <c r="G366" s="3">
        <v>23.85</v>
      </c>
      <c r="H366" s="3">
        <v>15.4</v>
      </c>
      <c r="I366" s="3">
        <v>35.634914000000002</v>
      </c>
      <c r="J366" s="3">
        <v>42.900002000000001</v>
      </c>
      <c r="L366" s="11">
        <f t="shared" si="52"/>
        <v>8.2631813970576215E-2</v>
      </c>
      <c r="M366" s="11">
        <f t="shared" si="54"/>
        <v>0.10815939865326098</v>
      </c>
      <c r="N366" s="11">
        <f t="shared" si="55"/>
        <v>2.278481012658224E-2</v>
      </c>
      <c r="O366" s="11">
        <f t="shared" si="56"/>
        <v>9.0909090909090912E-2</v>
      </c>
      <c r="P366" s="11">
        <f t="shared" si="57"/>
        <v>0.21025929302108542</v>
      </c>
      <c r="Q366" s="11">
        <f t="shared" si="58"/>
        <v>6.283417723555372E-2</v>
      </c>
      <c r="R366" s="11">
        <f t="shared" si="59"/>
        <v>0.22222222222222229</v>
      </c>
      <c r="S366" s="11">
        <f t="shared" si="60"/>
        <v>9.9999944436518107E-2</v>
      </c>
      <c r="T366" s="11">
        <f t="shared" si="61"/>
        <v>0.21357862594504254</v>
      </c>
      <c r="U366" s="11">
        <f t="shared" si="53"/>
        <v>0.12370881961332583</v>
      </c>
      <c r="V366" s="11" cm="1">
        <f t="array" ref="V366">SUMPRODUCT(L366:T366,TRANSPOSE($Y$5:$Y$13))</f>
        <v>0.13269580024649752</v>
      </c>
    </row>
    <row r="367" spans="1:22" x14ac:dyDescent="0.2">
      <c r="A367" s="1">
        <v>43902</v>
      </c>
      <c r="B367" s="3">
        <v>45.139999000000003</v>
      </c>
      <c r="C367" s="3">
        <v>12.296666</v>
      </c>
      <c r="D367" s="3">
        <v>15.8</v>
      </c>
      <c r="E367" s="3">
        <v>33</v>
      </c>
      <c r="F367" s="3">
        <v>17.700244999999999</v>
      </c>
      <c r="G367" s="3">
        <v>22.440000999999999</v>
      </c>
      <c r="H367" s="3">
        <v>12.6</v>
      </c>
      <c r="I367" s="3">
        <v>32.395378000000001</v>
      </c>
      <c r="J367" s="3">
        <v>35.349997999999999</v>
      </c>
      <c r="L367" s="11">
        <f t="shared" si="52"/>
        <v>-0.14491384457446768</v>
      </c>
      <c r="M367" s="11">
        <f t="shared" si="54"/>
        <v>-0.13302000312620449</v>
      </c>
      <c r="N367" s="11">
        <f t="shared" si="55"/>
        <v>-0.13186817956768243</v>
      </c>
      <c r="O367" s="11">
        <f t="shared" si="56"/>
        <v>-0.15297739099017951</v>
      </c>
      <c r="P367" s="11">
        <f t="shared" si="57"/>
        <v>-0.18060043287770727</v>
      </c>
      <c r="Q367" s="11">
        <f t="shared" si="58"/>
        <v>-0.13592599676264919</v>
      </c>
      <c r="R367" s="11">
        <f t="shared" si="59"/>
        <v>-0.20504731861198738</v>
      </c>
      <c r="S367" s="11">
        <f t="shared" si="60"/>
        <v>-0.15048541868963236</v>
      </c>
      <c r="T367" s="11">
        <f t="shared" si="61"/>
        <v>-0.13230249718691711</v>
      </c>
      <c r="U367" s="11">
        <f t="shared" si="53"/>
        <v>-0.15190456470971417</v>
      </c>
      <c r="V367" s="11" cm="1">
        <f t="array" ref="V367">SUMPRODUCT(L367:T367,TRANSPOSE($Y$5:$Y$13))</f>
        <v>-0.14994435795743444</v>
      </c>
    </row>
    <row r="368" spans="1:22" x14ac:dyDescent="0.2">
      <c r="A368" s="1">
        <v>43901</v>
      </c>
      <c r="B368" s="3">
        <v>52.790000999999997</v>
      </c>
      <c r="C368" s="3">
        <v>14.183332999999999</v>
      </c>
      <c r="D368" s="3">
        <v>18.200001</v>
      </c>
      <c r="E368" s="3">
        <v>38.959999000000003</v>
      </c>
      <c r="F368" s="3">
        <v>21.601482000000001</v>
      </c>
      <c r="G368" s="3">
        <v>25.969999000000001</v>
      </c>
      <c r="H368" s="3">
        <v>15.85</v>
      </c>
      <c r="I368" s="3">
        <v>38.133986999999998</v>
      </c>
      <c r="J368" s="3">
        <v>40.740001999999997</v>
      </c>
      <c r="L368" s="11">
        <f t="shared" si="52"/>
        <v>-5.241425331922922E-2</v>
      </c>
      <c r="M368" s="11">
        <f t="shared" si="54"/>
        <v>-7.500000163043484E-2</v>
      </c>
      <c r="N368" s="11">
        <f t="shared" si="55"/>
        <v>-7.6610759848338886E-2</v>
      </c>
      <c r="O368" s="11">
        <f t="shared" si="56"/>
        <v>-7.1275373747905199E-2</v>
      </c>
      <c r="P368" s="11">
        <f t="shared" si="57"/>
        <v>-8.0679441934100704E-2</v>
      </c>
      <c r="Q368" s="11">
        <f t="shared" si="58"/>
        <v>-7.3492755137611207E-2</v>
      </c>
      <c r="R368" s="11">
        <f t="shared" si="59"/>
        <v>-9.7380358620749438E-2</v>
      </c>
      <c r="S368" s="11">
        <f t="shared" si="60"/>
        <v>-9.7283084867917952E-2</v>
      </c>
      <c r="T368" s="11">
        <f t="shared" si="61"/>
        <v>-9.0827915848517904E-2</v>
      </c>
      <c r="U368" s="11">
        <f t="shared" si="53"/>
        <v>-7.9440438328311699E-2</v>
      </c>
      <c r="V368" s="11" cm="1">
        <f t="array" ref="V368">SUMPRODUCT(L368:T368,TRANSPOSE($Y$5:$Y$13))</f>
        <v>-8.0579186080332335E-2</v>
      </c>
    </row>
    <row r="369" spans="1:22" x14ac:dyDescent="0.2">
      <c r="A369" s="1">
        <v>43900</v>
      </c>
      <c r="B369" s="3">
        <v>55.709999000000003</v>
      </c>
      <c r="C369" s="3">
        <v>15.333333</v>
      </c>
      <c r="D369" s="3">
        <v>19.709999</v>
      </c>
      <c r="E369" s="3">
        <v>41.950001</v>
      </c>
      <c r="F369" s="3">
        <v>23.497225</v>
      </c>
      <c r="G369" s="3">
        <v>28.030000999999999</v>
      </c>
      <c r="H369" s="3">
        <v>17.559999000000001</v>
      </c>
      <c r="I369" s="3">
        <v>42.243572</v>
      </c>
      <c r="J369" s="3">
        <v>44.810001</v>
      </c>
      <c r="L369" s="11">
        <f t="shared" si="52"/>
        <v>8.0279212720574034E-2</v>
      </c>
      <c r="M369" s="11">
        <f t="shared" si="54"/>
        <v>0.12469437957687964</v>
      </c>
      <c r="N369" s="11">
        <f t="shared" si="55"/>
        <v>6.1255232261357819E-3</v>
      </c>
      <c r="O369" s="11">
        <f t="shared" si="56"/>
        <v>5.4020152111059115E-2</v>
      </c>
      <c r="P369" s="11">
        <f t="shared" si="57"/>
        <v>7.4851626655278392E-2</v>
      </c>
      <c r="Q369" s="11">
        <f t="shared" si="58"/>
        <v>4.2395018311454723E-2</v>
      </c>
      <c r="R369" s="11">
        <f t="shared" si="59"/>
        <v>9.4081002746480027E-2</v>
      </c>
      <c r="S369" s="11">
        <f t="shared" si="60"/>
        <v>8.6407986439770879E-2</v>
      </c>
      <c r="T369" s="11">
        <f t="shared" si="61"/>
        <v>0.18450961223845558</v>
      </c>
      <c r="U369" s="11">
        <f t="shared" si="53"/>
        <v>8.304050155845423E-2</v>
      </c>
      <c r="V369" s="11" cm="1">
        <f t="array" ref="V369">SUMPRODUCT(L369:T369,TRANSPOSE($Y$5:$Y$13))</f>
        <v>9.3187412626454386E-2</v>
      </c>
    </row>
    <row r="370" spans="1:22" x14ac:dyDescent="0.2">
      <c r="A370" s="1">
        <v>43899</v>
      </c>
      <c r="B370" s="3">
        <v>51.57</v>
      </c>
      <c r="C370" s="3">
        <v>13.633333</v>
      </c>
      <c r="D370" s="3">
        <v>19.59</v>
      </c>
      <c r="E370" s="3">
        <v>39.799999</v>
      </c>
      <c r="F370" s="3">
        <v>21.860900999999998</v>
      </c>
      <c r="G370" s="3">
        <v>26.889999</v>
      </c>
      <c r="H370" s="3">
        <v>16.049999</v>
      </c>
      <c r="I370" s="3">
        <v>38.883709000000003</v>
      </c>
      <c r="J370" s="3">
        <v>37.830002</v>
      </c>
      <c r="L370" s="11">
        <f t="shared" si="52"/>
        <v>-8.7256637168141582E-2</v>
      </c>
      <c r="M370" s="11">
        <f t="shared" si="54"/>
        <v>-0.1200516376947426</v>
      </c>
      <c r="N370" s="11">
        <f t="shared" si="55"/>
        <v>-7.9417336493546167E-2</v>
      </c>
      <c r="O370" s="11">
        <f t="shared" si="56"/>
        <v>-0.11653718349694081</v>
      </c>
      <c r="P370" s="11">
        <f t="shared" si="57"/>
        <v>-8.1341696841555206E-2</v>
      </c>
      <c r="Q370" s="11">
        <f t="shared" si="58"/>
        <v>-8.7236934393650198E-2</v>
      </c>
      <c r="R370" s="11">
        <f t="shared" si="59"/>
        <v>-0.29697770477441959</v>
      </c>
      <c r="S370" s="11">
        <f t="shared" si="60"/>
        <v>-0.12606614872894861</v>
      </c>
      <c r="T370" s="11">
        <f t="shared" si="61"/>
        <v>-0.15198383429760509</v>
      </c>
      <c r="U370" s="11">
        <f t="shared" si="53"/>
        <v>-0.12742990154328332</v>
      </c>
      <c r="V370" s="11" cm="1">
        <f t="array" ref="V370">SUMPRODUCT(L370:T370,TRANSPOSE($Y$5:$Y$13))</f>
        <v>-0.1298852948187155</v>
      </c>
    </row>
    <row r="371" spans="1:22" x14ac:dyDescent="0.2">
      <c r="A371" s="1">
        <v>43896</v>
      </c>
      <c r="B371" s="3">
        <v>56.5</v>
      </c>
      <c r="C371" s="3">
        <v>15.493333</v>
      </c>
      <c r="D371" s="3">
        <v>21.280000999999999</v>
      </c>
      <c r="E371" s="3">
        <v>45.049999</v>
      </c>
      <c r="F371" s="3">
        <v>23.796552999999999</v>
      </c>
      <c r="G371" s="3">
        <v>29.459999</v>
      </c>
      <c r="H371" s="3">
        <v>22.83</v>
      </c>
      <c r="I371" s="3">
        <v>44.492736999999998</v>
      </c>
      <c r="J371" s="3">
        <v>44.610000999999997</v>
      </c>
      <c r="L371" s="11">
        <f t="shared" si="52"/>
        <v>-5.2816726281984562E-3</v>
      </c>
      <c r="M371" s="11">
        <f t="shared" si="54"/>
        <v>-1.337295719322776E-2</v>
      </c>
      <c r="N371" s="11">
        <f t="shared" si="55"/>
        <v>-2.0257735739306559E-2</v>
      </c>
      <c r="O371" s="11">
        <f t="shared" si="56"/>
        <v>-6.6321264248704673E-2</v>
      </c>
      <c r="P371" s="11">
        <f t="shared" si="57"/>
        <v>-8.0570498234516966E-2</v>
      </c>
      <c r="Q371" s="11">
        <f t="shared" si="58"/>
        <v>-2.5148908840136014E-2</v>
      </c>
      <c r="R371" s="11">
        <f t="shared" si="59"/>
        <v>-9.7271684568142239E-2</v>
      </c>
      <c r="S371" s="11">
        <f t="shared" si="60"/>
        <v>-4.3573458369221385E-2</v>
      </c>
      <c r="T371" s="11">
        <f t="shared" si="61"/>
        <v>-4.7812104495714228E-2</v>
      </c>
      <c r="U371" s="11">
        <f t="shared" si="53"/>
        <v>-4.4401142701907585E-2</v>
      </c>
      <c r="V371" s="11" cm="1">
        <f t="array" ref="V371">SUMPRODUCT(L371:T371,TRANSPOSE($Y$5:$Y$13))</f>
        <v>-4.4742238881288254E-2</v>
      </c>
    </row>
    <row r="372" spans="1:22" x14ac:dyDescent="0.2">
      <c r="A372" s="1">
        <v>43895</v>
      </c>
      <c r="B372" s="3">
        <v>56.799999</v>
      </c>
      <c r="C372" s="3">
        <v>15.703333000000001</v>
      </c>
      <c r="D372" s="3">
        <v>21.719999000000001</v>
      </c>
      <c r="E372" s="3">
        <v>48.25</v>
      </c>
      <c r="F372" s="3">
        <v>25.881868000000001</v>
      </c>
      <c r="G372" s="3">
        <v>30.219999000000001</v>
      </c>
      <c r="H372" s="3">
        <v>25.290001</v>
      </c>
      <c r="I372" s="3">
        <v>46.519764000000002</v>
      </c>
      <c r="J372" s="3">
        <v>46.849997999999999</v>
      </c>
      <c r="L372" s="11">
        <f t="shared" si="52"/>
        <v>-2.068967241379311E-2</v>
      </c>
      <c r="M372" s="11">
        <f t="shared" si="54"/>
        <v>-5.3826051569634437E-2</v>
      </c>
      <c r="N372" s="11">
        <f t="shared" si="55"/>
        <v>-1.6749705749207717E-2</v>
      </c>
      <c r="O372" s="11">
        <f t="shared" si="56"/>
        <v>-5.019683169678802E-2</v>
      </c>
      <c r="P372" s="11">
        <f t="shared" si="57"/>
        <v>-6.3537912616012729E-2</v>
      </c>
      <c r="Q372" s="11">
        <f t="shared" si="58"/>
        <v>-6.2655176013946767E-2</v>
      </c>
      <c r="R372" s="11">
        <f t="shared" si="59"/>
        <v>-5.9501601320252909E-2</v>
      </c>
      <c r="S372" s="11">
        <f t="shared" si="60"/>
        <v>-4.1388528148474546E-2</v>
      </c>
      <c r="T372" s="11">
        <f t="shared" si="61"/>
        <v>-3.5412847436689335E-2</v>
      </c>
      <c r="U372" s="11">
        <f t="shared" si="53"/>
        <v>-4.4884258551644393E-2</v>
      </c>
      <c r="V372" s="11" cm="1">
        <f t="array" ref="V372">SUMPRODUCT(L372:T372,TRANSPOSE($Y$5:$Y$13))</f>
        <v>-4.3937117440148887E-2</v>
      </c>
    </row>
    <row r="373" spans="1:22" x14ac:dyDescent="0.2">
      <c r="A373" s="1">
        <v>43894</v>
      </c>
      <c r="B373" s="3">
        <v>58</v>
      </c>
      <c r="C373" s="3">
        <v>16.596665999999999</v>
      </c>
      <c r="D373" s="3">
        <v>22.09</v>
      </c>
      <c r="E373" s="3">
        <v>50.799999</v>
      </c>
      <c r="F373" s="3">
        <v>27.637924000000002</v>
      </c>
      <c r="G373" s="3">
        <v>32.240001999999997</v>
      </c>
      <c r="H373" s="3">
        <v>26.889999</v>
      </c>
      <c r="I373" s="3">
        <v>48.528278</v>
      </c>
      <c r="J373" s="3">
        <v>48.57</v>
      </c>
      <c r="L373" s="11">
        <f t="shared" si="52"/>
        <v>-9.5628584432571953E-3</v>
      </c>
      <c r="M373" s="11">
        <f t="shared" si="54"/>
        <v>3.6282402010028797E-3</v>
      </c>
      <c r="N373" s="11">
        <f t="shared" si="55"/>
        <v>6.457831325301204E-2</v>
      </c>
      <c r="O373" s="11">
        <f t="shared" si="56"/>
        <v>2.2956081353201836E-2</v>
      </c>
      <c r="P373" s="11">
        <f t="shared" si="57"/>
        <v>2.2517534773664655E-2</v>
      </c>
      <c r="Q373" s="11">
        <f t="shared" si="58"/>
        <v>3.2671461648669353E-2</v>
      </c>
      <c r="R373" s="11">
        <f t="shared" si="59"/>
        <v>3.2245682619795872E-2</v>
      </c>
      <c r="S373" s="11">
        <f t="shared" si="60"/>
        <v>-5.3120843128460233E-3</v>
      </c>
      <c r="T373" s="11">
        <f t="shared" si="61"/>
        <v>4.7896485346126678E-2</v>
      </c>
      <c r="U373" s="11">
        <f t="shared" si="53"/>
        <v>2.3513206271041122E-2</v>
      </c>
      <c r="V373" s="11" cm="1">
        <f t="array" ref="V373">SUMPRODUCT(L373:T373,TRANSPOSE($Y$5:$Y$13))</f>
        <v>2.595153417854968E-2</v>
      </c>
    </row>
    <row r="374" spans="1:22" x14ac:dyDescent="0.2">
      <c r="A374" s="1">
        <v>43893</v>
      </c>
      <c r="B374" s="3">
        <v>58.560001</v>
      </c>
      <c r="C374" s="3">
        <v>16.536667000000001</v>
      </c>
      <c r="D374" s="3">
        <v>20.75</v>
      </c>
      <c r="E374" s="3">
        <v>49.66</v>
      </c>
      <c r="F374" s="3">
        <v>27.029291000000001</v>
      </c>
      <c r="G374" s="3">
        <v>31.219999000000001</v>
      </c>
      <c r="H374" s="3">
        <v>26.049999</v>
      </c>
      <c r="I374" s="3">
        <v>48.787441000000001</v>
      </c>
      <c r="J374" s="3">
        <v>46.349997999999999</v>
      </c>
      <c r="L374" s="11">
        <f t="shared" si="52"/>
        <v>-2.1553835306727991E-2</v>
      </c>
      <c r="M374" s="11">
        <f t="shared" si="54"/>
        <v>-7.7999403119974912E-3</v>
      </c>
      <c r="N374" s="11">
        <f t="shared" si="55"/>
        <v>1.5663240332843872E-2</v>
      </c>
      <c r="O374" s="11">
        <f t="shared" si="56"/>
        <v>-3.8113943354622158E-3</v>
      </c>
      <c r="P374" s="11">
        <f t="shared" si="57"/>
        <v>1.6510244213684324E-2</v>
      </c>
      <c r="Q374" s="11">
        <f t="shared" si="58"/>
        <v>-1.4520233585858534E-2</v>
      </c>
      <c r="R374" s="11">
        <f t="shared" si="59"/>
        <v>-1.809279992111568E-2</v>
      </c>
      <c r="S374" s="11">
        <f t="shared" si="60"/>
        <v>8.9969442478955806E-3</v>
      </c>
      <c r="T374" s="11">
        <f t="shared" si="61"/>
        <v>-2.1576789871073434E-4</v>
      </c>
      <c r="U374" s="11">
        <f t="shared" si="53"/>
        <v>-2.7581713961609853E-3</v>
      </c>
      <c r="V374" s="11" cm="1">
        <f t="array" ref="V374">SUMPRODUCT(L374:T374,TRANSPOSE($Y$5:$Y$13))</f>
        <v>-2.5039310464159601E-3</v>
      </c>
    </row>
    <row r="375" spans="1:22" x14ac:dyDescent="0.2">
      <c r="A375" s="1">
        <v>43892</v>
      </c>
      <c r="B375" s="3">
        <v>59.849997999999999</v>
      </c>
      <c r="C375" s="3">
        <v>16.666665999999999</v>
      </c>
      <c r="D375" s="3">
        <v>20.43</v>
      </c>
      <c r="E375" s="3">
        <v>49.849997999999999</v>
      </c>
      <c r="F375" s="3">
        <v>26.590278999999999</v>
      </c>
      <c r="G375" s="3">
        <v>31.68</v>
      </c>
      <c r="H375" s="3">
        <v>26.530000999999999</v>
      </c>
      <c r="I375" s="3">
        <v>48.352417000000003</v>
      </c>
      <c r="J375" s="3">
        <v>46.360000999999997</v>
      </c>
      <c r="L375" s="11">
        <f t="shared" si="52"/>
        <v>-4.1597339154653551E-3</v>
      </c>
      <c r="M375" s="11">
        <f t="shared" si="54"/>
        <v>4.1666624999999957E-2</v>
      </c>
      <c r="N375" s="11">
        <f t="shared" si="55"/>
        <v>5.6906363166063192E-2</v>
      </c>
      <c r="O375" s="11">
        <f t="shared" si="56"/>
        <v>6.257508957256637E-3</v>
      </c>
      <c r="P375" s="11">
        <f t="shared" si="57"/>
        <v>1.8797387679683794E-3</v>
      </c>
      <c r="Q375" s="11">
        <f t="shared" si="58"/>
        <v>3.8007863695937096E-2</v>
      </c>
      <c r="R375" s="11">
        <f t="shared" si="59"/>
        <v>4.6961365430149914E-2</v>
      </c>
      <c r="S375" s="11">
        <f t="shared" si="60"/>
        <v>-1.0231119439173935E-2</v>
      </c>
      <c r="T375" s="11">
        <f t="shared" si="61"/>
        <v>4.6264950434101712E-2</v>
      </c>
      <c r="U375" s="11">
        <f t="shared" si="53"/>
        <v>2.4839284677426396E-2</v>
      </c>
      <c r="V375" s="11" cm="1">
        <f t="array" ref="V375">SUMPRODUCT(L375:T375,TRANSPOSE($Y$5:$Y$13))</f>
        <v>2.6981851253093936E-2</v>
      </c>
    </row>
    <row r="376" spans="1:22" x14ac:dyDescent="0.2">
      <c r="A376" s="1">
        <v>43889</v>
      </c>
      <c r="B376" s="3">
        <v>60.099997999999999</v>
      </c>
      <c r="C376" s="3">
        <v>16</v>
      </c>
      <c r="D376" s="3">
        <v>19.329999999999998</v>
      </c>
      <c r="E376" s="3">
        <v>49.540000999999997</v>
      </c>
      <c r="F376" s="3">
        <v>26.540389999999999</v>
      </c>
      <c r="G376" s="3">
        <v>30.52</v>
      </c>
      <c r="H376" s="3">
        <v>25.34</v>
      </c>
      <c r="I376" s="3">
        <v>48.852229999999999</v>
      </c>
      <c r="J376" s="3">
        <v>44.310001</v>
      </c>
      <c r="L376" s="11">
        <f t="shared" si="52"/>
        <v>3.673964534502919E-3</v>
      </c>
      <c r="M376" s="11">
        <f t="shared" si="54"/>
        <v>4.2571722092602987E-2</v>
      </c>
      <c r="N376" s="11">
        <f t="shared" si="55"/>
        <v>-2.8643216080402028E-2</v>
      </c>
      <c r="O376" s="11">
        <f t="shared" si="56"/>
        <v>3.8501116048676892E-3</v>
      </c>
      <c r="P376" s="11">
        <f t="shared" si="57"/>
        <v>2.1897863617990451E-2</v>
      </c>
      <c r="Q376" s="11">
        <f t="shared" si="58"/>
        <v>-5.5392960071913707E-3</v>
      </c>
      <c r="R376" s="11">
        <f t="shared" si="59"/>
        <v>1.5810672561686731E-3</v>
      </c>
      <c r="S376" s="11">
        <f t="shared" si="60"/>
        <v>-3.9839948920637809E-2</v>
      </c>
      <c r="T376" s="11">
        <f t="shared" si="61"/>
        <v>-3.5979311086591537E-3</v>
      </c>
      <c r="U376" s="11">
        <f t="shared" si="53"/>
        <v>-4.4951811230640516E-4</v>
      </c>
      <c r="V376" s="11" cm="1">
        <f t="array" ref="V376">SUMPRODUCT(L376:T376,TRANSPOSE($Y$5:$Y$13))</f>
        <v>-7.643594119416783E-4</v>
      </c>
    </row>
    <row r="377" spans="1:22" x14ac:dyDescent="0.2">
      <c r="A377" s="1">
        <v>43888</v>
      </c>
      <c r="B377" s="3">
        <v>59.880001</v>
      </c>
      <c r="C377" s="3">
        <v>15.346666000000001</v>
      </c>
      <c r="D377" s="3">
        <v>19.899999999999999</v>
      </c>
      <c r="E377" s="3">
        <v>49.349997999999999</v>
      </c>
      <c r="F377" s="3">
        <v>25.971665999999999</v>
      </c>
      <c r="G377" s="3">
        <v>30.690000999999999</v>
      </c>
      <c r="H377" s="3">
        <v>25.299999</v>
      </c>
      <c r="I377" s="3">
        <v>50.879257000000003</v>
      </c>
      <c r="J377" s="3">
        <v>44.470001000000003</v>
      </c>
      <c r="L377" s="11">
        <f t="shared" si="52"/>
        <v>-6.7434948877666184E-2</v>
      </c>
      <c r="M377" s="11">
        <f t="shared" si="54"/>
        <v>-0.11546593659942365</v>
      </c>
      <c r="N377" s="11">
        <f t="shared" si="55"/>
        <v>-9.6276112624886515E-2</v>
      </c>
      <c r="O377" s="11">
        <f t="shared" si="56"/>
        <v>-9.2830952469450292E-2</v>
      </c>
      <c r="P377" s="11">
        <f t="shared" si="57"/>
        <v>-9.9308013293180591E-2</v>
      </c>
      <c r="Q377" s="11">
        <f t="shared" si="58"/>
        <v>-9.2011777870170966E-2</v>
      </c>
      <c r="R377" s="11">
        <f t="shared" si="59"/>
        <v>-0.13177762977960294</v>
      </c>
      <c r="S377" s="11">
        <f t="shared" si="60"/>
        <v>-8.0615445875223388E-2</v>
      </c>
      <c r="T377" s="11">
        <f t="shared" si="61"/>
        <v>-0.11290644099528338</v>
      </c>
      <c r="U377" s="11">
        <f t="shared" si="53"/>
        <v>-9.8736362042765313E-2</v>
      </c>
      <c r="V377" s="11" cm="1">
        <f t="array" ref="V377">SUMPRODUCT(L377:T377,TRANSPOSE($Y$5:$Y$13))</f>
        <v>-0.10015336993801714</v>
      </c>
    </row>
    <row r="378" spans="1:22" x14ac:dyDescent="0.2">
      <c r="A378" s="1">
        <v>43882</v>
      </c>
      <c r="B378" s="3">
        <v>64.209998999999996</v>
      </c>
      <c r="C378" s="3">
        <v>17.350000000000001</v>
      </c>
      <c r="D378" s="3">
        <v>22.02</v>
      </c>
      <c r="E378" s="3">
        <v>54.400002000000001</v>
      </c>
      <c r="F378" s="3">
        <v>28.835235999999998</v>
      </c>
      <c r="G378" s="3">
        <v>33.799999</v>
      </c>
      <c r="H378" s="3">
        <v>29.139999</v>
      </c>
      <c r="I378" s="3">
        <v>55.340561000000001</v>
      </c>
      <c r="J378" s="3">
        <v>50.130001</v>
      </c>
      <c r="L378" s="11">
        <f t="shared" si="52"/>
        <v>-2.0591809658078344E-2</v>
      </c>
      <c r="M378" s="11">
        <f t="shared" si="54"/>
        <v>-4.9703309107370338E-3</v>
      </c>
      <c r="N378" s="11">
        <f t="shared" si="55"/>
        <v>4.4592030360531373E-2</v>
      </c>
      <c r="O378" s="11">
        <f t="shared" si="56"/>
        <v>-5.8479348346503644E-3</v>
      </c>
      <c r="P378" s="11">
        <f t="shared" si="57"/>
        <v>7.6751133650775835E-2</v>
      </c>
      <c r="Q378" s="11">
        <f t="shared" si="58"/>
        <v>5.9524110685959062E-3</v>
      </c>
      <c r="R378" s="11">
        <f t="shared" si="59"/>
        <v>-2.6069552139037503E-2</v>
      </c>
      <c r="S378" s="11">
        <f t="shared" si="60"/>
        <v>-9.6074264301385243E-3</v>
      </c>
      <c r="T378" s="11">
        <f t="shared" si="61"/>
        <v>-3.9655171654115494E-2</v>
      </c>
      <c r="U378" s="11">
        <f t="shared" si="53"/>
        <v>2.2837054947939845E-3</v>
      </c>
      <c r="V378" s="11" cm="1">
        <f t="array" ref="V378">SUMPRODUCT(L378:T378,TRANSPOSE($Y$5:$Y$13))</f>
        <v>-1.9101822200969648E-3</v>
      </c>
    </row>
    <row r="379" spans="1:22" x14ac:dyDescent="0.2">
      <c r="A379" s="1">
        <v>43881</v>
      </c>
      <c r="B379" s="3">
        <v>65.559997999999993</v>
      </c>
      <c r="C379" s="3">
        <v>17.436665999999999</v>
      </c>
      <c r="D379" s="3">
        <v>21.08</v>
      </c>
      <c r="E379" s="3">
        <v>54.720001000000003</v>
      </c>
      <c r="F379" s="3">
        <v>26.779852000000002</v>
      </c>
      <c r="G379" s="3">
        <v>33.599997999999999</v>
      </c>
      <c r="H379" s="3">
        <v>29.92</v>
      </c>
      <c r="I379" s="3">
        <v>55.877398999999997</v>
      </c>
      <c r="J379" s="3">
        <v>52.200001</v>
      </c>
      <c r="L379" s="11">
        <f t="shared" si="52"/>
        <v>-1.8270706455544108E-3</v>
      </c>
      <c r="M379" s="11">
        <f t="shared" si="54"/>
        <v>-1.5433823570515218E-2</v>
      </c>
      <c r="N379" s="11">
        <f t="shared" si="55"/>
        <v>-6.5975026671774625E-3</v>
      </c>
      <c r="O379" s="11">
        <f t="shared" si="56"/>
        <v>-5.9945141870029143E-3</v>
      </c>
      <c r="P379" s="11">
        <f t="shared" si="57"/>
        <v>-1.3960307816929828E-2</v>
      </c>
      <c r="Q379" s="11">
        <f t="shared" si="58"/>
        <v>-1.3795186380980361E-2</v>
      </c>
      <c r="R379" s="11">
        <f t="shared" si="59"/>
        <v>-2.0621899202026093E-2</v>
      </c>
      <c r="S379" s="11">
        <f t="shared" si="60"/>
        <v>-2.4402065765904157E-2</v>
      </c>
      <c r="T379" s="11">
        <f t="shared" si="61"/>
        <v>-1.1550842424714202E-2</v>
      </c>
      <c r="U379" s="11">
        <f t="shared" si="53"/>
        <v>-1.2687023628978293E-2</v>
      </c>
      <c r="V379" s="11" cm="1">
        <f t="array" ref="V379">SUMPRODUCT(L379:T379,TRANSPOSE($Y$5:$Y$13))</f>
        <v>-1.2573405508551886E-2</v>
      </c>
    </row>
    <row r="380" spans="1:22" x14ac:dyDescent="0.2">
      <c r="A380" s="1">
        <v>43880</v>
      </c>
      <c r="B380" s="3">
        <v>65.680000000000007</v>
      </c>
      <c r="C380" s="3">
        <v>17.709999</v>
      </c>
      <c r="D380" s="3">
        <v>21.219999000000001</v>
      </c>
      <c r="E380" s="3">
        <v>55.049999</v>
      </c>
      <c r="F380" s="3">
        <v>27.158999999999999</v>
      </c>
      <c r="G380" s="3">
        <v>34.07</v>
      </c>
      <c r="H380" s="3">
        <v>30.549999</v>
      </c>
      <c r="I380" s="3">
        <v>57.275027999999999</v>
      </c>
      <c r="J380" s="3">
        <v>52.810001</v>
      </c>
      <c r="L380" s="11">
        <f t="shared" si="52"/>
        <v>1.2330503036244033E-2</v>
      </c>
      <c r="M380" s="11">
        <f t="shared" si="54"/>
        <v>3.9115940526421637E-2</v>
      </c>
      <c r="N380" s="11">
        <f t="shared" si="55"/>
        <v>1.0957551214864362E-2</v>
      </c>
      <c r="O380" s="11">
        <f t="shared" si="56"/>
        <v>-4.5207957417865412E-3</v>
      </c>
      <c r="P380" s="11">
        <f t="shared" si="57"/>
        <v>-2.9304131775748509E-3</v>
      </c>
      <c r="Q380" s="11">
        <f t="shared" si="58"/>
        <v>7.392075694855115E-3</v>
      </c>
      <c r="R380" s="11">
        <f t="shared" si="59"/>
        <v>2.6890722689075618E-2</v>
      </c>
      <c r="S380" s="11">
        <f t="shared" si="60"/>
        <v>1.7093989773908486E-2</v>
      </c>
      <c r="T380" s="11">
        <f t="shared" si="61"/>
        <v>1.8943182176954333E-4</v>
      </c>
      <c r="U380" s="11">
        <f t="shared" si="53"/>
        <v>1.1835445093086379E-2</v>
      </c>
      <c r="V380" s="11" cm="1">
        <f t="array" ref="V380">SUMPRODUCT(L380:T380,TRANSPOSE($Y$5:$Y$13))</f>
        <v>1.0670843765954695E-2</v>
      </c>
    </row>
    <row r="381" spans="1:22" x14ac:dyDescent="0.2">
      <c r="A381" s="1">
        <v>43879</v>
      </c>
      <c r="B381" s="3">
        <v>64.879997000000003</v>
      </c>
      <c r="C381" s="3">
        <v>17.043333000000001</v>
      </c>
      <c r="D381" s="3">
        <v>20.99</v>
      </c>
      <c r="E381" s="3">
        <v>55.299999</v>
      </c>
      <c r="F381" s="3">
        <v>27.238821000000002</v>
      </c>
      <c r="G381" s="3">
        <v>33.82</v>
      </c>
      <c r="H381" s="3">
        <v>29.75</v>
      </c>
      <c r="I381" s="3">
        <v>56.312424</v>
      </c>
      <c r="J381" s="3">
        <v>52.799999</v>
      </c>
      <c r="L381" s="11">
        <f t="shared" si="52"/>
        <v>1.6609166405515557E-2</v>
      </c>
      <c r="M381" s="11">
        <f t="shared" si="54"/>
        <v>-1.0833836331979102E-2</v>
      </c>
      <c r="N381" s="11">
        <f t="shared" si="55"/>
        <v>-4.2694497153700122E-3</v>
      </c>
      <c r="O381" s="11">
        <f t="shared" si="56"/>
        <v>1.2674090168387257E-3</v>
      </c>
      <c r="P381" s="11">
        <f t="shared" si="57"/>
        <v>-6.9697047028799931E-3</v>
      </c>
      <c r="Q381" s="11">
        <f t="shared" si="58"/>
        <v>1.8674668112208789E-2</v>
      </c>
      <c r="R381" s="11">
        <f t="shared" si="59"/>
        <v>1.3283344234218505E-2</v>
      </c>
      <c r="S381" s="11">
        <f t="shared" si="60"/>
        <v>1.1518528734585471E-3</v>
      </c>
      <c r="T381" s="11">
        <f t="shared" si="61"/>
        <v>-1.1421100917431136E-2</v>
      </c>
      <c r="U381" s="11">
        <f t="shared" si="53"/>
        <v>1.9435943305088756E-3</v>
      </c>
      <c r="V381" s="11" cm="1">
        <f t="array" ref="V381">SUMPRODUCT(L381:T381,TRANSPOSE($Y$5:$Y$13))</f>
        <v>6.0712480571487428E-4</v>
      </c>
    </row>
    <row r="382" spans="1:22" x14ac:dyDescent="0.2">
      <c r="A382" s="1">
        <v>43878</v>
      </c>
      <c r="B382" s="3">
        <v>63.82</v>
      </c>
      <c r="C382" s="3">
        <v>17.23</v>
      </c>
      <c r="D382" s="3">
        <v>21.08</v>
      </c>
      <c r="E382" s="3">
        <v>55.23</v>
      </c>
      <c r="F382" s="3">
        <v>27.43</v>
      </c>
      <c r="G382" s="3">
        <v>33.200001</v>
      </c>
      <c r="H382" s="3">
        <v>29.360001</v>
      </c>
      <c r="I382" s="3">
        <v>56.247635000000002</v>
      </c>
      <c r="J382" s="3">
        <v>53.41</v>
      </c>
      <c r="L382" s="11">
        <f t="shared" si="52"/>
        <v>2.1120000000000003E-2</v>
      </c>
      <c r="M382" s="11">
        <f t="shared" si="54"/>
        <v>2.9681233877241749E-2</v>
      </c>
      <c r="N382" s="11">
        <f t="shared" si="55"/>
        <v>-8.4666039510819975E-3</v>
      </c>
      <c r="O382" s="11">
        <f t="shared" si="56"/>
        <v>4.1818181818181251E-3</v>
      </c>
      <c r="P382" s="11">
        <f t="shared" si="57"/>
        <v>1.1430641171436582E-2</v>
      </c>
      <c r="Q382" s="11">
        <f t="shared" si="58"/>
        <v>-1.0137149369792695E-2</v>
      </c>
      <c r="R382" s="11">
        <f t="shared" si="59"/>
        <v>-2.039394969408608E-3</v>
      </c>
      <c r="S382" s="11">
        <f t="shared" si="60"/>
        <v>-7.5126248378846348E-3</v>
      </c>
      <c r="T382" s="11">
        <f t="shared" si="61"/>
        <v>4.7254901960784246E-2</v>
      </c>
      <c r="U382" s="11">
        <f t="shared" si="53"/>
        <v>9.5014246736791971E-3</v>
      </c>
      <c r="V382" s="11" cm="1">
        <f t="array" ref="V382">SUMPRODUCT(L382:T382,TRANSPOSE($Y$5:$Y$13))</f>
        <v>1.3276772402389702E-2</v>
      </c>
    </row>
    <row r="383" spans="1:22" x14ac:dyDescent="0.2">
      <c r="A383" s="1">
        <v>43875</v>
      </c>
      <c r="B383" s="3">
        <v>62.5</v>
      </c>
      <c r="C383" s="3">
        <v>16.733333999999999</v>
      </c>
      <c r="D383" s="3">
        <v>21.26</v>
      </c>
      <c r="E383" s="3">
        <v>55</v>
      </c>
      <c r="F383" s="3">
        <v>27.120000999999998</v>
      </c>
      <c r="G383" s="3">
        <v>33.540000999999997</v>
      </c>
      <c r="H383" s="3">
        <v>29.42</v>
      </c>
      <c r="I383" s="3">
        <v>56.673400999999998</v>
      </c>
      <c r="J383" s="3">
        <v>51</v>
      </c>
      <c r="L383" s="11">
        <f t="shared" si="52"/>
        <v>-1.7758934185778185E-2</v>
      </c>
      <c r="M383" s="11">
        <f t="shared" si="54"/>
        <v>1.2505062272991856E-2</v>
      </c>
      <c r="N383" s="11">
        <f t="shared" si="55"/>
        <v>-2.2528735632183838E-2</v>
      </c>
      <c r="O383" s="11">
        <f t="shared" si="56"/>
        <v>-3.6350418029813022E-4</v>
      </c>
      <c r="P383" s="11">
        <f t="shared" si="57"/>
        <v>-1.703512142080469E-2</v>
      </c>
      <c r="Q383" s="11">
        <f t="shared" si="58"/>
        <v>2.9904905200504451E-3</v>
      </c>
      <c r="R383" s="11">
        <f t="shared" si="59"/>
        <v>-1.0094179343680317E-2</v>
      </c>
      <c r="S383" s="11">
        <f t="shared" si="60"/>
        <v>-3.4179289355300963E-3</v>
      </c>
      <c r="T383" s="11">
        <f t="shared" si="61"/>
        <v>-2.186419297783268E-2</v>
      </c>
      <c r="U383" s="11">
        <f t="shared" si="53"/>
        <v>-8.618560431451738E-3</v>
      </c>
      <c r="V383" s="11" cm="1">
        <f t="array" ref="V383">SUMPRODUCT(L383:T383,TRANSPOSE($Y$5:$Y$13))</f>
        <v>-9.9431236860898324E-3</v>
      </c>
    </row>
    <row r="384" spans="1:22" x14ac:dyDescent="0.2">
      <c r="A384" s="1">
        <v>43874</v>
      </c>
      <c r="B384" s="3">
        <v>63.630001</v>
      </c>
      <c r="C384" s="3">
        <v>16.526667</v>
      </c>
      <c r="D384" s="3">
        <v>21.75</v>
      </c>
      <c r="E384" s="3">
        <v>55.02</v>
      </c>
      <c r="F384" s="3">
        <v>27.59</v>
      </c>
      <c r="G384" s="3">
        <v>33.439999</v>
      </c>
      <c r="H384" s="3">
        <v>29.719999000000001</v>
      </c>
      <c r="I384" s="3">
        <v>56.867770999999998</v>
      </c>
      <c r="J384" s="3">
        <v>52.139999000000003</v>
      </c>
      <c r="L384" s="11">
        <f t="shared" si="52"/>
        <v>2.9611683327049897E-2</v>
      </c>
      <c r="M384" s="11">
        <f t="shared" si="54"/>
        <v>-6.0143149573290474E-3</v>
      </c>
      <c r="N384" s="11">
        <f t="shared" si="55"/>
        <v>-8.6600269525967093E-3</v>
      </c>
      <c r="O384" s="11">
        <f t="shared" si="56"/>
        <v>-8.2912761355442288E-3</v>
      </c>
      <c r="P384" s="11">
        <f t="shared" si="57"/>
        <v>1.0993000696482191E-2</v>
      </c>
      <c r="Q384" s="11">
        <f t="shared" si="58"/>
        <v>-1.6470617647058816E-2</v>
      </c>
      <c r="R384" s="11">
        <f t="shared" si="59"/>
        <v>-1.360770041844343E-2</v>
      </c>
      <c r="S384" s="11">
        <f t="shared" si="60"/>
        <v>-6.1469086042599368E-3</v>
      </c>
      <c r="T384" s="11">
        <f t="shared" si="61"/>
        <v>-1.752404371584694E-2</v>
      </c>
      <c r="U384" s="11">
        <f t="shared" si="53"/>
        <v>-4.0122449341718908E-3</v>
      </c>
      <c r="V384" s="11" cm="1">
        <f t="array" ref="V384">SUMPRODUCT(L384:T384,TRANSPOSE($Y$5:$Y$13))</f>
        <v>-5.3634248123393957E-3</v>
      </c>
    </row>
    <row r="385" spans="1:22" x14ac:dyDescent="0.2">
      <c r="A385" s="1">
        <v>43873</v>
      </c>
      <c r="B385" s="3">
        <v>61.799999</v>
      </c>
      <c r="C385" s="3">
        <v>16.626664999999999</v>
      </c>
      <c r="D385" s="3">
        <v>21.940000999999999</v>
      </c>
      <c r="E385" s="3">
        <v>55.48</v>
      </c>
      <c r="F385" s="3">
        <v>27.290001</v>
      </c>
      <c r="G385" s="3">
        <v>34</v>
      </c>
      <c r="H385" s="3">
        <v>30.129999000000002</v>
      </c>
      <c r="I385" s="3">
        <v>57.219493999999997</v>
      </c>
      <c r="J385" s="3">
        <v>53.07</v>
      </c>
      <c r="L385" s="11">
        <f t="shared" si="52"/>
        <v>3.5349305333377531E-2</v>
      </c>
      <c r="M385" s="11">
        <f t="shared" si="54"/>
        <v>2.004086012520611E-2</v>
      </c>
      <c r="N385" s="11">
        <f t="shared" si="55"/>
        <v>5.3794476464937485E-2</v>
      </c>
      <c r="O385" s="11">
        <f t="shared" si="56"/>
        <v>2.5508355841343977E-2</v>
      </c>
      <c r="P385" s="11">
        <f t="shared" si="57"/>
        <v>6.6396161328064768E-3</v>
      </c>
      <c r="Q385" s="11">
        <f t="shared" si="58"/>
        <v>1.0101010101010204E-2</v>
      </c>
      <c r="R385" s="11">
        <f t="shared" si="59"/>
        <v>2.2048812754409806E-2</v>
      </c>
      <c r="S385" s="11">
        <f t="shared" si="60"/>
        <v>1.8283656507782593E-2</v>
      </c>
      <c r="T385" s="11">
        <f t="shared" si="61"/>
        <v>1.9596561375534331E-2</v>
      </c>
      <c r="U385" s="11">
        <f t="shared" si="53"/>
        <v>2.3484739404045392E-2</v>
      </c>
      <c r="V385" s="11" cm="1">
        <f t="array" ref="V385">SUMPRODUCT(L385:T385,TRANSPOSE($Y$5:$Y$13))</f>
        <v>2.3095921601194284E-2</v>
      </c>
    </row>
    <row r="386" spans="1:22" x14ac:dyDescent="0.2">
      <c r="A386" s="1">
        <v>43872</v>
      </c>
      <c r="B386" s="3">
        <v>59.689999</v>
      </c>
      <c r="C386" s="3">
        <v>16.299999</v>
      </c>
      <c r="D386" s="3">
        <v>20.82</v>
      </c>
      <c r="E386" s="3">
        <v>54.099997999999999</v>
      </c>
      <c r="F386" s="3">
        <v>27.110001</v>
      </c>
      <c r="G386" s="3">
        <v>33.659999999999997</v>
      </c>
      <c r="H386" s="3">
        <v>29.48</v>
      </c>
      <c r="I386" s="3">
        <v>56.192096999999997</v>
      </c>
      <c r="J386" s="3">
        <v>52.049999</v>
      </c>
      <c r="L386" s="11">
        <f t="shared" si="52"/>
        <v>2.0690817373461071E-2</v>
      </c>
      <c r="M386" s="11">
        <f t="shared" si="54"/>
        <v>5.5521286583669659E-3</v>
      </c>
      <c r="N386" s="11">
        <f t="shared" si="55"/>
        <v>1.4125620354329339E-2</v>
      </c>
      <c r="O386" s="11">
        <f t="shared" si="56"/>
        <v>3.4021368501529037E-2</v>
      </c>
      <c r="P386" s="11">
        <f t="shared" si="57"/>
        <v>4.3093535975375227E-2</v>
      </c>
      <c r="Q386" s="11">
        <f t="shared" si="58"/>
        <v>2.9357766686306713E-2</v>
      </c>
      <c r="R386" s="11">
        <f t="shared" si="59"/>
        <v>1.2015139444391977E-2</v>
      </c>
      <c r="S386" s="11">
        <f t="shared" si="60"/>
        <v>4.6002707145342769E-2</v>
      </c>
      <c r="T386" s="11">
        <f t="shared" si="61"/>
        <v>3.7059175872866612E-2</v>
      </c>
      <c r="U386" s="11">
        <f t="shared" si="53"/>
        <v>2.6879806667996633E-2</v>
      </c>
      <c r="V386" s="11" cm="1">
        <f t="array" ref="V386">SUMPRODUCT(L386:T386,TRANSPOSE($Y$5:$Y$13))</f>
        <v>2.7897743588483636E-2</v>
      </c>
    </row>
    <row r="387" spans="1:22" x14ac:dyDescent="0.2">
      <c r="A387" s="1">
        <v>43871</v>
      </c>
      <c r="B387" s="3">
        <v>58.48</v>
      </c>
      <c r="C387" s="3">
        <v>16.209999</v>
      </c>
      <c r="D387" s="3">
        <v>20.530000999999999</v>
      </c>
      <c r="E387" s="3">
        <v>52.32</v>
      </c>
      <c r="F387" s="3">
        <v>25.99</v>
      </c>
      <c r="G387" s="3">
        <v>32.700001</v>
      </c>
      <c r="H387" s="3">
        <v>29.129999000000002</v>
      </c>
      <c r="I387" s="3">
        <v>53.720795000000003</v>
      </c>
      <c r="J387" s="3">
        <v>50.189999</v>
      </c>
      <c r="L387" s="11">
        <f t="shared" si="52"/>
        <v>-3.6255767963085085E-2</v>
      </c>
      <c r="M387" s="11">
        <f t="shared" si="54"/>
        <v>6.8322360248446205E-3</v>
      </c>
      <c r="N387" s="11">
        <f t="shared" si="55"/>
        <v>-3.3980097087380002E-3</v>
      </c>
      <c r="O387" s="11">
        <f t="shared" si="56"/>
        <v>-1.1524655204987709E-2</v>
      </c>
      <c r="P387" s="11">
        <f t="shared" si="57"/>
        <v>-8.0153050375838496E-3</v>
      </c>
      <c r="Q387" s="11">
        <f t="shared" si="58"/>
        <v>-1.6245516471388801E-2</v>
      </c>
      <c r="R387" s="11">
        <f t="shared" si="59"/>
        <v>6.913204286208151E-3</v>
      </c>
      <c r="S387" s="11">
        <f t="shared" si="60"/>
        <v>-3.2021295937090154E-2</v>
      </c>
      <c r="T387" s="11">
        <f t="shared" si="61"/>
        <v>-3.6660250927456832E-2</v>
      </c>
      <c r="U387" s="11">
        <f t="shared" si="53"/>
        <v>-1.4486151215475295E-2</v>
      </c>
      <c r="V387" s="11" cm="1">
        <f t="array" ref="V387">SUMPRODUCT(L387:T387,TRANSPOSE($Y$5:$Y$13))</f>
        <v>-1.670356118667345E-2</v>
      </c>
    </row>
    <row r="388" spans="1:22" x14ac:dyDescent="0.2">
      <c r="A388" s="1">
        <v>43868</v>
      </c>
      <c r="B388" s="3">
        <v>60.68</v>
      </c>
      <c r="C388" s="3">
        <v>16.100000000000001</v>
      </c>
      <c r="D388" s="3">
        <v>20.6</v>
      </c>
      <c r="E388" s="3">
        <v>52.93</v>
      </c>
      <c r="F388" s="3">
        <v>26.200001</v>
      </c>
      <c r="G388" s="3">
        <v>33.240001999999997</v>
      </c>
      <c r="H388" s="3">
        <v>28.93</v>
      </c>
      <c r="I388" s="3">
        <v>55.497909999999997</v>
      </c>
      <c r="J388" s="3">
        <v>52.099997999999999</v>
      </c>
      <c r="L388" s="11">
        <f t="shared" si="52"/>
        <v>-5.2459016393442666E-3</v>
      </c>
      <c r="M388" s="11">
        <f t="shared" si="54"/>
        <v>-8.0098582871225513E-3</v>
      </c>
      <c r="N388" s="11">
        <f t="shared" si="55"/>
        <v>-3.10442144873001E-2</v>
      </c>
      <c r="O388" s="11">
        <f t="shared" si="56"/>
        <v>-1.690193164933142E-2</v>
      </c>
      <c r="P388" s="11">
        <f t="shared" si="57"/>
        <v>-1.8358935243202069E-2</v>
      </c>
      <c r="Q388" s="11">
        <f t="shared" si="58"/>
        <v>-1.5985702071808813E-2</v>
      </c>
      <c r="R388" s="11">
        <f t="shared" si="59"/>
        <v>-8.5675119945167917E-3</v>
      </c>
      <c r="S388" s="11">
        <f t="shared" si="60"/>
        <v>-2.945941196805902E-2</v>
      </c>
      <c r="T388" s="11">
        <f t="shared" si="61"/>
        <v>-2.2147166331590907E-2</v>
      </c>
      <c r="U388" s="11">
        <f t="shared" si="53"/>
        <v>-1.7302292630252882E-2</v>
      </c>
      <c r="V388" s="11" cm="1">
        <f t="array" ref="V388">SUMPRODUCT(L388:T388,TRANSPOSE($Y$5:$Y$13))</f>
        <v>-1.7786780000386682E-2</v>
      </c>
    </row>
    <row r="389" spans="1:22" x14ac:dyDescent="0.2">
      <c r="A389" s="1">
        <v>43867</v>
      </c>
      <c r="B389" s="3">
        <v>61</v>
      </c>
      <c r="C389" s="3">
        <v>16.23</v>
      </c>
      <c r="D389" s="3">
        <v>21.26</v>
      </c>
      <c r="E389" s="3">
        <v>53.84</v>
      </c>
      <c r="F389" s="3">
        <v>26.690000999999999</v>
      </c>
      <c r="G389" s="3">
        <v>33.779998999999997</v>
      </c>
      <c r="H389" s="3">
        <v>29.18</v>
      </c>
      <c r="I389" s="3">
        <v>57.182471999999997</v>
      </c>
      <c r="J389" s="3">
        <v>53.279998999999997</v>
      </c>
      <c r="L389" s="11">
        <f t="shared" si="52"/>
        <v>-2.7733534340658724E-2</v>
      </c>
      <c r="M389" s="11">
        <f t="shared" si="54"/>
        <v>-1.3373920159640104E-2</v>
      </c>
      <c r="N389" s="11">
        <f t="shared" si="55"/>
        <v>9.4967240976602287E-3</v>
      </c>
      <c r="O389" s="11">
        <f t="shared" si="56"/>
        <v>-3.0259365994236304E-2</v>
      </c>
      <c r="P389" s="11">
        <f t="shared" si="57"/>
        <v>-2.7686702087916192E-2</v>
      </c>
      <c r="Q389" s="11">
        <f t="shared" si="58"/>
        <v>-2.8472850158182527E-2</v>
      </c>
      <c r="R389" s="11">
        <f t="shared" si="59"/>
        <v>2.7826735745922364E-2</v>
      </c>
      <c r="S389" s="11">
        <f t="shared" si="60"/>
        <v>-9.9358802771617027E-3</v>
      </c>
      <c r="T389" s="11">
        <f t="shared" si="61"/>
        <v>5.4726738828958649E-3</v>
      </c>
      <c r="U389" s="11">
        <f t="shared" si="53"/>
        <v>-1.0518457699035234E-2</v>
      </c>
      <c r="V389" s="11" cm="1">
        <f t="array" ref="V389">SUMPRODUCT(L389:T389,TRANSPOSE($Y$5:$Y$13))</f>
        <v>-8.9193445408421237E-3</v>
      </c>
    </row>
    <row r="390" spans="1:22" x14ac:dyDescent="0.2">
      <c r="A390" s="1">
        <v>43866</v>
      </c>
      <c r="B390" s="3">
        <v>62.740001999999997</v>
      </c>
      <c r="C390" s="3">
        <v>16.450001</v>
      </c>
      <c r="D390" s="3">
        <v>21.059999000000001</v>
      </c>
      <c r="E390" s="3">
        <v>55.52</v>
      </c>
      <c r="F390" s="3">
        <v>27.450001</v>
      </c>
      <c r="G390" s="3">
        <v>34.770000000000003</v>
      </c>
      <c r="H390" s="3">
        <v>28.389999</v>
      </c>
      <c r="I390" s="3">
        <v>57.756332</v>
      </c>
      <c r="J390" s="3">
        <v>52.990001999999997</v>
      </c>
      <c r="L390" s="11">
        <f t="shared" si="52"/>
        <v>1.1935516129032209E-2</v>
      </c>
      <c r="M390" s="11">
        <f t="shared" si="54"/>
        <v>-1.2209747309457713E-2</v>
      </c>
      <c r="N390" s="11">
        <f t="shared" si="55"/>
        <v>4.770992594035974E-3</v>
      </c>
      <c r="O390" s="11">
        <f t="shared" si="56"/>
        <v>9.4545454545455106E-3</v>
      </c>
      <c r="P390" s="11">
        <f t="shared" si="57"/>
        <v>-1.258985656798043E-2</v>
      </c>
      <c r="Q390" s="11">
        <f t="shared" si="58"/>
        <v>-1.1654349061966929E-2</v>
      </c>
      <c r="R390" s="11">
        <f t="shared" si="59"/>
        <v>-8.3828155215793752E-3</v>
      </c>
      <c r="S390" s="11">
        <f t="shared" si="60"/>
        <v>1.0853715977431594E-2</v>
      </c>
      <c r="T390" s="11">
        <f t="shared" si="61"/>
        <v>1.3774669982781592E-2</v>
      </c>
      <c r="U390" s="11">
        <f t="shared" si="53"/>
        <v>6.6140796409360359E-4</v>
      </c>
      <c r="V390" s="11" cm="1">
        <f t="array" ref="V390">SUMPRODUCT(L390:T390,TRANSPOSE($Y$5:$Y$13))</f>
        <v>1.9727341659624021E-3</v>
      </c>
    </row>
    <row r="391" spans="1:22" x14ac:dyDescent="0.2">
      <c r="A391" s="1">
        <v>43865</v>
      </c>
      <c r="B391" s="3">
        <v>62</v>
      </c>
      <c r="C391" s="3">
        <v>16.653334000000001</v>
      </c>
      <c r="D391" s="3">
        <v>20.959999</v>
      </c>
      <c r="E391" s="3">
        <v>55</v>
      </c>
      <c r="F391" s="3">
        <v>27.799999</v>
      </c>
      <c r="G391" s="3">
        <v>35.18</v>
      </c>
      <c r="H391" s="3">
        <v>28.629999000000002</v>
      </c>
      <c r="I391" s="3">
        <v>57.136192000000001</v>
      </c>
      <c r="J391" s="3">
        <v>52.27</v>
      </c>
      <c r="L391" s="11">
        <f t="shared" ref="L391:L454" si="62">(B391-B392)/B392</f>
        <v>9.9364881892243864E-3</v>
      </c>
      <c r="M391" s="11">
        <f t="shared" si="54"/>
        <v>-2.5953083929864868E-3</v>
      </c>
      <c r="N391" s="11">
        <f t="shared" si="55"/>
        <v>1.9951339170381475E-2</v>
      </c>
      <c r="O391" s="11">
        <f t="shared" si="56"/>
        <v>9.9155528812991094E-3</v>
      </c>
      <c r="P391" s="11">
        <f t="shared" si="57"/>
        <v>1.8315018985898133E-2</v>
      </c>
      <c r="Q391" s="11">
        <f t="shared" si="58"/>
        <v>-1.1357467025626638E-3</v>
      </c>
      <c r="R391" s="11">
        <f t="shared" si="59"/>
        <v>1.5968736692689917E-2</v>
      </c>
      <c r="S391" s="11">
        <f t="shared" si="60"/>
        <v>-2.3104903658028621E-2</v>
      </c>
      <c r="T391" s="11">
        <f t="shared" si="61"/>
        <v>2.6713808681987951E-2</v>
      </c>
      <c r="U391" s="11">
        <f t="shared" ref="U391:U454" si="63">AVERAGE(L391:T391)</f>
        <v>8.2183317608781337E-3</v>
      </c>
      <c r="V391" s="11" cm="1">
        <f t="array" ref="V391">SUMPRODUCT(L391:T391,TRANSPOSE($Y$5:$Y$13))</f>
        <v>1.0067879452989117E-2</v>
      </c>
    </row>
    <row r="392" spans="1:22" x14ac:dyDescent="0.2">
      <c r="A392" s="1">
        <v>43864</v>
      </c>
      <c r="B392" s="3">
        <v>61.389999000000003</v>
      </c>
      <c r="C392" s="3">
        <v>16.696667000000001</v>
      </c>
      <c r="D392" s="3">
        <v>20.549999</v>
      </c>
      <c r="E392" s="3">
        <v>54.459999000000003</v>
      </c>
      <c r="F392" s="3">
        <v>27.299999</v>
      </c>
      <c r="G392" s="3">
        <v>35.220001000000003</v>
      </c>
      <c r="H392" s="3">
        <v>28.18</v>
      </c>
      <c r="I392" s="3">
        <v>58.487541</v>
      </c>
      <c r="J392" s="3">
        <v>50.91</v>
      </c>
      <c r="L392" s="11">
        <f t="shared" si="62"/>
        <v>1.8076285540236964E-2</v>
      </c>
      <c r="M392" s="11">
        <f t="shared" si="54"/>
        <v>3.9211682124966063E-2</v>
      </c>
      <c r="N392" s="11">
        <f t="shared" si="55"/>
        <v>-1.7686472275334705E-2</v>
      </c>
      <c r="O392" s="11">
        <f t="shared" si="56"/>
        <v>1.5476374874578192E-2</v>
      </c>
      <c r="P392" s="11">
        <f t="shared" si="57"/>
        <v>-9.0744104927190736E-3</v>
      </c>
      <c r="Q392" s="11">
        <f t="shared" si="58"/>
        <v>1.5570963091118908E-2</v>
      </c>
      <c r="R392" s="11">
        <f t="shared" si="59"/>
        <v>-9.490368734960699E-3</v>
      </c>
      <c r="S392" s="11">
        <f t="shared" si="60"/>
        <v>-1.8954885178683158E-3</v>
      </c>
      <c r="T392" s="11">
        <f t="shared" si="61"/>
        <v>1.2731251243286123E-2</v>
      </c>
      <c r="U392" s="11">
        <f t="shared" si="63"/>
        <v>6.9910907614781602E-3</v>
      </c>
      <c r="V392" s="11" cm="1">
        <f t="array" ref="V392">SUMPRODUCT(L392:T392,TRANSPOSE($Y$5:$Y$13))</f>
        <v>7.5651068096589582E-3</v>
      </c>
    </row>
    <row r="393" spans="1:22" x14ac:dyDescent="0.2">
      <c r="A393" s="1">
        <v>43861</v>
      </c>
      <c r="B393" s="3">
        <v>60.299999</v>
      </c>
      <c r="C393" s="3">
        <v>16.066666000000001</v>
      </c>
      <c r="D393" s="3">
        <v>20.92</v>
      </c>
      <c r="E393" s="3">
        <v>53.630001</v>
      </c>
      <c r="F393" s="3">
        <v>27.549999</v>
      </c>
      <c r="G393" s="3">
        <v>34.68</v>
      </c>
      <c r="H393" s="3">
        <v>28.450001</v>
      </c>
      <c r="I393" s="3">
        <v>58.598613999999998</v>
      </c>
      <c r="J393" s="3">
        <v>50.27</v>
      </c>
      <c r="L393" s="11">
        <f t="shared" si="62"/>
        <v>-4.0420130490133731E-2</v>
      </c>
      <c r="M393" s="11">
        <f t="shared" si="54"/>
        <v>-1.2295082471109893E-2</v>
      </c>
      <c r="N393" s="11">
        <f t="shared" si="55"/>
        <v>1.3075060532687803E-2</v>
      </c>
      <c r="O393" s="11">
        <f t="shared" si="56"/>
        <v>-3.7154187733450263E-3</v>
      </c>
      <c r="P393" s="11">
        <f t="shared" si="57"/>
        <v>-5.7740889849905858E-3</v>
      </c>
      <c r="Q393" s="11">
        <f t="shared" si="58"/>
        <v>-9.4258217324092192E-3</v>
      </c>
      <c r="R393" s="11">
        <f t="shared" si="59"/>
        <v>-1.6931581999599741E-2</v>
      </c>
      <c r="S393" s="11">
        <f t="shared" si="60"/>
        <v>2.0964396857550503E-2</v>
      </c>
      <c r="T393" s="11">
        <f t="shared" si="61"/>
        <v>-2.3883495145631008E-2</v>
      </c>
      <c r="U393" s="11">
        <f t="shared" si="63"/>
        <v>-8.7117958007756555E-3</v>
      </c>
      <c r="V393" s="11" cm="1">
        <f t="array" ref="V393">SUMPRODUCT(L393:T393,TRANSPOSE($Y$5:$Y$13))</f>
        <v>-1.0228965735261192E-2</v>
      </c>
    </row>
    <row r="394" spans="1:22" x14ac:dyDescent="0.2">
      <c r="A394" s="1">
        <v>43860</v>
      </c>
      <c r="B394" s="3">
        <v>62.84</v>
      </c>
      <c r="C394" s="3">
        <v>16.266666000000001</v>
      </c>
      <c r="D394" s="3">
        <v>20.65</v>
      </c>
      <c r="E394" s="3">
        <v>53.830002</v>
      </c>
      <c r="F394" s="3">
        <v>27.709999</v>
      </c>
      <c r="G394" s="3">
        <v>35.009998000000003</v>
      </c>
      <c r="H394" s="3">
        <v>28.940000999999999</v>
      </c>
      <c r="I394" s="3">
        <v>57.395355000000002</v>
      </c>
      <c r="J394" s="3">
        <v>51.5</v>
      </c>
      <c r="L394" s="11">
        <f t="shared" si="62"/>
        <v>-2.1793244763176931E-2</v>
      </c>
      <c r="M394" s="11">
        <f t="shared" si="54"/>
        <v>4.1151232027701982E-3</v>
      </c>
      <c r="N394" s="11">
        <f t="shared" si="55"/>
        <v>-1.9468139575885196E-2</v>
      </c>
      <c r="O394" s="11">
        <f t="shared" si="56"/>
        <v>-7.7418986175115147E-3</v>
      </c>
      <c r="P394" s="11">
        <f t="shared" si="57"/>
        <v>-2.4295809859154888E-2</v>
      </c>
      <c r="Q394" s="11">
        <f t="shared" si="58"/>
        <v>-5.7096775823469185E-4</v>
      </c>
      <c r="R394" s="11">
        <f t="shared" si="59"/>
        <v>3.1196187175042403E-3</v>
      </c>
      <c r="S394" s="11">
        <f t="shared" si="60"/>
        <v>-3.1093739087844026E-2</v>
      </c>
      <c r="T394" s="11">
        <f t="shared" si="61"/>
        <v>1.4778325123152709E-2</v>
      </c>
      <c r="U394" s="11">
        <f t="shared" si="63"/>
        <v>-9.2167480687089017E-3</v>
      </c>
      <c r="V394" s="11" cm="1">
        <f t="array" ref="V394">SUMPRODUCT(L394:T394,TRANSPOSE($Y$5:$Y$13))</f>
        <v>-6.8172407495227395E-3</v>
      </c>
    </row>
    <row r="395" spans="1:22" x14ac:dyDescent="0.2">
      <c r="A395" s="1">
        <v>43859</v>
      </c>
      <c r="B395" s="3">
        <v>64.239998</v>
      </c>
      <c r="C395" s="3">
        <v>16.200001</v>
      </c>
      <c r="D395" s="3">
        <v>21.059999000000001</v>
      </c>
      <c r="E395" s="3">
        <v>54.25</v>
      </c>
      <c r="F395" s="3">
        <v>28.4</v>
      </c>
      <c r="G395" s="3">
        <v>35.029998999999997</v>
      </c>
      <c r="H395" s="3">
        <v>28.85</v>
      </c>
      <c r="I395" s="3">
        <v>59.237262999999999</v>
      </c>
      <c r="J395" s="3">
        <v>50.75</v>
      </c>
      <c r="L395" s="11">
        <f t="shared" si="62"/>
        <v>9.4280171186048693E-3</v>
      </c>
      <c r="M395" s="11">
        <f t="shared" si="54"/>
        <v>-9.7799505024480215E-3</v>
      </c>
      <c r="N395" s="11">
        <f t="shared" si="55"/>
        <v>9.5876313716380356E-3</v>
      </c>
      <c r="O395" s="11">
        <f t="shared" si="56"/>
        <v>2.5519809999251027E-2</v>
      </c>
      <c r="P395" s="11">
        <f t="shared" si="57"/>
        <v>-2.4586934477940376E-3</v>
      </c>
      <c r="Q395" s="11">
        <f t="shared" si="58"/>
        <v>1.0966723753724341E-2</v>
      </c>
      <c r="R395" s="11">
        <f t="shared" si="59"/>
        <v>1.7361458936162374E-3</v>
      </c>
      <c r="S395" s="11">
        <f t="shared" si="60"/>
        <v>-7.9057354356587665E-3</v>
      </c>
      <c r="T395" s="11">
        <f t="shared" si="61"/>
        <v>-8.7890818595882502E-3</v>
      </c>
      <c r="U395" s="11">
        <f t="shared" si="63"/>
        <v>3.1449852101494932E-3</v>
      </c>
      <c r="V395" s="11" cm="1">
        <f t="array" ref="V395">SUMPRODUCT(L395:T395,TRANSPOSE($Y$5:$Y$13))</f>
        <v>1.9515785031757188E-3</v>
      </c>
    </row>
    <row r="396" spans="1:22" x14ac:dyDescent="0.2">
      <c r="A396" s="1">
        <v>43858</v>
      </c>
      <c r="B396" s="3">
        <v>63.639999000000003</v>
      </c>
      <c r="C396" s="3">
        <v>16.360001</v>
      </c>
      <c r="D396" s="3">
        <v>20.860001</v>
      </c>
      <c r="E396" s="3">
        <v>52.900002000000001</v>
      </c>
      <c r="F396" s="3">
        <v>28.469999000000001</v>
      </c>
      <c r="G396" s="3">
        <v>34.650002000000001</v>
      </c>
      <c r="H396" s="3">
        <v>28.799999</v>
      </c>
      <c r="I396" s="3">
        <v>59.709308999999998</v>
      </c>
      <c r="J396" s="3">
        <v>51.200001</v>
      </c>
      <c r="L396" s="11">
        <f t="shared" si="62"/>
        <v>1.5153932288306511E-2</v>
      </c>
      <c r="M396" s="11">
        <f t="shared" si="54"/>
        <v>3.0010577754681595E-2</v>
      </c>
      <c r="N396" s="11">
        <f t="shared" si="55"/>
        <v>-5.7196854146806461E-3</v>
      </c>
      <c r="O396" s="11">
        <f t="shared" si="56"/>
        <v>2.8382640520657872E-2</v>
      </c>
      <c r="P396" s="11">
        <f t="shared" si="57"/>
        <v>8.8589655867812034E-3</v>
      </c>
      <c r="Q396" s="11">
        <f t="shared" si="58"/>
        <v>1.6725351131141375E-2</v>
      </c>
      <c r="R396" s="11">
        <f t="shared" si="59"/>
        <v>2.7470494917213921E-2</v>
      </c>
      <c r="S396" s="11">
        <f t="shared" si="60"/>
        <v>8.283777804578606E-3</v>
      </c>
      <c r="T396" s="11">
        <f t="shared" si="61"/>
        <v>1.3660721190287856E-2</v>
      </c>
      <c r="U396" s="11">
        <f t="shared" si="63"/>
        <v>1.58696417532187E-2</v>
      </c>
      <c r="V396" s="11" cm="1">
        <f t="array" ref="V396">SUMPRODUCT(L396:T396,TRANSPOSE($Y$5:$Y$13))</f>
        <v>1.5648749696925618E-2</v>
      </c>
    </row>
    <row r="397" spans="1:22" x14ac:dyDescent="0.2">
      <c r="A397" s="1">
        <v>43857</v>
      </c>
      <c r="B397" s="3">
        <v>62.689999</v>
      </c>
      <c r="C397" s="3">
        <v>15.883333</v>
      </c>
      <c r="D397" s="3">
        <v>20.98</v>
      </c>
      <c r="E397" s="3">
        <v>51.439999</v>
      </c>
      <c r="F397" s="3">
        <v>28.219999000000001</v>
      </c>
      <c r="G397" s="3">
        <v>34.080002</v>
      </c>
      <c r="H397" s="3">
        <v>28.030000999999999</v>
      </c>
      <c r="I397" s="3">
        <v>59.218753999999997</v>
      </c>
      <c r="J397" s="3">
        <v>50.509998000000003</v>
      </c>
      <c r="L397" s="11">
        <f t="shared" si="62"/>
        <v>-1.7244113227087056E-2</v>
      </c>
      <c r="M397" s="11">
        <f t="shared" si="54"/>
        <v>-2.7352541334966195E-2</v>
      </c>
      <c r="N397" s="11">
        <f t="shared" si="55"/>
        <v>-3.1841255191509057E-2</v>
      </c>
      <c r="O397" s="11">
        <f t="shared" si="56"/>
        <v>5.8352460610783241E-4</v>
      </c>
      <c r="P397" s="11">
        <f t="shared" si="57"/>
        <v>-2.5215957678205225E-2</v>
      </c>
      <c r="Q397" s="11">
        <f t="shared" si="58"/>
        <v>-2.9888954458042846E-2</v>
      </c>
      <c r="R397" s="11">
        <f t="shared" si="59"/>
        <v>-4.3344643117564648E-2</v>
      </c>
      <c r="S397" s="11">
        <f t="shared" si="60"/>
        <v>-3.6300627543901828E-2</v>
      </c>
      <c r="T397" s="11">
        <f t="shared" si="61"/>
        <v>-6.1152436080900235E-2</v>
      </c>
      <c r="U397" s="11">
        <f t="shared" si="63"/>
        <v>-3.0195222669563253E-2</v>
      </c>
      <c r="V397" s="11" cm="1">
        <f t="array" ref="V397">SUMPRODUCT(L397:T397,TRANSPOSE($Y$5:$Y$13))</f>
        <v>-3.3290944010696946E-2</v>
      </c>
    </row>
    <row r="398" spans="1:22" x14ac:dyDescent="0.2">
      <c r="A398" s="1">
        <v>43854</v>
      </c>
      <c r="B398" s="3">
        <v>63.790000999999997</v>
      </c>
      <c r="C398" s="3">
        <v>16.329999999999998</v>
      </c>
      <c r="D398" s="3">
        <v>21.67</v>
      </c>
      <c r="E398" s="3">
        <v>51.41</v>
      </c>
      <c r="F398" s="3">
        <v>28.950001</v>
      </c>
      <c r="G398" s="3">
        <v>35.130001</v>
      </c>
      <c r="H398" s="3">
        <v>29.299999</v>
      </c>
      <c r="I398" s="3">
        <v>61.449406000000003</v>
      </c>
      <c r="J398" s="3">
        <v>53.799999</v>
      </c>
      <c r="L398" s="11">
        <f t="shared" si="62"/>
        <v>1.412872819264105E-3</v>
      </c>
      <c r="M398" s="11">
        <f t="shared" si="54"/>
        <v>5.9547841497007972E-3</v>
      </c>
      <c r="N398" s="11">
        <f t="shared" si="55"/>
        <v>-7.3293632615664961E-3</v>
      </c>
      <c r="O398" s="11">
        <f t="shared" si="56"/>
        <v>-6.3780824747552266E-3</v>
      </c>
      <c r="P398" s="11">
        <f t="shared" si="57"/>
        <v>-3.785203158472267E-3</v>
      </c>
      <c r="Q398" s="11">
        <f t="shared" si="58"/>
        <v>-1.0979701576576663E-2</v>
      </c>
      <c r="R398" s="11">
        <f t="shared" si="59"/>
        <v>-1.1804418212478884E-2</v>
      </c>
      <c r="S398" s="11">
        <f t="shared" si="60"/>
        <v>-9.4001339942339085E-3</v>
      </c>
      <c r="T398" s="11">
        <f t="shared" si="61"/>
        <v>-3.0630648648648656E-2</v>
      </c>
      <c r="U398" s="11">
        <f t="shared" si="63"/>
        <v>-8.1044327064185781E-3</v>
      </c>
      <c r="V398" s="11" cm="1">
        <f t="array" ref="V398">SUMPRODUCT(L398:T398,TRANSPOSE($Y$5:$Y$13))</f>
        <v>-1.0357054300641585E-2</v>
      </c>
    </row>
    <row r="399" spans="1:22" x14ac:dyDescent="0.2">
      <c r="A399" s="1">
        <v>43853</v>
      </c>
      <c r="B399" s="3">
        <v>63.700001</v>
      </c>
      <c r="C399" s="3">
        <v>16.233333999999999</v>
      </c>
      <c r="D399" s="3">
        <v>21.83</v>
      </c>
      <c r="E399" s="3">
        <v>51.740001999999997</v>
      </c>
      <c r="F399" s="3">
        <v>29.059999000000001</v>
      </c>
      <c r="G399" s="3">
        <v>35.520000000000003</v>
      </c>
      <c r="H399" s="3">
        <v>29.65</v>
      </c>
      <c r="I399" s="3">
        <v>62.032519999999998</v>
      </c>
      <c r="J399" s="3">
        <v>55.5</v>
      </c>
      <c r="L399" s="11">
        <f t="shared" si="62"/>
        <v>-1.560806700058821E-2</v>
      </c>
      <c r="M399" s="11">
        <f t="shared" si="54"/>
        <v>2.5263221584488852E-2</v>
      </c>
      <c r="N399" s="11">
        <f t="shared" si="55"/>
        <v>1.8665422305179587E-2</v>
      </c>
      <c r="O399" s="11">
        <f t="shared" si="56"/>
        <v>3.8330321560091377E-2</v>
      </c>
      <c r="P399" s="11">
        <f t="shared" si="57"/>
        <v>1.8934046283310017E-2</v>
      </c>
      <c r="Q399" s="11">
        <f t="shared" si="58"/>
        <v>2.2746904693348873E-2</v>
      </c>
      <c r="R399" s="11">
        <f t="shared" si="59"/>
        <v>1.2290849699868512E-2</v>
      </c>
      <c r="S399" s="11">
        <f t="shared" si="60"/>
        <v>2.0932931795046858E-3</v>
      </c>
      <c r="T399" s="11">
        <f t="shared" si="61"/>
        <v>-1.4209573964646069E-2</v>
      </c>
      <c r="U399" s="11">
        <f t="shared" si="63"/>
        <v>1.2056268704506403E-2</v>
      </c>
      <c r="V399" s="11" cm="1">
        <f t="array" ref="V399">SUMPRODUCT(L399:T399,TRANSPOSE($Y$5:$Y$13))</f>
        <v>9.4296844375911567E-3</v>
      </c>
    </row>
    <row r="400" spans="1:22" x14ac:dyDescent="0.2">
      <c r="A400" s="1">
        <v>43852</v>
      </c>
      <c r="B400" s="3">
        <v>64.709998999999996</v>
      </c>
      <c r="C400" s="3">
        <v>15.833333</v>
      </c>
      <c r="D400" s="3">
        <v>21.43</v>
      </c>
      <c r="E400" s="3">
        <v>49.830002</v>
      </c>
      <c r="F400" s="3">
        <v>28.52</v>
      </c>
      <c r="G400" s="3">
        <v>34.729999999999997</v>
      </c>
      <c r="H400" s="3">
        <v>29.290001</v>
      </c>
      <c r="I400" s="3">
        <v>61.902939000000003</v>
      </c>
      <c r="J400" s="3">
        <v>56.299999</v>
      </c>
      <c r="L400" s="11">
        <f t="shared" si="62"/>
        <v>-1.9990913524018186E-2</v>
      </c>
      <c r="M400" s="11">
        <f t="shared" si="54"/>
        <v>6.2639798657718071E-2</v>
      </c>
      <c r="N400" s="11">
        <f t="shared" si="55"/>
        <v>2.7324974720758607E-2</v>
      </c>
      <c r="O400" s="11">
        <f t="shared" si="56"/>
        <v>1.2804898113721583E-2</v>
      </c>
      <c r="P400" s="11">
        <f t="shared" si="57"/>
        <v>-1.6890727335401652E-2</v>
      </c>
      <c r="Q400" s="11">
        <f t="shared" si="58"/>
        <v>1.4014598540145895E-2</v>
      </c>
      <c r="R400" s="11">
        <f t="shared" si="59"/>
        <v>-1.1141120488145775E-2</v>
      </c>
      <c r="S400" s="11">
        <f t="shared" si="60"/>
        <v>1.1035524958293177E-2</v>
      </c>
      <c r="T400" s="11">
        <f t="shared" si="61"/>
        <v>4.8188471322300605E-3</v>
      </c>
      <c r="U400" s="11">
        <f t="shared" si="63"/>
        <v>9.4017645305890865E-3</v>
      </c>
      <c r="V400" s="11" cm="1">
        <f t="array" ref="V400">SUMPRODUCT(L400:T400,TRANSPOSE($Y$5:$Y$13))</f>
        <v>8.9434727907531843E-3</v>
      </c>
    </row>
    <row r="401" spans="1:22" x14ac:dyDescent="0.2">
      <c r="A401" s="1">
        <v>43851</v>
      </c>
      <c r="B401" s="3">
        <v>66.029999000000004</v>
      </c>
      <c r="C401" s="3">
        <v>14.9</v>
      </c>
      <c r="D401" s="3">
        <v>20.860001</v>
      </c>
      <c r="E401" s="3">
        <v>49.200001</v>
      </c>
      <c r="F401" s="3">
        <v>29.01</v>
      </c>
      <c r="G401" s="3">
        <v>34.25</v>
      </c>
      <c r="H401" s="3">
        <v>29.620000999999998</v>
      </c>
      <c r="I401" s="3">
        <v>61.227263999999998</v>
      </c>
      <c r="J401" s="3">
        <v>56.029998999999997</v>
      </c>
      <c r="L401" s="11">
        <f t="shared" si="62"/>
        <v>4.4943820935968104E-2</v>
      </c>
      <c r="M401" s="11">
        <f t="shared" si="54"/>
        <v>-1.7582374399225182E-2</v>
      </c>
      <c r="N401" s="11">
        <f t="shared" si="55"/>
        <v>-4.7915666127653809E-4</v>
      </c>
      <c r="O401" s="11">
        <f t="shared" si="56"/>
        <v>-8.0644559703409481E-3</v>
      </c>
      <c r="P401" s="11">
        <f t="shared" si="57"/>
        <v>0</v>
      </c>
      <c r="Q401" s="11">
        <f t="shared" si="58"/>
        <v>-6.6705336426913248E-3</v>
      </c>
      <c r="R401" s="11">
        <f t="shared" si="59"/>
        <v>-1.2666633333333384E-2</v>
      </c>
      <c r="S401" s="11">
        <f t="shared" si="60"/>
        <v>1.0592769331313544E-3</v>
      </c>
      <c r="T401" s="11">
        <f t="shared" si="61"/>
        <v>-2.3186924281957396E-2</v>
      </c>
      <c r="U401" s="11">
        <f t="shared" si="63"/>
        <v>-2.5163311577472572E-3</v>
      </c>
      <c r="V401" s="11" cm="1">
        <f t="array" ref="V401">SUMPRODUCT(L401:T401,TRANSPOSE($Y$5:$Y$13))</f>
        <v>-4.5833904701682703E-3</v>
      </c>
    </row>
    <row r="402" spans="1:22" x14ac:dyDescent="0.2">
      <c r="A402" s="1">
        <v>43850</v>
      </c>
      <c r="B402" s="3">
        <v>63.189999</v>
      </c>
      <c r="C402" s="3">
        <v>15.166665999999999</v>
      </c>
      <c r="D402" s="3">
        <v>20.870000999999998</v>
      </c>
      <c r="E402" s="3">
        <v>49.599997999999999</v>
      </c>
      <c r="F402" s="3">
        <v>29.01</v>
      </c>
      <c r="G402" s="3">
        <v>34.479999999999997</v>
      </c>
      <c r="H402" s="3">
        <v>30</v>
      </c>
      <c r="I402" s="3">
        <v>61.162475999999998</v>
      </c>
      <c r="J402" s="3">
        <v>57.360000999999997</v>
      </c>
      <c r="L402" s="11">
        <f t="shared" si="62"/>
        <v>5.8898280802292258E-3</v>
      </c>
      <c r="M402" s="11">
        <f t="shared" si="54"/>
        <v>3.5288708321320333E-3</v>
      </c>
      <c r="N402" s="11">
        <f t="shared" si="55"/>
        <v>6.268129218900677E-3</v>
      </c>
      <c r="O402" s="11">
        <f t="shared" si="56"/>
        <v>2.2225903324878111E-3</v>
      </c>
      <c r="P402" s="11">
        <f t="shared" si="57"/>
        <v>2.4002823861630898E-2</v>
      </c>
      <c r="Q402" s="11">
        <f t="shared" si="58"/>
        <v>-2.3148436830196526E-3</v>
      </c>
      <c r="R402" s="11">
        <f t="shared" si="59"/>
        <v>5.0251256281406559E-3</v>
      </c>
      <c r="S402" s="11">
        <f t="shared" si="60"/>
        <v>2.3227032724423516E-2</v>
      </c>
      <c r="T402" s="11">
        <f t="shared" si="61"/>
        <v>6.3158070175438055E-3</v>
      </c>
      <c r="U402" s="11">
        <f t="shared" si="63"/>
        <v>8.2405960013854414E-3</v>
      </c>
      <c r="V402" s="11" cm="1">
        <f t="array" ref="V402">SUMPRODUCT(L402:T402,TRANSPOSE($Y$5:$Y$13))</f>
        <v>8.0481171030012781E-3</v>
      </c>
    </row>
    <row r="403" spans="1:22" x14ac:dyDescent="0.2">
      <c r="A403" s="1">
        <v>43847</v>
      </c>
      <c r="B403" s="3">
        <v>62.82</v>
      </c>
      <c r="C403" s="3">
        <v>15.113333000000001</v>
      </c>
      <c r="D403" s="3">
        <v>20.74</v>
      </c>
      <c r="E403" s="3">
        <v>49.490001999999997</v>
      </c>
      <c r="F403" s="3">
        <v>28.33</v>
      </c>
      <c r="G403" s="3">
        <v>34.560001</v>
      </c>
      <c r="H403" s="3">
        <v>29.85</v>
      </c>
      <c r="I403" s="3">
        <v>59.774101000000002</v>
      </c>
      <c r="J403" s="3">
        <v>57</v>
      </c>
      <c r="L403" s="11">
        <f t="shared" si="62"/>
        <v>5.1200000000000048E-3</v>
      </c>
      <c r="M403" s="11">
        <f t="shared" si="54"/>
        <v>3.1626825938566583E-2</v>
      </c>
      <c r="N403" s="11">
        <f t="shared" si="55"/>
        <v>4.8450099246612798E-3</v>
      </c>
      <c r="O403" s="11">
        <f t="shared" si="56"/>
        <v>6.9175989046754522E-3</v>
      </c>
      <c r="P403" s="11">
        <f t="shared" si="57"/>
        <v>1.7235188509874214E-2</v>
      </c>
      <c r="Q403" s="11">
        <f t="shared" si="58"/>
        <v>1.2005826529673384E-2</v>
      </c>
      <c r="R403" s="11">
        <f t="shared" si="59"/>
        <v>1.1178861788617949E-2</v>
      </c>
      <c r="S403" s="11">
        <f t="shared" si="60"/>
        <v>1.9094182392692883E-2</v>
      </c>
      <c r="T403" s="11">
        <f t="shared" si="61"/>
        <v>3.3170238650362109E-2</v>
      </c>
      <c r="U403" s="11">
        <f t="shared" si="63"/>
        <v>1.5688192515458207E-2</v>
      </c>
      <c r="V403" s="11" cm="1">
        <f t="array" ref="V403">SUMPRODUCT(L403:T403,TRANSPOSE($Y$5:$Y$13))</f>
        <v>1.7436397128948598E-2</v>
      </c>
    </row>
    <row r="404" spans="1:22" x14ac:dyDescent="0.2">
      <c r="A404" s="1">
        <v>43846</v>
      </c>
      <c r="B404" s="3">
        <v>62.5</v>
      </c>
      <c r="C404" s="3">
        <v>14.65</v>
      </c>
      <c r="D404" s="3">
        <v>20.639999</v>
      </c>
      <c r="E404" s="3">
        <v>49.150002000000001</v>
      </c>
      <c r="F404" s="3">
        <v>27.85</v>
      </c>
      <c r="G404" s="3">
        <v>34.150002000000001</v>
      </c>
      <c r="H404" s="3">
        <v>29.52</v>
      </c>
      <c r="I404" s="3">
        <v>58.654147999999999</v>
      </c>
      <c r="J404" s="3">
        <v>55.169998</v>
      </c>
      <c r="L404" s="11">
        <f t="shared" si="62"/>
        <v>-2.8717294192724908E-3</v>
      </c>
      <c r="M404" s="11">
        <f t="shared" si="54"/>
        <v>1.150750314171471E-2</v>
      </c>
      <c r="N404" s="11">
        <f t="shared" si="55"/>
        <v>-1.4514271891631428E-3</v>
      </c>
      <c r="O404" s="11">
        <f t="shared" si="56"/>
        <v>1.9498092086664372E-2</v>
      </c>
      <c r="P404" s="11">
        <f t="shared" si="57"/>
        <v>1.272727272727278E-2</v>
      </c>
      <c r="Q404" s="11">
        <f t="shared" si="58"/>
        <v>5.2988223344473014E-3</v>
      </c>
      <c r="R404" s="11">
        <f t="shared" si="59"/>
        <v>-1.0151946198035441E-3</v>
      </c>
      <c r="S404" s="11">
        <f t="shared" si="60"/>
        <v>-9.8437194844738091E-3</v>
      </c>
      <c r="T404" s="11">
        <f t="shared" si="61"/>
        <v>-5.2290119947532585E-3</v>
      </c>
      <c r="U404" s="11">
        <f t="shared" si="63"/>
        <v>3.1800675091814348E-3</v>
      </c>
      <c r="V404" s="11" cm="1">
        <f t="array" ref="V404">SUMPRODUCT(L404:T404,TRANSPOSE($Y$5:$Y$13))</f>
        <v>2.3391595587879655E-3</v>
      </c>
    </row>
    <row r="405" spans="1:22" x14ac:dyDescent="0.2">
      <c r="A405" s="1">
        <v>43845</v>
      </c>
      <c r="B405" s="3">
        <v>62.68</v>
      </c>
      <c r="C405" s="3">
        <v>14.483333</v>
      </c>
      <c r="D405" s="3">
        <v>20.67</v>
      </c>
      <c r="E405" s="3">
        <v>48.209999000000003</v>
      </c>
      <c r="F405" s="3">
        <v>27.5</v>
      </c>
      <c r="G405" s="3">
        <v>33.970001000000003</v>
      </c>
      <c r="H405" s="3">
        <v>29.549999</v>
      </c>
      <c r="I405" s="3">
        <v>59.237262999999999</v>
      </c>
      <c r="J405" s="3">
        <v>55.459999000000003</v>
      </c>
      <c r="L405" s="11">
        <f t="shared" si="62"/>
        <v>-5.0793650793650837E-3</v>
      </c>
      <c r="M405" s="11">
        <f t="shared" si="54"/>
        <v>-2.6875700489937326E-2</v>
      </c>
      <c r="N405" s="11">
        <f t="shared" si="55"/>
        <v>-1.1950286806883365E-2</v>
      </c>
      <c r="O405" s="11">
        <f t="shared" si="56"/>
        <v>2.0742738158870702E-4</v>
      </c>
      <c r="P405" s="11">
        <f t="shared" si="57"/>
        <v>-1.3275959337066349E-2</v>
      </c>
      <c r="Q405" s="11">
        <f t="shared" si="58"/>
        <v>-8.8232352941166345E-4</v>
      </c>
      <c r="R405" s="11">
        <f t="shared" si="59"/>
        <v>-1.5000033333333345E-2</v>
      </c>
      <c r="S405" s="11">
        <f t="shared" si="60"/>
        <v>9.4636993356471445E-3</v>
      </c>
      <c r="T405" s="11">
        <f t="shared" si="61"/>
        <v>-3.235082732478117E-3</v>
      </c>
      <c r="U405" s="11">
        <f t="shared" si="63"/>
        <v>-7.4030693990265999E-3</v>
      </c>
      <c r="V405" s="11" cm="1">
        <f t="array" ref="V405">SUMPRODUCT(L405:T405,TRANSPOSE($Y$5:$Y$13))</f>
        <v>-6.9862707323717528E-3</v>
      </c>
    </row>
    <row r="406" spans="1:22" x14ac:dyDescent="0.2">
      <c r="A406" s="1">
        <v>43844</v>
      </c>
      <c r="B406" s="3">
        <v>63</v>
      </c>
      <c r="C406" s="3">
        <v>14.883333</v>
      </c>
      <c r="D406" s="3">
        <v>20.92</v>
      </c>
      <c r="E406" s="3">
        <v>48.200001</v>
      </c>
      <c r="F406" s="3">
        <v>27.870000999999998</v>
      </c>
      <c r="G406" s="3">
        <v>34</v>
      </c>
      <c r="H406" s="3">
        <v>30</v>
      </c>
      <c r="I406" s="3">
        <v>58.681914999999996</v>
      </c>
      <c r="J406" s="3">
        <v>55.639999000000003</v>
      </c>
      <c r="L406" s="11">
        <f t="shared" si="62"/>
        <v>3.1847293500753132E-3</v>
      </c>
      <c r="M406" s="11">
        <f t="shared" ref="M406:M469" si="64">(C406-C407)/C407</f>
        <v>6.7643744479001884E-3</v>
      </c>
      <c r="N406" s="11">
        <f t="shared" ref="N406:N469" si="65">(D406-D407)/D407</f>
        <v>3.3596837944664198E-2</v>
      </c>
      <c r="O406" s="11">
        <f t="shared" ref="O406:O469" si="66">(E406-E407)/E407</f>
        <v>4.1666875000000063E-3</v>
      </c>
      <c r="P406" s="11">
        <f t="shared" ref="P406:P469" si="67">(F406-F407)/F407</f>
        <v>3.2604705446461657E-2</v>
      </c>
      <c r="Q406" s="11">
        <f t="shared" ref="Q406:Q469" si="68">(G406-G407)/G407</f>
        <v>1.4925373134328358E-2</v>
      </c>
      <c r="R406" s="11">
        <f t="shared" ref="R406:R469" si="69">(H406-H407)/H407</f>
        <v>-1.0880316518298658E-2</v>
      </c>
      <c r="S406" s="11">
        <f t="shared" ref="S406:S469" si="70">(I406-I407)/I407</f>
        <v>8.9115202296060989E-3</v>
      </c>
      <c r="T406" s="11">
        <f t="shared" ref="T406:T469" si="71">(J406-J407)/J407</f>
        <v>6.1482822088297579E-3</v>
      </c>
      <c r="U406" s="11">
        <f t="shared" si="63"/>
        <v>1.1046910415951884E-2</v>
      </c>
      <c r="V406" s="11" cm="1">
        <f t="array" ref="V406">SUMPRODUCT(L406:T406,TRANSPOSE($Y$5:$Y$13))</f>
        <v>1.0557047595239668E-2</v>
      </c>
    </row>
    <row r="407" spans="1:22" x14ac:dyDescent="0.2">
      <c r="A407" s="1">
        <v>43843</v>
      </c>
      <c r="B407" s="3">
        <v>62.799999</v>
      </c>
      <c r="C407" s="3">
        <v>14.783333000000001</v>
      </c>
      <c r="D407" s="3">
        <v>20.239999999999998</v>
      </c>
      <c r="E407" s="3">
        <v>48</v>
      </c>
      <c r="F407" s="3">
        <v>26.99</v>
      </c>
      <c r="G407" s="3">
        <v>33.5</v>
      </c>
      <c r="H407" s="3">
        <v>30.33</v>
      </c>
      <c r="I407" s="3">
        <v>58.163589000000002</v>
      </c>
      <c r="J407" s="3">
        <v>55.299999</v>
      </c>
      <c r="L407" s="11">
        <f t="shared" si="62"/>
        <v>3.1876404339855384E-2</v>
      </c>
      <c r="M407" s="11">
        <f t="shared" si="64"/>
        <v>1.1286907958776874E-3</v>
      </c>
      <c r="N407" s="11">
        <f t="shared" si="65"/>
        <v>2.4291497975708343E-2</v>
      </c>
      <c r="O407" s="11">
        <f t="shared" si="66"/>
        <v>3.1348381665554227E-3</v>
      </c>
      <c r="P407" s="11">
        <f t="shared" si="67"/>
        <v>1.9644919518130584E-2</v>
      </c>
      <c r="Q407" s="11">
        <f t="shared" si="68"/>
        <v>1.055800841278982E-2</v>
      </c>
      <c r="R407" s="11">
        <f t="shared" si="69"/>
        <v>1.9821605550049133E-3</v>
      </c>
      <c r="S407" s="11">
        <f t="shared" si="70"/>
        <v>-2.7696112467087027E-2</v>
      </c>
      <c r="T407" s="11">
        <f t="shared" si="71"/>
        <v>3.6356783426597067E-2</v>
      </c>
      <c r="U407" s="11">
        <f t="shared" si="63"/>
        <v>1.1253021191492466E-2</v>
      </c>
      <c r="V407" s="11" cm="1">
        <f t="array" ref="V407">SUMPRODUCT(L407:T407,TRANSPOSE($Y$5:$Y$13))</f>
        <v>1.3763397415002925E-2</v>
      </c>
    </row>
    <row r="408" spans="1:22" x14ac:dyDescent="0.2">
      <c r="A408" s="1">
        <v>43840</v>
      </c>
      <c r="B408" s="3">
        <v>60.860000999999997</v>
      </c>
      <c r="C408" s="3">
        <v>14.766666000000001</v>
      </c>
      <c r="D408" s="3">
        <v>19.760000000000002</v>
      </c>
      <c r="E408" s="3">
        <v>47.849997999999999</v>
      </c>
      <c r="F408" s="3">
        <v>26.469999000000001</v>
      </c>
      <c r="G408" s="3">
        <v>33.150002000000001</v>
      </c>
      <c r="H408" s="3">
        <v>30.27</v>
      </c>
      <c r="I408" s="3">
        <v>59.820380999999998</v>
      </c>
      <c r="J408" s="3">
        <v>53.360000999999997</v>
      </c>
      <c r="L408" s="11">
        <f t="shared" si="62"/>
        <v>-7.1777815200291077E-3</v>
      </c>
      <c r="M408" s="11">
        <f t="shared" si="64"/>
        <v>-7.838768372648762E-3</v>
      </c>
      <c r="N408" s="11">
        <f t="shared" si="65"/>
        <v>2.5960539979231565E-2</v>
      </c>
      <c r="O408" s="11">
        <f t="shared" si="66"/>
        <v>-1.9868947152806245E-2</v>
      </c>
      <c r="P408" s="11">
        <f t="shared" si="67"/>
        <v>-1.8854072398189362E-3</v>
      </c>
      <c r="Q408" s="11">
        <f t="shared" si="68"/>
        <v>-1.0447701492537294E-2</v>
      </c>
      <c r="R408" s="11">
        <f t="shared" si="69"/>
        <v>-4.2763157894736515E-3</v>
      </c>
      <c r="S408" s="11">
        <f t="shared" si="70"/>
        <v>-6.1850327853348952E-4</v>
      </c>
      <c r="T408" s="11">
        <f t="shared" si="71"/>
        <v>1.1257411093009068E-3</v>
      </c>
      <c r="U408" s="11">
        <f t="shared" si="63"/>
        <v>-2.7807937508127793E-3</v>
      </c>
      <c r="V408" s="11" cm="1">
        <f t="array" ref="V408">SUMPRODUCT(L408:T408,TRANSPOSE($Y$5:$Y$13))</f>
        <v>-2.3901402648014111E-3</v>
      </c>
    </row>
    <row r="409" spans="1:22" x14ac:dyDescent="0.2">
      <c r="A409" s="1">
        <v>43839</v>
      </c>
      <c r="B409" s="3">
        <v>61.299999</v>
      </c>
      <c r="C409" s="3">
        <v>14.883333</v>
      </c>
      <c r="D409" s="3">
        <v>19.260000000000002</v>
      </c>
      <c r="E409" s="3">
        <v>48.82</v>
      </c>
      <c r="F409" s="3">
        <v>26.52</v>
      </c>
      <c r="G409" s="3">
        <v>33.5</v>
      </c>
      <c r="H409" s="3">
        <v>30.4</v>
      </c>
      <c r="I409" s="3">
        <v>59.857402999999998</v>
      </c>
      <c r="J409" s="3">
        <v>53.299999</v>
      </c>
      <c r="L409" s="11">
        <f t="shared" si="62"/>
        <v>-1.1290338709677425E-2</v>
      </c>
      <c r="M409" s="11">
        <f t="shared" si="64"/>
        <v>-4.4775016789793152E-4</v>
      </c>
      <c r="N409" s="11">
        <f t="shared" si="65"/>
        <v>-6.1918991843085214E-3</v>
      </c>
      <c r="O409" s="11">
        <f t="shared" si="66"/>
        <v>5.3541802851280939E-3</v>
      </c>
      <c r="P409" s="11">
        <f t="shared" si="67"/>
        <v>2.7110766847405085E-2</v>
      </c>
      <c r="Q409" s="11">
        <f t="shared" si="68"/>
        <v>-6.2295759783322262E-3</v>
      </c>
      <c r="R409" s="11">
        <f t="shared" si="69"/>
        <v>-3.2786885245902103E-3</v>
      </c>
      <c r="S409" s="11">
        <f t="shared" si="70"/>
        <v>3.3727576649709351E-2</v>
      </c>
      <c r="T409" s="11">
        <f t="shared" si="71"/>
        <v>-1.3145695728409457E-2</v>
      </c>
      <c r="U409" s="11">
        <f t="shared" si="63"/>
        <v>2.8453972765585286E-3</v>
      </c>
      <c r="V409" s="11" cm="1">
        <f t="array" ref="V409">SUMPRODUCT(L409:T409,TRANSPOSE($Y$5:$Y$13))</f>
        <v>1.2462879760617301E-3</v>
      </c>
    </row>
    <row r="410" spans="1:22" x14ac:dyDescent="0.2">
      <c r="A410" s="1">
        <v>43838</v>
      </c>
      <c r="B410" s="3">
        <v>62</v>
      </c>
      <c r="C410" s="3">
        <v>14.89</v>
      </c>
      <c r="D410" s="3">
        <v>19.379999000000002</v>
      </c>
      <c r="E410" s="3">
        <v>48.560001</v>
      </c>
      <c r="F410" s="3">
        <v>25.82</v>
      </c>
      <c r="G410" s="3">
        <v>33.709999000000003</v>
      </c>
      <c r="H410" s="3">
        <v>30.5</v>
      </c>
      <c r="I410" s="3">
        <v>57.904426999999998</v>
      </c>
      <c r="J410" s="3">
        <v>54.009998000000003</v>
      </c>
      <c r="L410" s="11">
        <f t="shared" si="62"/>
        <v>-1.430845741467545E-2</v>
      </c>
      <c r="M410" s="11">
        <f t="shared" si="64"/>
        <v>-2.679169457468128E-3</v>
      </c>
      <c r="N410" s="11">
        <f t="shared" si="65"/>
        <v>1.0954564423578499E-2</v>
      </c>
      <c r="O410" s="11">
        <f t="shared" si="66"/>
        <v>-4.9179919040572102E-3</v>
      </c>
      <c r="P410" s="11">
        <f t="shared" si="67"/>
        <v>-7.3048827374087378E-3</v>
      </c>
      <c r="Q410" s="11">
        <f t="shared" si="68"/>
        <v>3.8712624257736202E-3</v>
      </c>
      <c r="R410" s="11">
        <f t="shared" si="69"/>
        <v>-6.1909740569900526E-3</v>
      </c>
      <c r="S410" s="11">
        <f t="shared" si="70"/>
        <v>-7.1417061227650328E-3</v>
      </c>
      <c r="T410" s="11">
        <f t="shared" si="71"/>
        <v>1.8514814814820483E-4</v>
      </c>
      <c r="U410" s="11">
        <f t="shared" si="63"/>
        <v>-3.059134077318254E-3</v>
      </c>
      <c r="V410" s="11" cm="1">
        <f t="array" ref="V410">SUMPRODUCT(L410:T410,TRANSPOSE($Y$5:$Y$13))</f>
        <v>-2.7347058547716086E-3</v>
      </c>
    </row>
    <row r="411" spans="1:22" x14ac:dyDescent="0.2">
      <c r="A411" s="1">
        <v>43837</v>
      </c>
      <c r="B411" s="3">
        <v>62.900002000000001</v>
      </c>
      <c r="C411" s="3">
        <v>14.93</v>
      </c>
      <c r="D411" s="3">
        <v>19.170000000000002</v>
      </c>
      <c r="E411" s="3">
        <v>48.799999</v>
      </c>
      <c r="F411" s="3">
        <v>26.01</v>
      </c>
      <c r="G411" s="3">
        <v>33.580002</v>
      </c>
      <c r="H411" s="3">
        <v>30.690000999999999</v>
      </c>
      <c r="I411" s="3">
        <v>58.320937999999998</v>
      </c>
      <c r="J411" s="3">
        <v>54</v>
      </c>
      <c r="L411" s="11">
        <f t="shared" si="62"/>
        <v>4.6318638455221193E-3</v>
      </c>
      <c r="M411" s="11">
        <f t="shared" si="64"/>
        <v>3.2265522753296166E-2</v>
      </c>
      <c r="N411" s="11">
        <f t="shared" si="65"/>
        <v>3.1396649325136743E-3</v>
      </c>
      <c r="O411" s="11">
        <f t="shared" si="66"/>
        <v>9.7247461318126852E-3</v>
      </c>
      <c r="P411" s="11">
        <f t="shared" si="67"/>
        <v>-1.9969893746424449E-2</v>
      </c>
      <c r="Q411" s="11">
        <f t="shared" si="68"/>
        <v>2.6873692035014932E-3</v>
      </c>
      <c r="R411" s="11">
        <f t="shared" si="69"/>
        <v>-3.8947745503011048E-3</v>
      </c>
      <c r="S411" s="11">
        <f t="shared" si="70"/>
        <v>-1.9604781676371842E-2</v>
      </c>
      <c r="T411" s="11">
        <f t="shared" si="71"/>
        <v>7.2747433823029239E-3</v>
      </c>
      <c r="U411" s="11">
        <f t="shared" si="63"/>
        <v>1.8060511417612956E-3</v>
      </c>
      <c r="V411" s="11" cm="1">
        <f t="array" ref="V411">SUMPRODUCT(L411:T411,TRANSPOSE($Y$5:$Y$13))</f>
        <v>2.3529203658154601E-3</v>
      </c>
    </row>
    <row r="412" spans="1:22" x14ac:dyDescent="0.2">
      <c r="A412" s="1">
        <v>43836</v>
      </c>
      <c r="B412" s="3">
        <v>62.610000999999997</v>
      </c>
      <c r="C412" s="3">
        <v>14.463333</v>
      </c>
      <c r="D412" s="3">
        <v>19.110001</v>
      </c>
      <c r="E412" s="3">
        <v>48.330002</v>
      </c>
      <c r="F412" s="3">
        <v>26.540001</v>
      </c>
      <c r="G412" s="3">
        <v>33.490001999999997</v>
      </c>
      <c r="H412" s="3">
        <v>30.809999000000001</v>
      </c>
      <c r="I412" s="3">
        <v>59.487170999999996</v>
      </c>
      <c r="J412" s="3">
        <v>53.610000999999997</v>
      </c>
      <c r="L412" s="11">
        <f t="shared" si="62"/>
        <v>-6.1904603174603662E-3</v>
      </c>
      <c r="M412" s="11">
        <f t="shared" si="64"/>
        <v>-9.5868525356505117E-3</v>
      </c>
      <c r="N412" s="11">
        <f t="shared" si="65"/>
        <v>8.9757123032887763E-3</v>
      </c>
      <c r="O412" s="11">
        <f t="shared" si="66"/>
        <v>-1.1656441241045354E-2</v>
      </c>
      <c r="P412" s="11">
        <f t="shared" si="67"/>
        <v>-1.1545586592178816E-2</v>
      </c>
      <c r="Q412" s="11">
        <f t="shared" si="68"/>
        <v>-1.7882861933916226E-3</v>
      </c>
      <c r="R412" s="11">
        <f t="shared" si="69"/>
        <v>1.1822594028814677E-2</v>
      </c>
      <c r="S412" s="11">
        <f t="shared" si="70"/>
        <v>4.061909664664326E-3</v>
      </c>
      <c r="T412" s="11">
        <f t="shared" si="71"/>
        <v>-5.9335991099574046E-3</v>
      </c>
      <c r="U412" s="11">
        <f t="shared" si="63"/>
        <v>-2.4267788881018105E-3</v>
      </c>
      <c r="V412" s="11" cm="1">
        <f t="array" ref="V412">SUMPRODUCT(L412:T412,TRANSPOSE($Y$5:$Y$13))</f>
        <v>-2.7774609102873705E-3</v>
      </c>
    </row>
    <row r="413" spans="1:22" x14ac:dyDescent="0.2">
      <c r="A413" s="1">
        <v>43833</v>
      </c>
      <c r="B413" s="3">
        <v>63</v>
      </c>
      <c r="C413" s="3">
        <v>14.603332999999999</v>
      </c>
      <c r="D413" s="3">
        <v>18.940000999999999</v>
      </c>
      <c r="E413" s="3">
        <v>48.900002000000001</v>
      </c>
      <c r="F413" s="3">
        <v>26.85</v>
      </c>
      <c r="G413" s="3">
        <v>33.549999</v>
      </c>
      <c r="H413" s="3">
        <v>30.450001</v>
      </c>
      <c r="I413" s="3">
        <v>59.246516999999997</v>
      </c>
      <c r="J413" s="3">
        <v>53.93</v>
      </c>
      <c r="L413" s="11">
        <f t="shared" si="62"/>
        <v>-1.42387732749178E-2</v>
      </c>
      <c r="M413" s="11">
        <f t="shared" si="64"/>
        <v>-2.8818422913696497E-2</v>
      </c>
      <c r="N413" s="11">
        <f t="shared" si="65"/>
        <v>2.4337533802055184E-2</v>
      </c>
      <c r="O413" s="11">
        <f t="shared" si="66"/>
        <v>-1.4510217946598495E-2</v>
      </c>
      <c r="P413" s="11">
        <f t="shared" si="67"/>
        <v>1.8657090248399538E-3</v>
      </c>
      <c r="Q413" s="11">
        <f t="shared" si="68"/>
        <v>0</v>
      </c>
      <c r="R413" s="11">
        <f t="shared" si="69"/>
        <v>-8.1433222103152372E-3</v>
      </c>
      <c r="S413" s="11">
        <f t="shared" si="70"/>
        <v>3.710296883057157E-2</v>
      </c>
      <c r="T413" s="11">
        <f t="shared" si="71"/>
        <v>-7.3624514131253047E-3</v>
      </c>
      <c r="U413" s="11">
        <f t="shared" si="63"/>
        <v>-1.0852195667985138E-3</v>
      </c>
      <c r="V413" s="11" cm="1">
        <f t="array" ref="V413">SUMPRODUCT(L413:T413,TRANSPOSE($Y$5:$Y$13))</f>
        <v>-1.7129427514311925E-3</v>
      </c>
    </row>
    <row r="414" spans="1:22" x14ac:dyDescent="0.2">
      <c r="A414" s="1">
        <v>43832</v>
      </c>
      <c r="B414" s="3">
        <v>63.91</v>
      </c>
      <c r="C414" s="3">
        <v>15.036666</v>
      </c>
      <c r="D414" s="3">
        <v>18.489999999999998</v>
      </c>
      <c r="E414" s="3">
        <v>49.619999</v>
      </c>
      <c r="F414" s="3">
        <v>26.799999</v>
      </c>
      <c r="G414" s="3">
        <v>33.549999</v>
      </c>
      <c r="H414" s="3">
        <v>30.700001</v>
      </c>
      <c r="I414" s="3">
        <v>57.126938000000003</v>
      </c>
      <c r="J414" s="3">
        <v>54.330002</v>
      </c>
      <c r="L414" s="11">
        <f t="shared" si="62"/>
        <v>-1.4062500000000533E-3</v>
      </c>
      <c r="M414" s="11">
        <f t="shared" si="64"/>
        <v>4.980216545967342E-2</v>
      </c>
      <c r="N414" s="11">
        <f t="shared" si="65"/>
        <v>0</v>
      </c>
      <c r="O414" s="11">
        <f t="shared" si="66"/>
        <v>4.6614617169373623E-2</v>
      </c>
      <c r="P414" s="11">
        <f t="shared" si="67"/>
        <v>3.4349633346198359E-2</v>
      </c>
      <c r="Q414" s="11">
        <f t="shared" si="68"/>
        <v>1.3595197196084433E-2</v>
      </c>
      <c r="R414" s="11">
        <f t="shared" si="69"/>
        <v>1.722998674618955E-2</v>
      </c>
      <c r="S414" s="11">
        <f t="shared" si="70"/>
        <v>2.2870446129349662E-2</v>
      </c>
      <c r="T414" s="11">
        <f t="shared" si="71"/>
        <v>1.9324634508904974E-2</v>
      </c>
      <c r="U414" s="11">
        <f t="shared" si="63"/>
        <v>2.248671450619711E-2</v>
      </c>
      <c r="V414" s="11" cm="1">
        <f t="array" ref="V414">SUMPRODUCT(L414:T414,TRANSPOSE($Y$5:$Y$13))</f>
        <v>2.2170506506467895E-2</v>
      </c>
    </row>
    <row r="415" spans="1:22" x14ac:dyDescent="0.2">
      <c r="A415" s="1">
        <v>43829</v>
      </c>
      <c r="B415" s="3">
        <v>64</v>
      </c>
      <c r="C415" s="3">
        <v>14.323333</v>
      </c>
      <c r="D415" s="3">
        <v>18.489999999999998</v>
      </c>
      <c r="E415" s="3">
        <v>47.41</v>
      </c>
      <c r="F415" s="3">
        <v>25.91</v>
      </c>
      <c r="G415" s="3">
        <v>33.099997999999999</v>
      </c>
      <c r="H415" s="3">
        <v>30.18</v>
      </c>
      <c r="I415" s="3">
        <v>55.849632</v>
      </c>
      <c r="J415" s="3">
        <v>53.299999</v>
      </c>
      <c r="L415" s="11">
        <f t="shared" si="62"/>
        <v>3.1259768677716673E-4</v>
      </c>
      <c r="M415" s="11">
        <f t="shared" si="64"/>
        <v>-2.8047931601354048E-2</v>
      </c>
      <c r="N415" s="11">
        <f t="shared" si="65"/>
        <v>1.1487909656022439E-2</v>
      </c>
      <c r="O415" s="11">
        <f t="shared" si="66"/>
        <v>-1.1467869296661302E-2</v>
      </c>
      <c r="P415" s="11">
        <f t="shared" si="67"/>
        <v>-6.8991950939057004E-3</v>
      </c>
      <c r="Q415" s="11">
        <f t="shared" si="68"/>
        <v>1.8158897755482135E-3</v>
      </c>
      <c r="R415" s="11">
        <f t="shared" si="69"/>
        <v>-1.1140235910878107E-2</v>
      </c>
      <c r="S415" s="11">
        <f t="shared" si="70"/>
        <v>3.6591628631298563E-2</v>
      </c>
      <c r="T415" s="11">
        <f t="shared" si="71"/>
        <v>-5.5969964774998625E-3</v>
      </c>
      <c r="U415" s="11">
        <f t="shared" si="63"/>
        <v>-1.4382447367391814E-3</v>
      </c>
      <c r="V415" s="11" cm="1">
        <f t="array" ref="V415">SUMPRODUCT(L415:T415,TRANSPOSE($Y$5:$Y$13))</f>
        <v>-1.8541199108152498E-3</v>
      </c>
    </row>
    <row r="416" spans="1:22" x14ac:dyDescent="0.2">
      <c r="A416" s="1">
        <v>43826</v>
      </c>
      <c r="B416" s="3">
        <v>63.98</v>
      </c>
      <c r="C416" s="3">
        <v>14.736666</v>
      </c>
      <c r="D416" s="3">
        <v>18.280000999999999</v>
      </c>
      <c r="E416" s="3">
        <v>47.959999000000003</v>
      </c>
      <c r="F416" s="3">
        <v>26.09</v>
      </c>
      <c r="G416" s="3">
        <v>33.040000999999997</v>
      </c>
      <c r="H416" s="3">
        <v>30.52</v>
      </c>
      <c r="I416" s="3">
        <v>53.878143000000001</v>
      </c>
      <c r="J416" s="3">
        <v>53.599997999999999</v>
      </c>
      <c r="L416" s="11">
        <f t="shared" si="62"/>
        <v>-1.2196959033362417E-2</v>
      </c>
      <c r="M416" s="11">
        <f t="shared" si="64"/>
        <v>-5.2304437299035438E-2</v>
      </c>
      <c r="N416" s="11">
        <f t="shared" si="65"/>
        <v>-1.2958909287257072E-2</v>
      </c>
      <c r="O416" s="11">
        <f t="shared" si="66"/>
        <v>-6.2163077586534438E-3</v>
      </c>
      <c r="P416" s="11">
        <f t="shared" si="67"/>
        <v>-2.1013133208255111E-2</v>
      </c>
      <c r="Q416" s="11">
        <f t="shared" si="68"/>
        <v>-6.9131048993088815E-3</v>
      </c>
      <c r="R416" s="11">
        <f t="shared" si="69"/>
        <v>-1.2617275962471711E-2</v>
      </c>
      <c r="S416" s="11">
        <f t="shared" si="70"/>
        <v>3.6207219355258642E-3</v>
      </c>
      <c r="T416" s="11">
        <f t="shared" si="71"/>
        <v>-2.1719346199683357E-2</v>
      </c>
      <c r="U416" s="11">
        <f t="shared" si="63"/>
        <v>-1.5813194634722399E-2</v>
      </c>
      <c r="V416" s="11" cm="1">
        <f t="array" ref="V416">SUMPRODUCT(L416:T416,TRANSPOSE($Y$5:$Y$13))</f>
        <v>-1.6403809791218492E-2</v>
      </c>
    </row>
    <row r="417" spans="1:22" x14ac:dyDescent="0.2">
      <c r="A417" s="1">
        <v>43825</v>
      </c>
      <c r="B417" s="3">
        <v>64.769997000000004</v>
      </c>
      <c r="C417" s="3">
        <v>15.55</v>
      </c>
      <c r="D417" s="3">
        <v>18.52</v>
      </c>
      <c r="E417" s="3">
        <v>48.259998000000003</v>
      </c>
      <c r="F417" s="3">
        <v>26.65</v>
      </c>
      <c r="G417" s="3">
        <v>33.270000000000003</v>
      </c>
      <c r="H417" s="3">
        <v>30.91</v>
      </c>
      <c r="I417" s="3">
        <v>53.683768999999998</v>
      </c>
      <c r="J417" s="3">
        <v>54.790000999999997</v>
      </c>
      <c r="L417" s="11">
        <f t="shared" si="62"/>
        <v>-1.5653585912450491E-2</v>
      </c>
      <c r="M417" s="11">
        <f t="shared" si="64"/>
        <v>-4.6938127734971703E-3</v>
      </c>
      <c r="N417" s="11">
        <f t="shared" si="65"/>
        <v>6.5217391304348369E-3</v>
      </c>
      <c r="O417" s="11">
        <f t="shared" si="66"/>
        <v>3.1196560495653076E-2</v>
      </c>
      <c r="P417" s="11">
        <f t="shared" si="67"/>
        <v>9.46969696969697E-3</v>
      </c>
      <c r="Q417" s="11">
        <f t="shared" si="68"/>
        <v>3.4193412135120539E-2</v>
      </c>
      <c r="R417" s="11">
        <f t="shared" si="69"/>
        <v>1.3442622950819676E-2</v>
      </c>
      <c r="S417" s="11">
        <f t="shared" si="70"/>
        <v>1.6295748863387687E-2</v>
      </c>
      <c r="T417" s="11">
        <f t="shared" si="71"/>
        <v>3.8475447472500327E-3</v>
      </c>
      <c r="U417" s="11">
        <f t="shared" si="63"/>
        <v>1.0513325178490572E-2</v>
      </c>
      <c r="V417" s="11" cm="1">
        <f t="array" ref="V417">SUMPRODUCT(L417:T417,TRANSPOSE($Y$5:$Y$13))</f>
        <v>9.8467471353665195E-3</v>
      </c>
    </row>
    <row r="418" spans="1:22" x14ac:dyDescent="0.2">
      <c r="A418" s="1">
        <v>43822</v>
      </c>
      <c r="B418" s="3">
        <v>65.800003000000004</v>
      </c>
      <c r="C418" s="3">
        <v>15.623333000000001</v>
      </c>
      <c r="D418" s="3">
        <v>18.399999999999999</v>
      </c>
      <c r="E418" s="3">
        <v>46.799999</v>
      </c>
      <c r="F418" s="3">
        <v>26.4</v>
      </c>
      <c r="G418" s="3">
        <v>32.169998</v>
      </c>
      <c r="H418" s="3">
        <v>30.5</v>
      </c>
      <c r="I418" s="3">
        <v>52.822978999999997</v>
      </c>
      <c r="J418" s="3">
        <v>54.580002</v>
      </c>
      <c r="L418" s="11">
        <f t="shared" si="62"/>
        <v>1.637326278570481E-2</v>
      </c>
      <c r="M418" s="11">
        <f t="shared" si="64"/>
        <v>-4.5417555083145461E-2</v>
      </c>
      <c r="N418" s="11">
        <f t="shared" si="65"/>
        <v>-1.8143009605122724E-2</v>
      </c>
      <c r="O418" s="11">
        <f t="shared" si="66"/>
        <v>2.7603471876973491E-2</v>
      </c>
      <c r="P418" s="11">
        <f t="shared" si="67"/>
        <v>9.9464808701790319E-3</v>
      </c>
      <c r="Q418" s="11">
        <f t="shared" si="68"/>
        <v>4.9984383004334013E-3</v>
      </c>
      <c r="R418" s="11">
        <f t="shared" si="69"/>
        <v>7.9312623925974369E-3</v>
      </c>
      <c r="S418" s="11">
        <f t="shared" si="70"/>
        <v>1.0804125111204625E-2</v>
      </c>
      <c r="T418" s="11">
        <f t="shared" si="71"/>
        <v>-3.8327978858769558E-3</v>
      </c>
      <c r="U418" s="11">
        <f t="shared" si="63"/>
        <v>1.1404087514386286E-3</v>
      </c>
      <c r="V418" s="11" cm="1">
        <f t="array" ref="V418">SUMPRODUCT(L418:T418,TRANSPOSE($Y$5:$Y$13))</f>
        <v>6.4308808770707012E-4</v>
      </c>
    </row>
    <row r="419" spans="1:22" x14ac:dyDescent="0.2">
      <c r="A419" s="1">
        <v>43819</v>
      </c>
      <c r="B419" s="3">
        <v>64.739998</v>
      </c>
      <c r="C419" s="3">
        <v>16.366667</v>
      </c>
      <c r="D419" s="3">
        <v>18.739999999999998</v>
      </c>
      <c r="E419" s="3">
        <v>45.542858000000003</v>
      </c>
      <c r="F419" s="3">
        <v>26.139999</v>
      </c>
      <c r="G419" s="3">
        <v>32.009998000000003</v>
      </c>
      <c r="H419" s="3">
        <v>30.26</v>
      </c>
      <c r="I419" s="3">
        <v>52.258372999999999</v>
      </c>
      <c r="J419" s="3">
        <v>54.790000999999997</v>
      </c>
      <c r="L419" s="11">
        <f t="shared" si="62"/>
        <v>0</v>
      </c>
      <c r="M419" s="11">
        <f t="shared" si="64"/>
        <v>1.1120325828679035E-2</v>
      </c>
      <c r="N419" s="11">
        <f t="shared" si="65"/>
        <v>-1.420305102577607E-2</v>
      </c>
      <c r="O419" s="11">
        <f t="shared" si="66"/>
        <v>-2.2085817170382542E-2</v>
      </c>
      <c r="P419" s="11">
        <f t="shared" si="67"/>
        <v>1.1218529980657567E-2</v>
      </c>
      <c r="Q419" s="11">
        <f t="shared" si="68"/>
        <v>1.1054895767530099E-2</v>
      </c>
      <c r="R419" s="11">
        <f t="shared" si="69"/>
        <v>-1.1434204134785846E-2</v>
      </c>
      <c r="S419" s="11">
        <f t="shared" si="70"/>
        <v>4.2689678222666196E-3</v>
      </c>
      <c r="T419" s="11">
        <f t="shared" si="71"/>
        <v>1.4629648148148086E-2</v>
      </c>
      <c r="U419" s="11">
        <f t="shared" si="63"/>
        <v>5.076994684818833E-4</v>
      </c>
      <c r="V419" s="11" cm="1">
        <f t="array" ref="V419">SUMPRODUCT(L419:T419,TRANSPOSE($Y$5:$Y$13))</f>
        <v>1.9198943364485037E-3</v>
      </c>
    </row>
    <row r="420" spans="1:22" x14ac:dyDescent="0.2">
      <c r="A420" s="1">
        <v>43818</v>
      </c>
      <c r="B420" s="3">
        <v>64.739998</v>
      </c>
      <c r="C420" s="3">
        <v>16.186665999999999</v>
      </c>
      <c r="D420" s="3">
        <v>19.010000000000002</v>
      </c>
      <c r="E420" s="3">
        <v>46.571426000000002</v>
      </c>
      <c r="F420" s="3">
        <v>25.85</v>
      </c>
      <c r="G420" s="3">
        <v>31.66</v>
      </c>
      <c r="H420" s="3">
        <v>30.610001</v>
      </c>
      <c r="I420" s="3">
        <v>52.036231999999998</v>
      </c>
      <c r="J420" s="3">
        <v>54</v>
      </c>
      <c r="L420" s="11">
        <f t="shared" si="62"/>
        <v>1.1562468749999999E-2</v>
      </c>
      <c r="M420" s="11">
        <f t="shared" si="64"/>
        <v>0</v>
      </c>
      <c r="N420" s="11">
        <f t="shared" si="65"/>
        <v>1.1708301665337931E-2</v>
      </c>
      <c r="O420" s="11">
        <f t="shared" si="66"/>
        <v>1.1793848394862338E-2</v>
      </c>
      <c r="P420" s="11">
        <f t="shared" si="67"/>
        <v>5.8365367378779912E-3</v>
      </c>
      <c r="Q420" s="11">
        <f t="shared" si="68"/>
        <v>1.800643086816716E-2</v>
      </c>
      <c r="R420" s="11">
        <f t="shared" si="69"/>
        <v>2.2920758908947085E-3</v>
      </c>
      <c r="S420" s="11">
        <f t="shared" si="70"/>
        <v>2.6099641805348406E-2</v>
      </c>
      <c r="T420" s="11">
        <f t="shared" si="71"/>
        <v>9.912081355674493E-3</v>
      </c>
      <c r="U420" s="11">
        <f t="shared" si="63"/>
        <v>1.0801265052018115E-2</v>
      </c>
      <c r="V420" s="11" cm="1">
        <f t="array" ref="V420">SUMPRODUCT(L420:T420,TRANSPOSE($Y$5:$Y$13))</f>
        <v>1.0712346682383753E-2</v>
      </c>
    </row>
    <row r="421" spans="1:22" x14ac:dyDescent="0.2">
      <c r="A421" s="1">
        <v>43817</v>
      </c>
      <c r="B421" s="3">
        <v>64</v>
      </c>
      <c r="C421" s="3">
        <v>16.186665999999999</v>
      </c>
      <c r="D421" s="3">
        <v>18.790001</v>
      </c>
      <c r="E421" s="3">
        <v>46.028571999999997</v>
      </c>
      <c r="F421" s="3">
        <v>25.700001</v>
      </c>
      <c r="G421" s="3">
        <v>31.1</v>
      </c>
      <c r="H421" s="3">
        <v>30.540001</v>
      </c>
      <c r="I421" s="3">
        <v>50.712649999999996</v>
      </c>
      <c r="J421" s="3">
        <v>53.470001000000003</v>
      </c>
      <c r="L421" s="11">
        <f t="shared" si="62"/>
        <v>-7.7519379844961239E-3</v>
      </c>
      <c r="M421" s="11">
        <f t="shared" si="64"/>
        <v>1.6112115505335794E-2</v>
      </c>
      <c r="N421" s="11">
        <f t="shared" si="65"/>
        <v>-1.0631579512577895E-3</v>
      </c>
      <c r="O421" s="11">
        <f t="shared" si="66"/>
        <v>2.1775912285175374E-2</v>
      </c>
      <c r="P421" s="11">
        <f t="shared" si="67"/>
        <v>-6.5713178750939419E-3</v>
      </c>
      <c r="Q421" s="11">
        <f t="shared" si="68"/>
        <v>1.2040351448096355E-2</v>
      </c>
      <c r="R421" s="11">
        <f t="shared" si="69"/>
        <v>2.3115611390284715E-2</v>
      </c>
      <c r="S421" s="11">
        <f t="shared" si="70"/>
        <v>4.2155244003402618E-3</v>
      </c>
      <c r="T421" s="11">
        <f t="shared" si="71"/>
        <v>9.3603522785612599E-4</v>
      </c>
      <c r="U421" s="11">
        <f t="shared" si="63"/>
        <v>6.9787929384711967E-3</v>
      </c>
      <c r="V421" s="11" cm="1">
        <f t="array" ref="V421">SUMPRODUCT(L421:T421,TRANSPOSE($Y$5:$Y$13))</f>
        <v>6.3745171674096908E-3</v>
      </c>
    </row>
    <row r="422" spans="1:22" x14ac:dyDescent="0.2">
      <c r="A422" s="1">
        <v>43816</v>
      </c>
      <c r="B422" s="3">
        <v>64.5</v>
      </c>
      <c r="C422" s="3">
        <v>15.93</v>
      </c>
      <c r="D422" s="3">
        <v>18.809999000000001</v>
      </c>
      <c r="E422" s="3">
        <v>45.047618999999997</v>
      </c>
      <c r="F422" s="3">
        <v>25.870000999999998</v>
      </c>
      <c r="G422" s="3">
        <v>30.73</v>
      </c>
      <c r="H422" s="3">
        <v>29.85</v>
      </c>
      <c r="I422" s="3">
        <v>50.499766999999999</v>
      </c>
      <c r="J422" s="3">
        <v>53.419998</v>
      </c>
      <c r="L422" s="11">
        <f t="shared" si="62"/>
        <v>-3.0911438836696732E-3</v>
      </c>
      <c r="M422" s="11">
        <f t="shared" si="64"/>
        <v>3.3968023970922731E-2</v>
      </c>
      <c r="N422" s="11">
        <f t="shared" si="65"/>
        <v>8.0385316184352143E-3</v>
      </c>
      <c r="O422" s="11">
        <f t="shared" si="66"/>
        <v>-4.2105001152347244E-3</v>
      </c>
      <c r="P422" s="11">
        <f t="shared" si="67"/>
        <v>-2.3773547169811379E-2</v>
      </c>
      <c r="Q422" s="11">
        <f t="shared" si="68"/>
        <v>-1.1261261261261193E-2</v>
      </c>
      <c r="R422" s="11">
        <f t="shared" si="69"/>
        <v>1.4960897653859275E-2</v>
      </c>
      <c r="S422" s="11">
        <f t="shared" si="70"/>
        <v>2.9411932350291597E-3</v>
      </c>
      <c r="T422" s="11">
        <f t="shared" si="71"/>
        <v>1.4997750281214141E-3</v>
      </c>
      <c r="U422" s="11">
        <f t="shared" si="63"/>
        <v>2.1191076751545359E-3</v>
      </c>
      <c r="V422" s="11" cm="1">
        <f t="array" ref="V422">SUMPRODUCT(L422:T422,TRANSPOSE($Y$5:$Y$13))</f>
        <v>2.0571744104512239E-3</v>
      </c>
    </row>
    <row r="423" spans="1:22" x14ac:dyDescent="0.2">
      <c r="A423" s="1">
        <v>43815</v>
      </c>
      <c r="B423" s="3">
        <v>64.699996999999996</v>
      </c>
      <c r="C423" s="3">
        <v>15.406666</v>
      </c>
      <c r="D423" s="3">
        <v>18.66</v>
      </c>
      <c r="E423" s="3">
        <v>45.238093999999997</v>
      </c>
      <c r="F423" s="3">
        <v>26.5</v>
      </c>
      <c r="G423" s="3">
        <v>31.08</v>
      </c>
      <c r="H423" s="3">
        <v>29.41</v>
      </c>
      <c r="I423" s="3">
        <v>50.351672999999998</v>
      </c>
      <c r="J423" s="3">
        <v>53.34</v>
      </c>
      <c r="L423" s="11">
        <f t="shared" si="62"/>
        <v>-1.3719527857302728E-2</v>
      </c>
      <c r="M423" s="11">
        <f t="shared" si="64"/>
        <v>-3.8793105120392786E-3</v>
      </c>
      <c r="N423" s="11">
        <f t="shared" si="65"/>
        <v>-9.5541401273885208E-3</v>
      </c>
      <c r="O423" s="11">
        <f t="shared" si="66"/>
        <v>1.4307085843367019E-2</v>
      </c>
      <c r="P423" s="11">
        <f t="shared" si="67"/>
        <v>-8.9753178758413786E-3</v>
      </c>
      <c r="Q423" s="11">
        <f t="shared" si="68"/>
        <v>7.45542949756878E-3</v>
      </c>
      <c r="R423" s="11">
        <f t="shared" si="69"/>
        <v>-1.9012675116744506E-2</v>
      </c>
      <c r="S423" s="11">
        <f t="shared" si="70"/>
        <v>1.6252557677379577E-2</v>
      </c>
      <c r="T423" s="11">
        <f t="shared" si="71"/>
        <v>-7.8124630882612685E-3</v>
      </c>
      <c r="U423" s="11">
        <f t="shared" si="63"/>
        <v>-2.7709290621402561E-3</v>
      </c>
      <c r="V423" s="11" cm="1">
        <f t="array" ref="V423">SUMPRODUCT(L423:T423,TRANSPOSE($Y$5:$Y$13))</f>
        <v>-3.2750824647523576E-3</v>
      </c>
    </row>
    <row r="424" spans="1:22" x14ac:dyDescent="0.2">
      <c r="A424" s="1">
        <v>43812</v>
      </c>
      <c r="B424" s="3">
        <v>65.599997999999999</v>
      </c>
      <c r="C424" s="3">
        <v>15.466666</v>
      </c>
      <c r="D424" s="3">
        <v>18.84</v>
      </c>
      <c r="E424" s="3">
        <v>44.599997999999999</v>
      </c>
      <c r="F424" s="3">
        <v>26.74</v>
      </c>
      <c r="G424" s="3">
        <v>30.85</v>
      </c>
      <c r="H424" s="3">
        <v>29.98</v>
      </c>
      <c r="I424" s="3">
        <v>49.546416999999998</v>
      </c>
      <c r="J424" s="3">
        <v>53.759998000000003</v>
      </c>
      <c r="L424" s="11">
        <f t="shared" si="62"/>
        <v>-4.5709281382419779E-4</v>
      </c>
      <c r="M424" s="11">
        <f t="shared" si="64"/>
        <v>-6.2112016751167667E-3</v>
      </c>
      <c r="N424" s="11">
        <f t="shared" si="65"/>
        <v>4.7999999999999926E-3</v>
      </c>
      <c r="O424" s="11">
        <f t="shared" si="66"/>
        <v>1.0688093430698863E-3</v>
      </c>
      <c r="P424" s="11">
        <f t="shared" si="67"/>
        <v>2.1000342840765823E-2</v>
      </c>
      <c r="Q424" s="11">
        <f t="shared" si="68"/>
        <v>1.6234091436172365E-3</v>
      </c>
      <c r="R424" s="11">
        <f t="shared" si="69"/>
        <v>-3.1966387858133313E-2</v>
      </c>
      <c r="S424" s="11">
        <f t="shared" si="70"/>
        <v>5.6073822691041068E-4</v>
      </c>
      <c r="T424" s="11">
        <f t="shared" si="71"/>
        <v>1.529739347880282E-2</v>
      </c>
      <c r="U424" s="11">
        <f t="shared" si="63"/>
        <v>6.351122984546545E-4</v>
      </c>
      <c r="V424" s="11" cm="1">
        <f t="array" ref="V424">SUMPRODUCT(L424:T424,TRANSPOSE($Y$5:$Y$13))</f>
        <v>2.1013404164894711E-3</v>
      </c>
    </row>
    <row r="425" spans="1:22" x14ac:dyDescent="0.2">
      <c r="A425" s="1">
        <v>43811</v>
      </c>
      <c r="B425" s="3">
        <v>65.629997000000003</v>
      </c>
      <c r="C425" s="3">
        <v>15.563333</v>
      </c>
      <c r="D425" s="3">
        <v>18.75</v>
      </c>
      <c r="E425" s="3">
        <v>44.552379999999999</v>
      </c>
      <c r="F425" s="3">
        <v>26.190000999999999</v>
      </c>
      <c r="G425" s="3">
        <v>30.799999</v>
      </c>
      <c r="H425" s="3">
        <v>30.969999000000001</v>
      </c>
      <c r="I425" s="3">
        <v>49.518650000000001</v>
      </c>
      <c r="J425" s="3">
        <v>52.950001</v>
      </c>
      <c r="L425" s="11">
        <f t="shared" si="62"/>
        <v>-5.6061060606060146E-3</v>
      </c>
      <c r="M425" s="11">
        <f t="shared" si="64"/>
        <v>1.0606038961038943E-2</v>
      </c>
      <c r="N425" s="11">
        <f t="shared" si="65"/>
        <v>1.0237123396396666E-2</v>
      </c>
      <c r="O425" s="11">
        <f t="shared" si="66"/>
        <v>2.5652252936046172E-2</v>
      </c>
      <c r="P425" s="11">
        <f t="shared" si="67"/>
        <v>6.0323884197413531E-2</v>
      </c>
      <c r="Q425" s="11">
        <f t="shared" si="68"/>
        <v>1.1494186814640806E-2</v>
      </c>
      <c r="R425" s="11">
        <f t="shared" si="69"/>
        <v>1.8749967105263252E-2</v>
      </c>
      <c r="S425" s="11">
        <f t="shared" si="70"/>
        <v>2.3335897735867486E-2</v>
      </c>
      <c r="T425" s="11">
        <f t="shared" si="71"/>
        <v>2.1609086567274297E-2</v>
      </c>
      <c r="U425" s="11">
        <f t="shared" si="63"/>
        <v>1.9600259072592791E-2</v>
      </c>
      <c r="V425" s="11" cm="1">
        <f t="array" ref="V425">SUMPRODUCT(L425:T425,TRANSPOSE($Y$5:$Y$13))</f>
        <v>1.9801141822060945E-2</v>
      </c>
    </row>
    <row r="426" spans="1:22" x14ac:dyDescent="0.2">
      <c r="A426" s="1">
        <v>43810</v>
      </c>
      <c r="B426" s="3">
        <v>66</v>
      </c>
      <c r="C426" s="3">
        <v>15.4</v>
      </c>
      <c r="D426" s="3">
        <v>18.559999000000001</v>
      </c>
      <c r="E426" s="3">
        <v>43.438094999999997</v>
      </c>
      <c r="F426" s="3">
        <v>24.700001</v>
      </c>
      <c r="G426" s="3">
        <v>30.450001</v>
      </c>
      <c r="H426" s="3">
        <v>30.4</v>
      </c>
      <c r="I426" s="3">
        <v>48.389439000000003</v>
      </c>
      <c r="J426" s="3">
        <v>51.830002</v>
      </c>
      <c r="L426" s="11">
        <f t="shared" si="62"/>
        <v>-9.0089792495188867E-3</v>
      </c>
      <c r="M426" s="11">
        <f t="shared" si="64"/>
        <v>-1.2609489746077812E-2</v>
      </c>
      <c r="N426" s="11">
        <f t="shared" si="65"/>
        <v>1.5317176404968613E-2</v>
      </c>
      <c r="O426" s="11">
        <f t="shared" si="66"/>
        <v>2.6096764601472863E-2</v>
      </c>
      <c r="P426" s="11">
        <f t="shared" si="67"/>
        <v>-6.03617706237429E-3</v>
      </c>
      <c r="Q426" s="11">
        <f t="shared" si="68"/>
        <v>-3.2732570629543838E-3</v>
      </c>
      <c r="R426" s="11">
        <f t="shared" si="69"/>
        <v>-1.314093255121778E-3</v>
      </c>
      <c r="S426" s="11">
        <f t="shared" si="70"/>
        <v>2.0296632071202633E-2</v>
      </c>
      <c r="T426" s="11">
        <f t="shared" si="71"/>
        <v>1.2304706790923697E-2</v>
      </c>
      <c r="U426" s="11">
        <f t="shared" si="63"/>
        <v>4.6414759436134061E-3</v>
      </c>
      <c r="V426" s="11" cm="1">
        <f t="array" ref="V426">SUMPRODUCT(L426:T426,TRANSPOSE($Y$5:$Y$13))</f>
        <v>5.4077990283444358E-3</v>
      </c>
    </row>
    <row r="427" spans="1:22" x14ac:dyDescent="0.2">
      <c r="A427" s="1">
        <v>43809</v>
      </c>
      <c r="B427" s="3">
        <v>66.599997999999999</v>
      </c>
      <c r="C427" s="3">
        <v>15.596666000000001</v>
      </c>
      <c r="D427" s="3">
        <v>18.280000999999999</v>
      </c>
      <c r="E427" s="3">
        <v>42.333331999999999</v>
      </c>
      <c r="F427" s="3">
        <v>24.85</v>
      </c>
      <c r="G427" s="3">
        <v>30.549999</v>
      </c>
      <c r="H427" s="3">
        <v>30.440000999999999</v>
      </c>
      <c r="I427" s="3">
        <v>47.426833999999999</v>
      </c>
      <c r="J427" s="3">
        <v>51.200001</v>
      </c>
      <c r="L427" s="11">
        <f t="shared" si="62"/>
        <v>-2.7737255474452563E-2</v>
      </c>
      <c r="M427" s="11">
        <f t="shared" si="64"/>
        <v>-1.8048289990520223E-2</v>
      </c>
      <c r="N427" s="11">
        <f t="shared" si="65"/>
        <v>1.1062002212389399E-2</v>
      </c>
      <c r="O427" s="11">
        <f t="shared" si="66"/>
        <v>-1.5285781327142927E-2</v>
      </c>
      <c r="P427" s="11">
        <f t="shared" si="67"/>
        <v>-5.3814666264655484E-3</v>
      </c>
      <c r="Q427" s="11">
        <f t="shared" si="68"/>
        <v>1.9678255165628484E-3</v>
      </c>
      <c r="R427" s="11">
        <f t="shared" si="69"/>
        <v>7.6134395105408289E-3</v>
      </c>
      <c r="S427" s="11">
        <f t="shared" si="70"/>
        <v>-2.5114144081673659E-2</v>
      </c>
      <c r="T427" s="11">
        <f t="shared" si="71"/>
        <v>-4.6655910704819399E-3</v>
      </c>
      <c r="U427" s="11">
        <f t="shared" si="63"/>
        <v>-8.3988068145826426E-3</v>
      </c>
      <c r="V427" s="11" cm="1">
        <f t="array" ref="V427">SUMPRODUCT(L427:T427,TRANSPOSE($Y$5:$Y$13))</f>
        <v>-8.0254852401725717E-3</v>
      </c>
    </row>
    <row r="428" spans="1:22" x14ac:dyDescent="0.2">
      <c r="A428" s="1">
        <v>43808</v>
      </c>
      <c r="B428" s="3">
        <v>68.5</v>
      </c>
      <c r="C428" s="3">
        <v>15.883333</v>
      </c>
      <c r="D428" s="3">
        <v>18.079999999999998</v>
      </c>
      <c r="E428" s="3">
        <v>42.990475000000004</v>
      </c>
      <c r="F428" s="3">
        <v>24.984452999999998</v>
      </c>
      <c r="G428" s="3">
        <v>30.49</v>
      </c>
      <c r="H428" s="3">
        <v>30.209999</v>
      </c>
      <c r="I428" s="3">
        <v>48.648601999999997</v>
      </c>
      <c r="J428" s="3">
        <v>51.439999</v>
      </c>
      <c r="L428" s="11">
        <f t="shared" si="62"/>
        <v>5.8737446658955941E-3</v>
      </c>
      <c r="M428" s="11">
        <f t="shared" si="64"/>
        <v>-2.9531608359844998E-2</v>
      </c>
      <c r="N428" s="11">
        <f t="shared" si="65"/>
        <v>-1.6856934032459775E-2</v>
      </c>
      <c r="O428" s="11">
        <f t="shared" si="66"/>
        <v>-1.2253822092037511E-2</v>
      </c>
      <c r="P428" s="11">
        <f t="shared" si="67"/>
        <v>1.6214063579827336E-2</v>
      </c>
      <c r="Q428" s="11">
        <f t="shared" si="68"/>
        <v>-1.3102194133567233E-3</v>
      </c>
      <c r="R428" s="11">
        <f t="shared" si="69"/>
        <v>-4.6128830313015351E-3</v>
      </c>
      <c r="S428" s="11">
        <f t="shared" si="70"/>
        <v>-1.8853894434075619E-2</v>
      </c>
      <c r="T428" s="11">
        <f t="shared" si="71"/>
        <v>1.7526972445062391E-3</v>
      </c>
      <c r="U428" s="11">
        <f t="shared" si="63"/>
        <v>-6.6198728747607766E-3</v>
      </c>
      <c r="V428" s="11" cm="1">
        <f t="array" ref="V428">SUMPRODUCT(L428:T428,TRANSPOSE($Y$5:$Y$13))</f>
        <v>-5.7826158628340755E-3</v>
      </c>
    </row>
    <row r="429" spans="1:22" x14ac:dyDescent="0.2">
      <c r="A429" s="1">
        <v>43805</v>
      </c>
      <c r="B429" s="3">
        <v>68.099997999999999</v>
      </c>
      <c r="C429" s="3">
        <v>16.366667</v>
      </c>
      <c r="D429" s="3">
        <v>18.389999</v>
      </c>
      <c r="E429" s="3">
        <v>43.523808000000002</v>
      </c>
      <c r="F429" s="3">
        <v>24.585816999999999</v>
      </c>
      <c r="G429" s="3">
        <v>30.530000999999999</v>
      </c>
      <c r="H429" s="3">
        <v>30.35</v>
      </c>
      <c r="I429" s="3">
        <v>49.583443000000003</v>
      </c>
      <c r="J429" s="3">
        <v>51.349997999999999</v>
      </c>
      <c r="L429" s="11">
        <f t="shared" si="62"/>
        <v>4.1284341245127157E-2</v>
      </c>
      <c r="M429" s="11">
        <f t="shared" si="64"/>
        <v>-3.0456244891623966E-3</v>
      </c>
      <c r="N429" s="11">
        <f t="shared" si="65"/>
        <v>1.0439449975854354E-2</v>
      </c>
      <c r="O429" s="11">
        <f t="shared" si="66"/>
        <v>1.4653631590845409E-2</v>
      </c>
      <c r="P429" s="11">
        <f t="shared" si="67"/>
        <v>7.0746488233721164E-2</v>
      </c>
      <c r="Q429" s="11">
        <f t="shared" si="68"/>
        <v>1.0592585587308322E-2</v>
      </c>
      <c r="R429" s="11">
        <f t="shared" si="69"/>
        <v>9.9833946749882333E-3</v>
      </c>
      <c r="S429" s="11">
        <f t="shared" si="70"/>
        <v>1.7280712701940038E-2</v>
      </c>
      <c r="T429" s="11">
        <f t="shared" si="71"/>
        <v>7.850775115784572E-3</v>
      </c>
      <c r="U429" s="11">
        <f t="shared" si="63"/>
        <v>1.9976194959600766E-2</v>
      </c>
      <c r="V429" s="11" cm="1">
        <f t="array" ref="V429">SUMPRODUCT(L429:T429,TRANSPOSE($Y$5:$Y$13))</f>
        <v>1.8763652975219144E-2</v>
      </c>
    </row>
    <row r="430" spans="1:22" x14ac:dyDescent="0.2">
      <c r="A430" s="1">
        <v>43804</v>
      </c>
      <c r="B430" s="3">
        <v>65.400002000000001</v>
      </c>
      <c r="C430" s="3">
        <v>16.416665999999999</v>
      </c>
      <c r="D430" s="3">
        <v>18.200001</v>
      </c>
      <c r="E430" s="3">
        <v>42.895237000000002</v>
      </c>
      <c r="F430" s="3">
        <v>22.961379999999998</v>
      </c>
      <c r="G430" s="3">
        <v>30.209999</v>
      </c>
      <c r="H430" s="3">
        <v>30.049999</v>
      </c>
      <c r="I430" s="3">
        <v>48.741160999999998</v>
      </c>
      <c r="J430" s="3">
        <v>50.950001</v>
      </c>
      <c r="L430" s="11">
        <f t="shared" si="62"/>
        <v>1.2383963231701668E-2</v>
      </c>
      <c r="M430" s="11">
        <f t="shared" si="64"/>
        <v>-2.6326247042907178E-3</v>
      </c>
      <c r="N430" s="11">
        <f t="shared" si="65"/>
        <v>1.2799221636016725E-2</v>
      </c>
      <c r="O430" s="11">
        <f t="shared" si="66"/>
        <v>1.4414419357195191E-2</v>
      </c>
      <c r="P430" s="11">
        <f t="shared" si="67"/>
        <v>-3.4602070117552026E-3</v>
      </c>
      <c r="Q430" s="11">
        <f t="shared" si="68"/>
        <v>1.4439153309632234E-2</v>
      </c>
      <c r="R430" s="11">
        <f t="shared" si="69"/>
        <v>1.3148988536749815E-2</v>
      </c>
      <c r="S430" s="11">
        <f t="shared" si="70"/>
        <v>-1.6987162428393775E-2</v>
      </c>
      <c r="T430" s="11">
        <f t="shared" si="71"/>
        <v>5.8921840491825373E-4</v>
      </c>
      <c r="U430" s="11">
        <f t="shared" si="63"/>
        <v>4.9661078146415773E-3</v>
      </c>
      <c r="V430" s="11" cm="1">
        <f t="array" ref="V430">SUMPRODUCT(L430:T430,TRANSPOSE($Y$5:$Y$13))</f>
        <v>4.5284188736692448E-3</v>
      </c>
    </row>
    <row r="431" spans="1:22" x14ac:dyDescent="0.2">
      <c r="A431" s="1">
        <v>43803</v>
      </c>
      <c r="B431" s="3">
        <v>64.599997999999999</v>
      </c>
      <c r="C431" s="3">
        <v>16.459999</v>
      </c>
      <c r="D431" s="3">
        <v>17.969999000000001</v>
      </c>
      <c r="E431" s="3">
        <v>42.285713000000001</v>
      </c>
      <c r="F431" s="3">
        <v>23.041107</v>
      </c>
      <c r="G431" s="3">
        <v>29.780000999999999</v>
      </c>
      <c r="H431" s="3">
        <v>29.66</v>
      </c>
      <c r="I431" s="3">
        <v>49.583443000000003</v>
      </c>
      <c r="J431" s="3">
        <v>50.919998</v>
      </c>
      <c r="L431" s="11">
        <f t="shared" si="62"/>
        <v>2.6384913860001942E-3</v>
      </c>
      <c r="M431" s="11">
        <f t="shared" si="64"/>
        <v>2.6397754595764721E-2</v>
      </c>
      <c r="N431" s="11">
        <f t="shared" si="65"/>
        <v>-5.5340896513557773E-3</v>
      </c>
      <c r="O431" s="11">
        <f t="shared" si="66"/>
        <v>-9.81269957668892E-3</v>
      </c>
      <c r="P431" s="11">
        <f t="shared" si="67"/>
        <v>5.2174123212443621E-3</v>
      </c>
      <c r="Q431" s="11">
        <f t="shared" si="68"/>
        <v>1.9165024612081513E-2</v>
      </c>
      <c r="R431" s="11">
        <f t="shared" si="69"/>
        <v>2.3464458247066933E-2</v>
      </c>
      <c r="S431" s="11">
        <f t="shared" si="70"/>
        <v>-1.2170320293585368E-2</v>
      </c>
      <c r="T431" s="11">
        <f t="shared" si="71"/>
        <v>9.9167001156961563E-3</v>
      </c>
      <c r="U431" s="11">
        <f t="shared" si="63"/>
        <v>6.5869701951359787E-3</v>
      </c>
      <c r="V431" s="11" cm="1">
        <f t="array" ref="V431">SUMPRODUCT(L431:T431,TRANSPOSE($Y$5:$Y$13))</f>
        <v>6.9199431871919976E-3</v>
      </c>
    </row>
    <row r="432" spans="1:22" x14ac:dyDescent="0.2">
      <c r="A432" s="1">
        <v>43802</v>
      </c>
      <c r="B432" s="3">
        <v>64.430000000000007</v>
      </c>
      <c r="C432" s="3">
        <v>16.036667000000001</v>
      </c>
      <c r="D432" s="3">
        <v>18.07</v>
      </c>
      <c r="E432" s="3">
        <v>42.704762000000002</v>
      </c>
      <c r="F432" s="3">
        <v>22.921516</v>
      </c>
      <c r="G432" s="3">
        <v>29.219999000000001</v>
      </c>
      <c r="H432" s="3">
        <v>28.98</v>
      </c>
      <c r="I432" s="3">
        <v>50.194324000000002</v>
      </c>
      <c r="J432" s="3">
        <v>50.419998</v>
      </c>
      <c r="L432" s="11">
        <f t="shared" si="62"/>
        <v>2.9233259719912572E-2</v>
      </c>
      <c r="M432" s="11">
        <f t="shared" si="64"/>
        <v>1.0714349189678597E-2</v>
      </c>
      <c r="N432" s="11">
        <f t="shared" si="65"/>
        <v>4.4469149527516317E-3</v>
      </c>
      <c r="O432" s="11">
        <f t="shared" si="66"/>
        <v>6.2836703673905562E-3</v>
      </c>
      <c r="P432" s="11">
        <f t="shared" si="67"/>
        <v>1.1878589486861895E-2</v>
      </c>
      <c r="Q432" s="11">
        <f t="shared" si="68"/>
        <v>-4.0900136332651148E-3</v>
      </c>
      <c r="R432" s="11">
        <f t="shared" si="69"/>
        <v>-3.0959752321981374E-3</v>
      </c>
      <c r="S432" s="11">
        <f t="shared" si="70"/>
        <v>4.6313337634789013E-3</v>
      </c>
      <c r="T432" s="11">
        <f t="shared" si="71"/>
        <v>-1.791978963770946E-2</v>
      </c>
      <c r="U432" s="11">
        <f t="shared" si="63"/>
        <v>4.6758154418779369E-3</v>
      </c>
      <c r="V432" s="11" cm="1">
        <f t="array" ref="V432">SUMPRODUCT(L432:T432,TRANSPOSE($Y$5:$Y$13))</f>
        <v>2.416254933919199E-3</v>
      </c>
    </row>
    <row r="433" spans="1:22" x14ac:dyDescent="0.2">
      <c r="A433" s="1">
        <v>43801</v>
      </c>
      <c r="B433" s="3">
        <v>62.599997999999999</v>
      </c>
      <c r="C433" s="3">
        <v>15.866666</v>
      </c>
      <c r="D433" s="3">
        <v>17.989999999999998</v>
      </c>
      <c r="E433" s="3">
        <v>42.438094999999997</v>
      </c>
      <c r="F433" s="3">
        <v>22.652436999999999</v>
      </c>
      <c r="G433" s="3">
        <v>29.34</v>
      </c>
      <c r="H433" s="3">
        <v>29.07</v>
      </c>
      <c r="I433" s="3">
        <v>49.962929000000003</v>
      </c>
      <c r="J433" s="3">
        <v>51.34</v>
      </c>
      <c r="L433" s="11">
        <f t="shared" si="62"/>
        <v>1.5999679999999898E-3</v>
      </c>
      <c r="M433" s="11">
        <f t="shared" si="64"/>
        <v>-2.514669007320525E-3</v>
      </c>
      <c r="N433" s="11">
        <f t="shared" si="65"/>
        <v>2.5655585766500143E-2</v>
      </c>
      <c r="O433" s="11">
        <f t="shared" si="66"/>
        <v>-1.0657173895554059E-2</v>
      </c>
      <c r="P433" s="11">
        <f t="shared" si="67"/>
        <v>2.0197420515804976E-2</v>
      </c>
      <c r="Q433" s="11">
        <f t="shared" si="68"/>
        <v>1.452282157676342E-2</v>
      </c>
      <c r="R433" s="11">
        <f t="shared" si="69"/>
        <v>-2.7444253859347616E-3</v>
      </c>
      <c r="S433" s="11">
        <f t="shared" si="70"/>
        <v>2.2735891483357133E-2</v>
      </c>
      <c r="T433" s="11">
        <f t="shared" si="71"/>
        <v>2.7210884353741627E-2</v>
      </c>
      <c r="U433" s="11">
        <f t="shared" si="63"/>
        <v>1.0667367045261993E-2</v>
      </c>
      <c r="V433" s="11" cm="1">
        <f t="array" ref="V433">SUMPRODUCT(L433:T433,TRANSPOSE($Y$5:$Y$13))</f>
        <v>1.2321718776109958E-2</v>
      </c>
    </row>
    <row r="434" spans="1:22" x14ac:dyDescent="0.2">
      <c r="A434" s="1">
        <v>43798</v>
      </c>
      <c r="B434" s="3">
        <v>62.5</v>
      </c>
      <c r="C434" s="3">
        <v>15.906666</v>
      </c>
      <c r="D434" s="3">
        <v>17.540001</v>
      </c>
      <c r="E434" s="3">
        <v>42.895237000000002</v>
      </c>
      <c r="F434" s="3">
        <v>22.203973999999999</v>
      </c>
      <c r="G434" s="3">
        <v>28.92</v>
      </c>
      <c r="H434" s="3">
        <v>29.15</v>
      </c>
      <c r="I434" s="3">
        <v>48.852229999999999</v>
      </c>
      <c r="J434" s="3">
        <v>49.98</v>
      </c>
      <c r="L434" s="11">
        <f t="shared" si="62"/>
        <v>3.5324502815101758E-3</v>
      </c>
      <c r="M434" s="11">
        <f t="shared" si="64"/>
        <v>-8.9304055408352453E-3</v>
      </c>
      <c r="N434" s="11">
        <f t="shared" si="65"/>
        <v>-6.2322379603398535E-3</v>
      </c>
      <c r="O434" s="11">
        <f t="shared" si="66"/>
        <v>6.4804830798062645E-3</v>
      </c>
      <c r="P434" s="11">
        <f t="shared" si="67"/>
        <v>1.3648803512732604E-2</v>
      </c>
      <c r="Q434" s="11">
        <f t="shared" si="68"/>
        <v>-4.132265697924682E-3</v>
      </c>
      <c r="R434" s="11">
        <f t="shared" si="69"/>
        <v>-1.2868302984480091E-2</v>
      </c>
      <c r="S434" s="11">
        <f t="shared" si="70"/>
        <v>-8.6401639676934941E-3</v>
      </c>
      <c r="T434" s="11">
        <f t="shared" si="71"/>
        <v>-7.7426842910996102E-3</v>
      </c>
      <c r="U434" s="11">
        <f t="shared" si="63"/>
        <v>-2.7649248409248811E-3</v>
      </c>
      <c r="V434" s="11" cm="1">
        <f t="array" ref="V434">SUMPRODUCT(L434:T434,TRANSPOSE($Y$5:$Y$13))</f>
        <v>-3.2627007859423549E-3</v>
      </c>
    </row>
    <row r="435" spans="1:22" x14ac:dyDescent="0.2">
      <c r="A435" s="1">
        <v>43797</v>
      </c>
      <c r="B435" s="3">
        <v>62.279998999999997</v>
      </c>
      <c r="C435" s="3">
        <v>16.049999</v>
      </c>
      <c r="D435" s="3">
        <v>17.649999999999999</v>
      </c>
      <c r="E435" s="3">
        <v>42.619045</v>
      </c>
      <c r="F435" s="3">
        <v>21.904997000000002</v>
      </c>
      <c r="G435" s="3">
        <v>29.040001</v>
      </c>
      <c r="H435" s="3">
        <v>29.530000999999999</v>
      </c>
      <c r="I435" s="3">
        <v>49.277999999999999</v>
      </c>
      <c r="J435" s="3">
        <v>50.369999</v>
      </c>
      <c r="L435" s="11">
        <f t="shared" si="62"/>
        <v>1.2861414584221026E-3</v>
      </c>
      <c r="M435" s="11">
        <f t="shared" si="64"/>
        <v>1.4752350463745015E-2</v>
      </c>
      <c r="N435" s="11">
        <f t="shared" si="65"/>
        <v>-1.2863479466637719E-2</v>
      </c>
      <c r="O435" s="11">
        <f t="shared" si="66"/>
        <v>3.4203818234047952E-2</v>
      </c>
      <c r="P435" s="11">
        <f t="shared" si="67"/>
        <v>3.1440602291705602E-2</v>
      </c>
      <c r="Q435" s="11">
        <f t="shared" si="68"/>
        <v>1.8947403508771936E-2</v>
      </c>
      <c r="R435" s="11">
        <f t="shared" si="69"/>
        <v>6.8189907944084666E-3</v>
      </c>
      <c r="S435" s="11">
        <f t="shared" si="70"/>
        <v>1.6224513728279991E-2</v>
      </c>
      <c r="T435" s="11">
        <f t="shared" si="71"/>
        <v>-4.15189781922113E-3</v>
      </c>
      <c r="U435" s="11">
        <f t="shared" si="63"/>
        <v>1.185093813261358E-2</v>
      </c>
      <c r="V435" s="11" cm="1">
        <f t="array" ref="V435">SUMPRODUCT(L435:T435,TRANSPOSE($Y$5:$Y$13))</f>
        <v>1.025065453743011E-2</v>
      </c>
    </row>
    <row r="436" spans="1:22" x14ac:dyDescent="0.2">
      <c r="A436" s="1">
        <v>43796</v>
      </c>
      <c r="B436" s="3">
        <v>62.200001</v>
      </c>
      <c r="C436" s="3">
        <v>15.816666</v>
      </c>
      <c r="D436" s="3">
        <v>17.879999000000002</v>
      </c>
      <c r="E436" s="3">
        <v>41.209522</v>
      </c>
      <c r="F436" s="3">
        <v>21.237283999999999</v>
      </c>
      <c r="G436" s="3">
        <v>28.5</v>
      </c>
      <c r="H436" s="3">
        <v>29.33</v>
      </c>
      <c r="I436" s="3">
        <v>48.491253</v>
      </c>
      <c r="J436" s="3">
        <v>50.580002</v>
      </c>
      <c r="L436" s="11">
        <f t="shared" si="62"/>
        <v>-7.974481531507472E-3</v>
      </c>
      <c r="M436" s="11">
        <f t="shared" si="64"/>
        <v>2.0430064516129012E-2</v>
      </c>
      <c r="N436" s="11">
        <f t="shared" si="65"/>
        <v>2.5817498565691443E-2</v>
      </c>
      <c r="O436" s="11">
        <f t="shared" si="66"/>
        <v>-5.7445517981491046E-3</v>
      </c>
      <c r="P436" s="11">
        <f t="shared" si="67"/>
        <v>4.1035780720806408E-2</v>
      </c>
      <c r="Q436" s="11">
        <f t="shared" si="68"/>
        <v>0</v>
      </c>
      <c r="R436" s="11">
        <f t="shared" si="69"/>
        <v>4.796128646929459E-3</v>
      </c>
      <c r="S436" s="11">
        <f t="shared" si="70"/>
        <v>4.9875024359799661E-3</v>
      </c>
      <c r="T436" s="11">
        <f t="shared" si="71"/>
        <v>-1.2495099326530725E-2</v>
      </c>
      <c r="U436" s="11">
        <f t="shared" si="63"/>
        <v>7.8725380254832215E-3</v>
      </c>
      <c r="V436" s="11" cm="1">
        <f t="array" ref="V436">SUMPRODUCT(L436:T436,TRANSPOSE($Y$5:$Y$13))</f>
        <v>5.8357742902818274E-3</v>
      </c>
    </row>
    <row r="437" spans="1:22" x14ac:dyDescent="0.2">
      <c r="A437" s="1">
        <v>43795</v>
      </c>
      <c r="B437" s="3">
        <v>62.700001</v>
      </c>
      <c r="C437" s="3">
        <v>15.5</v>
      </c>
      <c r="D437" s="3">
        <v>17.43</v>
      </c>
      <c r="E437" s="3">
        <v>41.447620000000001</v>
      </c>
      <c r="F437" s="3">
        <v>20.400148000000002</v>
      </c>
      <c r="G437" s="3">
        <v>28.5</v>
      </c>
      <c r="H437" s="3">
        <v>29.190000999999999</v>
      </c>
      <c r="I437" s="3">
        <v>48.250602999999998</v>
      </c>
      <c r="J437" s="3">
        <v>51.220001000000003</v>
      </c>
      <c r="L437" s="11">
        <f t="shared" si="62"/>
        <v>-4.7618888888888841E-3</v>
      </c>
      <c r="M437" s="11">
        <f t="shared" si="64"/>
        <v>-2.6585702880169593E-2</v>
      </c>
      <c r="N437" s="11">
        <f t="shared" si="65"/>
        <v>-1.0221521282139663E-2</v>
      </c>
      <c r="O437" s="11">
        <f t="shared" si="66"/>
        <v>-1.2255950355730981E-2</v>
      </c>
      <c r="P437" s="11">
        <f t="shared" si="67"/>
        <v>-6.3107092868601071E-3</v>
      </c>
      <c r="Q437" s="11">
        <f t="shared" si="68"/>
        <v>-2.5307797537619647E-2</v>
      </c>
      <c r="R437" s="11">
        <f t="shared" si="69"/>
        <v>-1.8163437605112735E-2</v>
      </c>
      <c r="S437" s="11">
        <f t="shared" si="70"/>
        <v>-8.3698091120324915E-3</v>
      </c>
      <c r="T437" s="11">
        <f t="shared" si="71"/>
        <v>7.0782538915012318E-3</v>
      </c>
      <c r="U437" s="11">
        <f t="shared" si="63"/>
        <v>-1.1655395895228095E-2</v>
      </c>
      <c r="V437" s="11" cm="1">
        <f t="array" ref="V437">SUMPRODUCT(L437:T437,TRANSPOSE($Y$5:$Y$13))</f>
        <v>-9.7820309165551639E-3</v>
      </c>
    </row>
    <row r="438" spans="1:22" x14ac:dyDescent="0.2">
      <c r="A438" s="1">
        <v>43794</v>
      </c>
      <c r="B438" s="3">
        <v>63</v>
      </c>
      <c r="C438" s="3">
        <v>15.923333</v>
      </c>
      <c r="D438" s="3">
        <v>17.610001</v>
      </c>
      <c r="E438" s="3">
        <v>41.961903</v>
      </c>
      <c r="F438" s="3">
        <v>20.529705</v>
      </c>
      <c r="G438" s="3">
        <v>29.24</v>
      </c>
      <c r="H438" s="3">
        <v>29.73</v>
      </c>
      <c r="I438" s="3">
        <v>48.657859999999999</v>
      </c>
      <c r="J438" s="3">
        <v>50.860000999999997</v>
      </c>
      <c r="L438" s="11">
        <f t="shared" si="62"/>
        <v>-2.627507077009596E-2</v>
      </c>
      <c r="M438" s="11">
        <f t="shared" si="64"/>
        <v>-3.4754477056151929E-2</v>
      </c>
      <c r="N438" s="11">
        <f t="shared" si="65"/>
        <v>2.2766647694934649E-3</v>
      </c>
      <c r="O438" s="11">
        <f t="shared" si="66"/>
        <v>-4.7436189016421488E-3</v>
      </c>
      <c r="P438" s="11">
        <f t="shared" si="67"/>
        <v>1.2782605186606804E-2</v>
      </c>
      <c r="Q438" s="11">
        <f t="shared" si="68"/>
        <v>-8.8135593220339519E-3</v>
      </c>
      <c r="R438" s="11">
        <f t="shared" si="69"/>
        <v>-8.3388925950633758E-3</v>
      </c>
      <c r="S438" s="11">
        <f t="shared" si="70"/>
        <v>2.0578523998587686E-2</v>
      </c>
      <c r="T438" s="11">
        <f t="shared" si="71"/>
        <v>1.6590086280033712E-2</v>
      </c>
      <c r="U438" s="11">
        <f t="shared" si="63"/>
        <v>-3.4108598233628567E-3</v>
      </c>
      <c r="V438" s="11" cm="1">
        <f t="array" ref="V438">SUMPRODUCT(L438:T438,TRANSPOSE($Y$5:$Y$13))</f>
        <v>-1.4107652130231981E-3</v>
      </c>
    </row>
    <row r="439" spans="1:22" x14ac:dyDescent="0.2">
      <c r="A439" s="1">
        <v>43791</v>
      </c>
      <c r="B439" s="3">
        <v>64.699996999999996</v>
      </c>
      <c r="C439" s="3">
        <v>16.496666000000001</v>
      </c>
      <c r="D439" s="3">
        <v>17.57</v>
      </c>
      <c r="E439" s="3">
        <v>42.161903000000002</v>
      </c>
      <c r="F439" s="3">
        <v>20.270593999999999</v>
      </c>
      <c r="G439" s="3">
        <v>29.5</v>
      </c>
      <c r="H439" s="3">
        <v>29.98</v>
      </c>
      <c r="I439" s="3">
        <v>47.676743000000002</v>
      </c>
      <c r="J439" s="3">
        <v>50.029998999999997</v>
      </c>
      <c r="L439" s="11">
        <f t="shared" si="62"/>
        <v>2.4706969032419417E-2</v>
      </c>
      <c r="M439" s="11">
        <f t="shared" si="64"/>
        <v>1.2479521531905145E-2</v>
      </c>
      <c r="N439" s="11">
        <f t="shared" si="65"/>
        <v>-1.7045454545455191E-3</v>
      </c>
      <c r="O439" s="11">
        <f t="shared" si="66"/>
        <v>2.1929827856952213E-2</v>
      </c>
      <c r="P439" s="11">
        <f t="shared" si="67"/>
        <v>-2.9410655094761671E-3</v>
      </c>
      <c r="Q439" s="11">
        <f t="shared" si="68"/>
        <v>-1.6920135936383512E-3</v>
      </c>
      <c r="R439" s="11">
        <f t="shared" si="69"/>
        <v>4.3551088777219098E-3</v>
      </c>
      <c r="S439" s="11">
        <f t="shared" si="70"/>
        <v>1.2979387584507399E-2</v>
      </c>
      <c r="T439" s="11">
        <f t="shared" si="71"/>
        <v>3.3250744867853919E-2</v>
      </c>
      <c r="U439" s="11">
        <f t="shared" si="63"/>
        <v>1.1484881688188885E-2</v>
      </c>
      <c r="V439" s="11" cm="1">
        <f t="array" ref="V439">SUMPRODUCT(L439:T439,TRANSPOSE($Y$5:$Y$13))</f>
        <v>1.3661468006155388E-2</v>
      </c>
    </row>
    <row r="440" spans="1:22" x14ac:dyDescent="0.2">
      <c r="A440" s="1">
        <v>43790</v>
      </c>
      <c r="B440" s="3">
        <v>63.139999000000003</v>
      </c>
      <c r="C440" s="3">
        <v>16.293333000000001</v>
      </c>
      <c r="D440" s="3">
        <v>17.600000000000001</v>
      </c>
      <c r="E440" s="3">
        <v>41.257140999999997</v>
      </c>
      <c r="F440" s="3">
        <v>20.330387000000002</v>
      </c>
      <c r="G440" s="3">
        <v>29.549999</v>
      </c>
      <c r="H440" s="3">
        <v>29.85</v>
      </c>
      <c r="I440" s="3">
        <v>47.065857000000001</v>
      </c>
      <c r="J440" s="3">
        <v>48.419998</v>
      </c>
      <c r="L440" s="11">
        <f t="shared" si="62"/>
        <v>5.2157992073254195E-2</v>
      </c>
      <c r="M440" s="11">
        <f t="shared" si="64"/>
        <v>1.9607822277847315E-2</v>
      </c>
      <c r="N440" s="11">
        <f t="shared" si="65"/>
        <v>3.9930973192758411E-3</v>
      </c>
      <c r="O440" s="11">
        <f t="shared" si="66"/>
        <v>5.607018013771637E-2</v>
      </c>
      <c r="P440" s="11">
        <f t="shared" si="67"/>
        <v>2.1532264203512716E-2</v>
      </c>
      <c r="Q440" s="11">
        <f t="shared" si="68"/>
        <v>2.9258099242706344E-2</v>
      </c>
      <c r="R440" s="11">
        <f t="shared" si="69"/>
        <v>3.7178560209223166E-2</v>
      </c>
      <c r="S440" s="11">
        <f t="shared" si="70"/>
        <v>-1.2237786856905084E-2</v>
      </c>
      <c r="T440" s="11">
        <f t="shared" si="71"/>
        <v>5.1899524679241216E-3</v>
      </c>
      <c r="U440" s="11">
        <f t="shared" si="63"/>
        <v>2.3638909008283887E-2</v>
      </c>
      <c r="V440" s="11" cm="1">
        <f t="array" ref="V440">SUMPRODUCT(L440:T440,TRANSPOSE($Y$5:$Y$13))</f>
        <v>2.1794013354247913E-2</v>
      </c>
    </row>
    <row r="441" spans="1:22" x14ac:dyDescent="0.2">
      <c r="A441" s="1">
        <v>43788</v>
      </c>
      <c r="B441" s="3">
        <v>60.009998000000003</v>
      </c>
      <c r="C441" s="3">
        <v>15.98</v>
      </c>
      <c r="D441" s="3">
        <v>17.530000999999999</v>
      </c>
      <c r="E441" s="3">
        <v>39.066665999999998</v>
      </c>
      <c r="F441" s="3">
        <v>19.901855000000001</v>
      </c>
      <c r="G441" s="3">
        <v>28.709999</v>
      </c>
      <c r="H441" s="3">
        <v>28.780000999999999</v>
      </c>
      <c r="I441" s="3">
        <v>47.648975</v>
      </c>
      <c r="J441" s="3">
        <v>48.169998</v>
      </c>
      <c r="L441" s="11">
        <f t="shared" si="62"/>
        <v>-4.4791142083461799E-3</v>
      </c>
      <c r="M441" s="11">
        <f t="shared" si="64"/>
        <v>-2.2430628973516595E-2</v>
      </c>
      <c r="N441" s="11">
        <f t="shared" si="65"/>
        <v>-1.0722235368072128E-2</v>
      </c>
      <c r="O441" s="11">
        <f t="shared" si="66"/>
        <v>-3.1591604847861984E-3</v>
      </c>
      <c r="P441" s="11">
        <f t="shared" si="67"/>
        <v>1.4735802721930697E-2</v>
      </c>
      <c r="Q441" s="11">
        <f t="shared" si="68"/>
        <v>-2.0470829767002086E-2</v>
      </c>
      <c r="R441" s="11">
        <f t="shared" si="69"/>
        <v>-1.0316334250343869E-2</v>
      </c>
      <c r="S441" s="11">
        <f t="shared" si="70"/>
        <v>1.5785345379136818E-2</v>
      </c>
      <c r="T441" s="11">
        <f t="shared" si="71"/>
        <v>1.1762171565591917E-2</v>
      </c>
      <c r="U441" s="11">
        <f t="shared" si="63"/>
        <v>-3.2549981539341799E-3</v>
      </c>
      <c r="V441" s="11" cm="1">
        <f t="array" ref="V441">SUMPRODUCT(L441:T441,TRANSPOSE($Y$5:$Y$13))</f>
        <v>-1.7532811819815698E-3</v>
      </c>
    </row>
    <row r="442" spans="1:22" x14ac:dyDescent="0.2">
      <c r="A442" s="1">
        <v>43787</v>
      </c>
      <c r="B442" s="3">
        <v>60.279998999999997</v>
      </c>
      <c r="C442" s="3">
        <v>16.346665999999999</v>
      </c>
      <c r="D442" s="3">
        <v>17.719999000000001</v>
      </c>
      <c r="E442" s="3">
        <v>39.190474999999999</v>
      </c>
      <c r="F442" s="3">
        <v>19.612843999999999</v>
      </c>
      <c r="G442" s="3">
        <v>29.309999000000001</v>
      </c>
      <c r="H442" s="3">
        <v>29.08</v>
      </c>
      <c r="I442" s="3">
        <v>46.908507999999998</v>
      </c>
      <c r="J442" s="3">
        <v>47.610000999999997</v>
      </c>
      <c r="L442" s="11">
        <f t="shared" si="62"/>
        <v>-6.4282019590639035E-3</v>
      </c>
      <c r="M442" s="11">
        <f t="shared" si="64"/>
        <v>-1.526108433734954E-2</v>
      </c>
      <c r="N442" s="11">
        <f t="shared" si="65"/>
        <v>9.1116178309577425E-3</v>
      </c>
      <c r="O442" s="11">
        <f t="shared" si="66"/>
        <v>-1.4371318115384207E-2</v>
      </c>
      <c r="P442" s="11">
        <f t="shared" si="67"/>
        <v>-1.5507795560709454E-2</v>
      </c>
      <c r="Q442" s="11">
        <f t="shared" si="68"/>
        <v>-1.7030653370890285E-3</v>
      </c>
      <c r="R442" s="11">
        <f t="shared" si="69"/>
        <v>-7.508498549778155E-3</v>
      </c>
      <c r="S442" s="11">
        <f t="shared" si="70"/>
        <v>-7.4421775418049259E-3</v>
      </c>
      <c r="T442" s="11">
        <f t="shared" si="71"/>
        <v>1.2978744680850998E-2</v>
      </c>
      <c r="U442" s="11">
        <f t="shared" si="63"/>
        <v>-5.1257532099300528E-3</v>
      </c>
      <c r="V442" s="11" cm="1">
        <f t="array" ref="V442">SUMPRODUCT(L442:T442,TRANSPOSE($Y$5:$Y$13))</f>
        <v>-3.3153034208519483E-3</v>
      </c>
    </row>
    <row r="443" spans="1:22" x14ac:dyDescent="0.2">
      <c r="A443" s="1">
        <v>43783</v>
      </c>
      <c r="B443" s="3">
        <v>60.669998</v>
      </c>
      <c r="C443" s="3">
        <v>16.600000000000001</v>
      </c>
      <c r="D443" s="3">
        <v>17.559999000000001</v>
      </c>
      <c r="E443" s="3">
        <v>39.761906000000003</v>
      </c>
      <c r="F443" s="3">
        <v>19.921786999999998</v>
      </c>
      <c r="G443" s="3">
        <v>29.360001</v>
      </c>
      <c r="H443" s="3">
        <v>29.299999</v>
      </c>
      <c r="I443" s="3">
        <v>47.260227</v>
      </c>
      <c r="J443" s="3">
        <v>47</v>
      </c>
      <c r="L443" s="11">
        <f t="shared" si="62"/>
        <v>2.1380403320525123E-2</v>
      </c>
      <c r="M443" s="11">
        <f t="shared" si="64"/>
        <v>5.4512416717141035E-3</v>
      </c>
      <c r="N443" s="11">
        <f t="shared" si="65"/>
        <v>3.4285142857143568E-3</v>
      </c>
      <c r="O443" s="11">
        <f t="shared" si="66"/>
        <v>1.4334310858818677E-2</v>
      </c>
      <c r="P443" s="11">
        <f t="shared" si="67"/>
        <v>2.1983551644732906E-2</v>
      </c>
      <c r="Q443" s="11">
        <f t="shared" si="68"/>
        <v>2.765141757087855E-2</v>
      </c>
      <c r="R443" s="11">
        <f t="shared" si="69"/>
        <v>-2.0066923076923041E-2</v>
      </c>
      <c r="S443" s="11">
        <f t="shared" si="70"/>
        <v>1.3698571077967393E-2</v>
      </c>
      <c r="T443" s="11">
        <f t="shared" si="71"/>
        <v>-2.5466681355404944E-3</v>
      </c>
      <c r="U443" s="11">
        <f t="shared" si="63"/>
        <v>9.4793799130986189E-3</v>
      </c>
      <c r="V443" s="11" cm="1">
        <f t="array" ref="V443">SUMPRODUCT(L443:T443,TRANSPOSE($Y$5:$Y$13))</f>
        <v>8.2767751082347078E-3</v>
      </c>
    </row>
    <row r="444" spans="1:22" x14ac:dyDescent="0.2">
      <c r="A444" s="1">
        <v>43782</v>
      </c>
      <c r="B444" s="3">
        <v>59.400002000000001</v>
      </c>
      <c r="C444" s="3">
        <v>16.510000000000002</v>
      </c>
      <c r="D444" s="3">
        <v>17.5</v>
      </c>
      <c r="E444" s="3">
        <v>39.200001</v>
      </c>
      <c r="F444" s="3">
        <v>19.493255999999999</v>
      </c>
      <c r="G444" s="3">
        <v>28.57</v>
      </c>
      <c r="H444" s="3">
        <v>29.9</v>
      </c>
      <c r="I444" s="3">
        <v>46.621578</v>
      </c>
      <c r="J444" s="3">
        <v>47.119999</v>
      </c>
      <c r="L444" s="11">
        <f t="shared" si="62"/>
        <v>7.6336046202950926E-3</v>
      </c>
      <c r="M444" s="11">
        <f t="shared" si="64"/>
        <v>6.7073170731709146E-3</v>
      </c>
      <c r="N444" s="11">
        <f t="shared" si="65"/>
        <v>-1.9607843137254981E-2</v>
      </c>
      <c r="O444" s="11">
        <f t="shared" si="66"/>
        <v>-3.1484740886380232E-3</v>
      </c>
      <c r="P444" s="11">
        <f t="shared" si="67"/>
        <v>3.0770643083694693E-3</v>
      </c>
      <c r="Q444" s="11">
        <f t="shared" si="68"/>
        <v>-7.6415766710115742E-3</v>
      </c>
      <c r="R444" s="11">
        <f t="shared" si="69"/>
        <v>-3.9973351099267486E-3</v>
      </c>
      <c r="S444" s="11">
        <f t="shared" si="70"/>
        <v>-1.0606923721755224E-2</v>
      </c>
      <c r="T444" s="11">
        <f t="shared" si="71"/>
        <v>-1.6283986793988039E-2</v>
      </c>
      <c r="U444" s="11">
        <f t="shared" si="63"/>
        <v>-4.8742392800821231E-3</v>
      </c>
      <c r="V444" s="11" cm="1">
        <f t="array" ref="V444">SUMPRODUCT(L444:T444,TRANSPOSE($Y$5:$Y$13))</f>
        <v>-6.0152140314727156E-3</v>
      </c>
    </row>
    <row r="445" spans="1:22" x14ac:dyDescent="0.2">
      <c r="A445" s="1">
        <v>43781</v>
      </c>
      <c r="B445" s="3">
        <v>58.950001</v>
      </c>
      <c r="C445" s="3">
        <v>16.399999999999999</v>
      </c>
      <c r="D445" s="3">
        <v>17.850000000000001</v>
      </c>
      <c r="E445" s="3">
        <v>39.323810999999999</v>
      </c>
      <c r="F445" s="3">
        <v>19.433458000000002</v>
      </c>
      <c r="G445" s="3">
        <v>28.790001</v>
      </c>
      <c r="H445" s="3">
        <v>30.02</v>
      </c>
      <c r="I445" s="3">
        <v>47.121391000000003</v>
      </c>
      <c r="J445" s="3">
        <v>47.900002000000001</v>
      </c>
      <c r="L445" s="11">
        <f t="shared" si="62"/>
        <v>-1.5859782442077384E-2</v>
      </c>
      <c r="M445" s="11">
        <f t="shared" si="64"/>
        <v>-1.7964130660830604E-2</v>
      </c>
      <c r="N445" s="11">
        <f t="shared" si="65"/>
        <v>-8.8839533592448717E-3</v>
      </c>
      <c r="O445" s="11">
        <f t="shared" si="66"/>
        <v>-1.9938261097338456E-2</v>
      </c>
      <c r="P445" s="11">
        <f t="shared" si="67"/>
        <v>-1.8621115626715458E-2</v>
      </c>
      <c r="Q445" s="11">
        <f t="shared" si="68"/>
        <v>-1.1332417193254845E-2</v>
      </c>
      <c r="R445" s="11">
        <f t="shared" si="69"/>
        <v>-1.4121543050195655E-2</v>
      </c>
      <c r="S445" s="11">
        <f t="shared" si="70"/>
        <v>-1.0303274703094445E-2</v>
      </c>
      <c r="T445" s="11">
        <f t="shared" si="71"/>
        <v>-4.7787034120360689E-3</v>
      </c>
      <c r="U445" s="11">
        <f t="shared" si="63"/>
        <v>-1.3533686838309751E-2</v>
      </c>
      <c r="V445" s="11" cm="1">
        <f t="array" ref="V445">SUMPRODUCT(L445:T445,TRANSPOSE($Y$5:$Y$13))</f>
        <v>-1.2658188495682388E-2</v>
      </c>
    </row>
    <row r="446" spans="1:22" x14ac:dyDescent="0.2">
      <c r="A446" s="1">
        <v>43780</v>
      </c>
      <c r="B446" s="3">
        <v>59.900002000000001</v>
      </c>
      <c r="C446" s="3">
        <v>16.700001</v>
      </c>
      <c r="D446" s="3">
        <v>18.010000000000002</v>
      </c>
      <c r="E446" s="3">
        <v>40.123809999999999</v>
      </c>
      <c r="F446" s="3">
        <v>19.802197</v>
      </c>
      <c r="G446" s="3">
        <v>29.120000999999998</v>
      </c>
      <c r="H446" s="3">
        <v>30.450001</v>
      </c>
      <c r="I446" s="3">
        <v>47.61195</v>
      </c>
      <c r="J446" s="3">
        <v>48.130001</v>
      </c>
      <c r="L446" s="11">
        <f t="shared" si="62"/>
        <v>6.7227226890756407E-3</v>
      </c>
      <c r="M446" s="11">
        <f t="shared" si="64"/>
        <v>2.8747452618174497E-2</v>
      </c>
      <c r="N446" s="11">
        <f t="shared" si="65"/>
        <v>2.445961319681475E-2</v>
      </c>
      <c r="O446" s="11">
        <f t="shared" si="66"/>
        <v>1.3959163361967203E-2</v>
      </c>
      <c r="P446" s="11">
        <f t="shared" si="67"/>
        <v>2.2645468992827211E-2</v>
      </c>
      <c r="Q446" s="11">
        <f t="shared" si="68"/>
        <v>1.2517420027816303E-2</v>
      </c>
      <c r="R446" s="11">
        <f t="shared" si="69"/>
        <v>1.4323817455030006E-2</v>
      </c>
      <c r="S446" s="11">
        <f t="shared" si="70"/>
        <v>1.2797763589073842E-2</v>
      </c>
      <c r="T446" s="11">
        <f t="shared" si="71"/>
        <v>-2.1350122000813331E-2</v>
      </c>
      <c r="U446" s="11">
        <f t="shared" si="63"/>
        <v>1.2758144436662901E-2</v>
      </c>
      <c r="V446" s="11" cm="1">
        <f t="array" ref="V446">SUMPRODUCT(L446:T446,TRANSPOSE($Y$5:$Y$13))</f>
        <v>9.3473177929152829E-3</v>
      </c>
    </row>
    <row r="447" spans="1:22" x14ac:dyDescent="0.2">
      <c r="A447" s="1">
        <v>43777</v>
      </c>
      <c r="B447" s="3">
        <v>59.5</v>
      </c>
      <c r="C447" s="3">
        <v>16.233333999999999</v>
      </c>
      <c r="D447" s="3">
        <v>17.579999999999998</v>
      </c>
      <c r="E447" s="3">
        <v>39.571426000000002</v>
      </c>
      <c r="F447" s="3">
        <v>19.363696999999998</v>
      </c>
      <c r="G447" s="3">
        <v>28.76</v>
      </c>
      <c r="H447" s="3">
        <v>30.02</v>
      </c>
      <c r="I447" s="3">
        <v>47.010323</v>
      </c>
      <c r="J447" s="3">
        <v>49.18</v>
      </c>
      <c r="L447" s="11">
        <f t="shared" si="62"/>
        <v>-7.5062717680355051E-3</v>
      </c>
      <c r="M447" s="11">
        <f t="shared" si="64"/>
        <v>-1.4169900219625513E-2</v>
      </c>
      <c r="N447" s="11">
        <f t="shared" si="65"/>
        <v>-1.346801346801358E-2</v>
      </c>
      <c r="O447" s="11">
        <f t="shared" si="66"/>
        <v>-1.8890232029429063E-2</v>
      </c>
      <c r="P447" s="11">
        <f t="shared" si="67"/>
        <v>-4.4269654425321964E-2</v>
      </c>
      <c r="Q447" s="11">
        <f t="shared" si="68"/>
        <v>-2.4092264136147401E-2</v>
      </c>
      <c r="R447" s="11">
        <f t="shared" si="69"/>
        <v>-2.8478964401294469E-2</v>
      </c>
      <c r="S447" s="11">
        <f t="shared" si="70"/>
        <v>1.8039686556807964E-2</v>
      </c>
      <c r="T447" s="11">
        <f t="shared" si="71"/>
        <v>-1.8559189412109517E-2</v>
      </c>
      <c r="U447" s="11">
        <f t="shared" si="63"/>
        <v>-1.6821644811463227E-2</v>
      </c>
      <c r="V447" s="11" cm="1">
        <f t="array" ref="V447">SUMPRODUCT(L447:T447,TRANSPOSE($Y$5:$Y$13))</f>
        <v>-1.6995399271527857E-2</v>
      </c>
    </row>
    <row r="448" spans="1:22" x14ac:dyDescent="0.2">
      <c r="A448" s="1">
        <v>43776</v>
      </c>
      <c r="B448" s="3">
        <v>59.950001</v>
      </c>
      <c r="C448" s="3">
        <v>16.466664999999999</v>
      </c>
      <c r="D448" s="3">
        <v>17.82</v>
      </c>
      <c r="E448" s="3">
        <v>40.333331999999999</v>
      </c>
      <c r="F448" s="3">
        <v>20.260628000000001</v>
      </c>
      <c r="G448" s="3">
        <v>29.469999000000001</v>
      </c>
      <c r="H448" s="3">
        <v>30.9</v>
      </c>
      <c r="I448" s="3">
        <v>46.177298999999998</v>
      </c>
      <c r="J448" s="3">
        <v>50.110000999999997</v>
      </c>
      <c r="L448" s="11">
        <f t="shared" si="62"/>
        <v>-1.2030306526038223E-2</v>
      </c>
      <c r="M448" s="11">
        <f t="shared" si="64"/>
        <v>1.0224908602755087E-2</v>
      </c>
      <c r="N448" s="11">
        <f t="shared" si="65"/>
        <v>4.2105263157894667E-2</v>
      </c>
      <c r="O448" s="11">
        <f t="shared" si="66"/>
        <v>3.7923941569324715E-3</v>
      </c>
      <c r="P448" s="11">
        <f t="shared" si="67"/>
        <v>-7.8085884090560937E-3</v>
      </c>
      <c r="Q448" s="11">
        <f t="shared" si="68"/>
        <v>9.938279643591558E-3</v>
      </c>
      <c r="R448" s="11">
        <f t="shared" si="69"/>
        <v>4.0053888928101238E-2</v>
      </c>
      <c r="S448" s="11">
        <f t="shared" si="70"/>
        <v>1.6296624729470473E-2</v>
      </c>
      <c r="T448" s="11">
        <f t="shared" si="71"/>
        <v>8.4524453300954313E-3</v>
      </c>
      <c r="U448" s="11">
        <f t="shared" si="63"/>
        <v>1.2336101068194065E-2</v>
      </c>
      <c r="V448" s="11" cm="1">
        <f t="array" ref="V448">SUMPRODUCT(L448:T448,TRANSPOSE($Y$5:$Y$13))</f>
        <v>1.1947735494384205E-2</v>
      </c>
    </row>
    <row r="449" spans="1:22" x14ac:dyDescent="0.2">
      <c r="A449" s="1">
        <v>43775</v>
      </c>
      <c r="B449" s="3">
        <v>60.68</v>
      </c>
      <c r="C449" s="3">
        <v>16.299999</v>
      </c>
      <c r="D449" s="3">
        <v>17.100000000000001</v>
      </c>
      <c r="E449" s="3">
        <v>40.180950000000003</v>
      </c>
      <c r="F449" s="3">
        <v>20.420079999999999</v>
      </c>
      <c r="G449" s="3">
        <v>29.18</v>
      </c>
      <c r="H449" s="3">
        <v>29.709999</v>
      </c>
      <c r="I449" s="3">
        <v>45.436832000000003</v>
      </c>
      <c r="J449" s="3">
        <v>49.689999</v>
      </c>
      <c r="L449" s="11">
        <f t="shared" si="62"/>
        <v>6.3018409005280423E-3</v>
      </c>
      <c r="M449" s="11">
        <f t="shared" si="64"/>
        <v>-8.1135706380179237E-3</v>
      </c>
      <c r="N449" s="11">
        <f t="shared" si="65"/>
        <v>-6.9685834476529273E-3</v>
      </c>
      <c r="O449" s="11">
        <f t="shared" si="66"/>
        <v>2.3700924355963155E-4</v>
      </c>
      <c r="P449" s="11">
        <f t="shared" si="67"/>
        <v>2.2965485169538273E-2</v>
      </c>
      <c r="Q449" s="11">
        <f t="shared" si="68"/>
        <v>2.2424631309578426E-2</v>
      </c>
      <c r="R449" s="11">
        <f t="shared" si="69"/>
        <v>2.023575042158558E-3</v>
      </c>
      <c r="S449" s="11">
        <f t="shared" si="70"/>
        <v>1.6356062941879579E-2</v>
      </c>
      <c r="T449" s="11">
        <f t="shared" si="71"/>
        <v>-3.6093844718144011E-3</v>
      </c>
      <c r="U449" s="11">
        <f t="shared" si="63"/>
        <v>5.7352295610841406E-3</v>
      </c>
      <c r="V449" s="11" cm="1">
        <f t="array" ref="V449">SUMPRODUCT(L449:T449,TRANSPOSE($Y$5:$Y$13))</f>
        <v>4.8007681577942858E-3</v>
      </c>
    </row>
    <row r="450" spans="1:22" x14ac:dyDescent="0.2">
      <c r="A450" s="1">
        <v>43774</v>
      </c>
      <c r="B450" s="3">
        <v>60.299999</v>
      </c>
      <c r="C450" s="3">
        <v>16.433332</v>
      </c>
      <c r="D450" s="3">
        <v>17.219999000000001</v>
      </c>
      <c r="E450" s="3">
        <v>40.171429000000003</v>
      </c>
      <c r="F450" s="3">
        <v>19.961651</v>
      </c>
      <c r="G450" s="3">
        <v>28.540001</v>
      </c>
      <c r="H450" s="3">
        <v>29.65</v>
      </c>
      <c r="I450" s="3">
        <v>44.705624</v>
      </c>
      <c r="J450" s="3">
        <v>49.869999</v>
      </c>
      <c r="L450" s="11">
        <f t="shared" si="62"/>
        <v>-1.0664511720024429E-2</v>
      </c>
      <c r="M450" s="11">
        <f t="shared" si="64"/>
        <v>6.0888984038084135E-4</v>
      </c>
      <c r="N450" s="11">
        <f t="shared" si="65"/>
        <v>3.2374040767386189E-2</v>
      </c>
      <c r="O450" s="11">
        <f t="shared" si="66"/>
        <v>-1.6567633645866357E-3</v>
      </c>
      <c r="P450" s="11">
        <f t="shared" si="67"/>
        <v>-8.4158463302821205E-3</v>
      </c>
      <c r="Q450" s="11">
        <f t="shared" si="68"/>
        <v>-2.6602967257844477E-2</v>
      </c>
      <c r="R450" s="11">
        <f t="shared" si="69"/>
        <v>-2.3386066423383908E-2</v>
      </c>
      <c r="S450" s="11">
        <f t="shared" si="70"/>
        <v>-1.1258884861117412E-2</v>
      </c>
      <c r="T450" s="11">
        <f t="shared" si="71"/>
        <v>1.0035929345644256E-3</v>
      </c>
      <c r="U450" s="11">
        <f t="shared" si="63"/>
        <v>-5.3331684905452807E-3</v>
      </c>
      <c r="V450" s="11" cm="1">
        <f t="array" ref="V450">SUMPRODUCT(L450:T450,TRANSPOSE($Y$5:$Y$13))</f>
        <v>-4.6994923480343093E-3</v>
      </c>
    </row>
    <row r="451" spans="1:22" x14ac:dyDescent="0.2">
      <c r="A451" s="1">
        <v>43773</v>
      </c>
      <c r="B451" s="3">
        <v>60.950001</v>
      </c>
      <c r="C451" s="3">
        <v>16.423331999999998</v>
      </c>
      <c r="D451" s="3">
        <v>16.68</v>
      </c>
      <c r="E451" s="3">
        <v>40.238093999999997</v>
      </c>
      <c r="F451" s="3">
        <v>20.131070999999999</v>
      </c>
      <c r="G451" s="3">
        <v>29.32</v>
      </c>
      <c r="H451" s="3">
        <v>30.360001</v>
      </c>
      <c r="I451" s="3">
        <v>45.214691000000002</v>
      </c>
      <c r="J451" s="3">
        <v>49.82</v>
      </c>
      <c r="L451" s="11">
        <f t="shared" si="62"/>
        <v>-1.8834481951617542E-2</v>
      </c>
      <c r="M451" s="11">
        <f t="shared" si="64"/>
        <v>1.4226829268292628E-3</v>
      </c>
      <c r="N451" s="11">
        <f t="shared" si="65"/>
        <v>3.2817337461300382E-2</v>
      </c>
      <c r="O451" s="11">
        <f t="shared" si="66"/>
        <v>-2.4249423360837193E-2</v>
      </c>
      <c r="P451" s="11">
        <f t="shared" si="67"/>
        <v>-9.3182124523896927E-3</v>
      </c>
      <c r="Q451" s="11">
        <f t="shared" si="68"/>
        <v>9.641838510955977E-3</v>
      </c>
      <c r="R451" s="11">
        <f t="shared" si="69"/>
        <v>-2.3003286230693152E-3</v>
      </c>
      <c r="S451" s="11">
        <f t="shared" si="70"/>
        <v>-2.4505488754695353E-3</v>
      </c>
      <c r="T451" s="11">
        <f t="shared" si="71"/>
        <v>2.8488873420496975E-2</v>
      </c>
      <c r="U451" s="11">
        <f t="shared" si="63"/>
        <v>1.6908596729110358E-3</v>
      </c>
      <c r="V451" s="11" cm="1">
        <f t="array" ref="V451">SUMPRODUCT(L451:T451,TRANSPOSE($Y$5:$Y$13))</f>
        <v>4.37066104766963E-3</v>
      </c>
    </row>
    <row r="452" spans="1:22" x14ac:dyDescent="0.2">
      <c r="A452" s="1">
        <v>43770</v>
      </c>
      <c r="B452" s="3">
        <v>62.119999</v>
      </c>
      <c r="C452" s="3">
        <v>16.399999999999999</v>
      </c>
      <c r="D452" s="3">
        <v>16.149999999999999</v>
      </c>
      <c r="E452" s="3">
        <v>41.238093999999997</v>
      </c>
      <c r="F452" s="3">
        <v>20.320421</v>
      </c>
      <c r="G452" s="3">
        <v>29.040001</v>
      </c>
      <c r="H452" s="3">
        <v>30.43</v>
      </c>
      <c r="I452" s="3">
        <v>45.325763999999999</v>
      </c>
      <c r="J452" s="3">
        <v>48.439999</v>
      </c>
      <c r="L452" s="11">
        <f t="shared" si="62"/>
        <v>5.1099849445003377E-2</v>
      </c>
      <c r="M452" s="11">
        <f t="shared" si="64"/>
        <v>1.6949257642544163E-2</v>
      </c>
      <c r="N452" s="11">
        <f t="shared" si="65"/>
        <v>1.3810420590081536E-2</v>
      </c>
      <c r="O452" s="11">
        <f t="shared" si="66"/>
        <v>2.7790226635128856E-3</v>
      </c>
      <c r="P452" s="11">
        <f t="shared" si="67"/>
        <v>2.0009951918470031E-2</v>
      </c>
      <c r="Q452" s="11">
        <f t="shared" si="68"/>
        <v>-5.8198564128673766E-3</v>
      </c>
      <c r="R452" s="11">
        <f t="shared" si="69"/>
        <v>1.3162553904657967E-3</v>
      </c>
      <c r="S452" s="11">
        <f t="shared" si="70"/>
        <v>3.0725702860411978E-3</v>
      </c>
      <c r="T452" s="11">
        <f t="shared" si="71"/>
        <v>2.6271143511204586E-2</v>
      </c>
      <c r="U452" s="11">
        <f t="shared" si="63"/>
        <v>1.4387623892717357E-2</v>
      </c>
      <c r="V452" s="11" cm="1">
        <f t="array" ref="V452">SUMPRODUCT(L452:T452,TRANSPOSE($Y$5:$Y$13))</f>
        <v>1.557597585456608E-2</v>
      </c>
    </row>
    <row r="453" spans="1:22" x14ac:dyDescent="0.2">
      <c r="A453" s="1">
        <v>43769</v>
      </c>
      <c r="B453" s="3">
        <v>59.099997999999999</v>
      </c>
      <c r="C453" s="3">
        <v>16.126664999999999</v>
      </c>
      <c r="D453" s="3">
        <v>15.93</v>
      </c>
      <c r="E453" s="3">
        <v>41.123809999999999</v>
      </c>
      <c r="F453" s="3">
        <v>19.921786999999998</v>
      </c>
      <c r="G453" s="3">
        <v>29.209999</v>
      </c>
      <c r="H453" s="3">
        <v>30.389999</v>
      </c>
      <c r="I453" s="3">
        <v>45.186923999999998</v>
      </c>
      <c r="J453" s="3">
        <v>47.200001</v>
      </c>
      <c r="L453" s="11">
        <f t="shared" si="62"/>
        <v>1.0256376068376058E-2</v>
      </c>
      <c r="M453" s="11">
        <f t="shared" si="64"/>
        <v>-2.4742887618263518E-3</v>
      </c>
      <c r="N453" s="11">
        <f t="shared" si="65"/>
        <v>1.9193857965450988E-2</v>
      </c>
      <c r="O453" s="11">
        <f t="shared" si="66"/>
        <v>5.8234275712189766E-3</v>
      </c>
      <c r="P453" s="11">
        <f t="shared" si="67"/>
        <v>-3.1961266374580452E-2</v>
      </c>
      <c r="Q453" s="11">
        <f t="shared" si="68"/>
        <v>-6.8426274375643517E-4</v>
      </c>
      <c r="R453" s="11">
        <f t="shared" si="69"/>
        <v>1.0305817819148978E-2</v>
      </c>
      <c r="S453" s="11">
        <f t="shared" si="70"/>
        <v>-6.7141593225958961E-3</v>
      </c>
      <c r="T453" s="11">
        <f t="shared" si="71"/>
        <v>-2.8606688619057481E-2</v>
      </c>
      <c r="U453" s="11">
        <f t="shared" si="63"/>
        <v>-2.7623540441801798E-3</v>
      </c>
      <c r="V453" s="11" cm="1">
        <f t="array" ref="V453">SUMPRODUCT(L453:T453,TRANSPOSE($Y$5:$Y$13))</f>
        <v>-5.3467875016679099E-3</v>
      </c>
    </row>
    <row r="454" spans="1:22" x14ac:dyDescent="0.2">
      <c r="A454" s="1">
        <v>43768</v>
      </c>
      <c r="B454" s="3">
        <v>58.5</v>
      </c>
      <c r="C454" s="3">
        <v>16.166665999999999</v>
      </c>
      <c r="D454" s="3">
        <v>15.63</v>
      </c>
      <c r="E454" s="3">
        <v>40.885714999999998</v>
      </c>
      <c r="F454" s="3">
        <v>20.579535</v>
      </c>
      <c r="G454" s="3">
        <v>29.23</v>
      </c>
      <c r="H454" s="3">
        <v>30.08</v>
      </c>
      <c r="I454" s="3">
        <v>45.492367000000002</v>
      </c>
      <c r="J454" s="3">
        <v>48.59</v>
      </c>
      <c r="L454" s="11">
        <f t="shared" si="62"/>
        <v>1.211074415416513E-2</v>
      </c>
      <c r="M454" s="11">
        <f t="shared" si="64"/>
        <v>1.2526096556413173E-2</v>
      </c>
      <c r="N454" s="11">
        <f t="shared" si="65"/>
        <v>1.0996119016817589E-2</v>
      </c>
      <c r="O454" s="11">
        <f t="shared" si="66"/>
        <v>3.6205688693823797E-2</v>
      </c>
      <c r="P454" s="11">
        <f t="shared" si="67"/>
        <v>1.3745677382877042E-2</v>
      </c>
      <c r="Q454" s="11">
        <f t="shared" si="68"/>
        <v>3.7260468417317269E-2</v>
      </c>
      <c r="R454" s="11">
        <f t="shared" si="69"/>
        <v>8.7189805499663982E-3</v>
      </c>
      <c r="S454" s="11">
        <f t="shared" si="70"/>
        <v>-1.6250346143104478E-3</v>
      </c>
      <c r="T454" s="11">
        <f t="shared" si="71"/>
        <v>-1.2333401342922293E-3</v>
      </c>
      <c r="U454" s="11">
        <f t="shared" si="63"/>
        <v>1.4300600002530858E-2</v>
      </c>
      <c r="V454" s="11" cm="1">
        <f t="array" ref="V454">SUMPRODUCT(L454:T454,TRANSPOSE($Y$5:$Y$13))</f>
        <v>1.2747205988848549E-2</v>
      </c>
    </row>
    <row r="455" spans="1:22" x14ac:dyDescent="0.2">
      <c r="A455" s="1">
        <v>43767</v>
      </c>
      <c r="B455" s="3">
        <v>57.799999</v>
      </c>
      <c r="C455" s="3">
        <v>15.966666</v>
      </c>
      <c r="D455" s="3">
        <v>15.46</v>
      </c>
      <c r="E455" s="3">
        <v>39.457141999999997</v>
      </c>
      <c r="F455" s="3">
        <v>20.300491000000001</v>
      </c>
      <c r="G455" s="3">
        <v>28.18</v>
      </c>
      <c r="H455" s="3">
        <v>29.82</v>
      </c>
      <c r="I455" s="3">
        <v>45.566414000000002</v>
      </c>
      <c r="J455" s="3">
        <v>48.650002000000001</v>
      </c>
      <c r="L455" s="11">
        <f t="shared" ref="L455:L496" si="72">(B455-B456)/B456</f>
        <v>6.9685886073662341E-3</v>
      </c>
      <c r="M455" s="11">
        <f t="shared" si="64"/>
        <v>-1.7435938461538458E-2</v>
      </c>
      <c r="N455" s="11">
        <f t="shared" si="65"/>
        <v>-7.0648683365446005E-3</v>
      </c>
      <c r="O455" s="11">
        <f t="shared" si="66"/>
        <v>0</v>
      </c>
      <c r="P455" s="11">
        <f t="shared" si="67"/>
        <v>-4.8851116178177017E-3</v>
      </c>
      <c r="Q455" s="11">
        <f t="shared" si="68"/>
        <v>-2.4913494809688543E-2</v>
      </c>
      <c r="R455" s="11">
        <f t="shared" si="69"/>
        <v>7.4324324324323938E-3</v>
      </c>
      <c r="S455" s="11">
        <f t="shared" si="70"/>
        <v>-9.2573563592766393E-3</v>
      </c>
      <c r="T455" s="11">
        <f t="shared" si="71"/>
        <v>-1.0266734902120368E-3</v>
      </c>
      <c r="U455" s="11">
        <f t="shared" ref="U455:U496" si="73">AVERAGE(L455:T455)</f>
        <v>-5.5758246705865941E-3</v>
      </c>
      <c r="V455" s="11" cm="1">
        <f t="array" ref="V455">SUMPRODUCT(L455:T455,TRANSPOSE($Y$5:$Y$13))</f>
        <v>-5.12090955254914E-3</v>
      </c>
    </row>
    <row r="456" spans="1:22" x14ac:dyDescent="0.2">
      <c r="A456" s="1">
        <v>43766</v>
      </c>
      <c r="B456" s="3">
        <v>57.400002000000001</v>
      </c>
      <c r="C456" s="3">
        <v>16.25</v>
      </c>
      <c r="D456" s="3">
        <v>15.57</v>
      </c>
      <c r="E456" s="3">
        <v>39.457141999999997</v>
      </c>
      <c r="F456" s="3">
        <v>20.400148000000002</v>
      </c>
      <c r="G456" s="3">
        <v>28.9</v>
      </c>
      <c r="H456" s="3">
        <v>29.6</v>
      </c>
      <c r="I456" s="3">
        <v>45.992179999999998</v>
      </c>
      <c r="J456" s="3">
        <v>48.700001</v>
      </c>
      <c r="L456" s="11">
        <f t="shared" si="72"/>
        <v>-2.0861961057024076E-3</v>
      </c>
      <c r="M456" s="11">
        <f t="shared" si="64"/>
        <v>7.023446294510005E-3</v>
      </c>
      <c r="N456" s="11">
        <f t="shared" si="65"/>
        <v>-1.704545454545452E-2</v>
      </c>
      <c r="O456" s="11">
        <f t="shared" si="66"/>
        <v>-8.1398253113701673E-3</v>
      </c>
      <c r="P456" s="11">
        <f t="shared" si="67"/>
        <v>4.8866650737433679E-4</v>
      </c>
      <c r="Q456" s="11">
        <f t="shared" si="68"/>
        <v>1.1904797335602053E-2</v>
      </c>
      <c r="R456" s="11">
        <f t="shared" si="69"/>
        <v>1.1965811965812015E-2</v>
      </c>
      <c r="S456" s="11">
        <f t="shared" si="70"/>
        <v>-1.4087336060131158E-2</v>
      </c>
      <c r="T456" s="11">
        <f t="shared" si="71"/>
        <v>2.8830312421122186E-3</v>
      </c>
      <c r="U456" s="11">
        <f t="shared" si="73"/>
        <v>-7.8811763080529175E-4</v>
      </c>
      <c r="V456" s="11" cm="1">
        <f t="array" ref="V456">SUMPRODUCT(L456:T456,TRANSPOSE($Y$5:$Y$13))</f>
        <v>-4.2100274351354041E-4</v>
      </c>
    </row>
    <row r="457" spans="1:22" x14ac:dyDescent="0.2">
      <c r="A457" s="1">
        <v>43763</v>
      </c>
      <c r="B457" s="3">
        <v>57.52</v>
      </c>
      <c r="C457" s="3">
        <v>16.136665000000001</v>
      </c>
      <c r="D457" s="3">
        <v>15.84</v>
      </c>
      <c r="E457" s="3">
        <v>39.780951999999999</v>
      </c>
      <c r="F457" s="3">
        <v>20.390184000000001</v>
      </c>
      <c r="G457" s="3">
        <v>28.559999000000001</v>
      </c>
      <c r="H457" s="3">
        <v>29.25</v>
      </c>
      <c r="I457" s="3">
        <v>46.649344999999997</v>
      </c>
      <c r="J457" s="3">
        <v>48.560001</v>
      </c>
      <c r="L457" s="11">
        <f t="shared" si="72"/>
        <v>1.2676074166832352E-2</v>
      </c>
      <c r="M457" s="11">
        <f t="shared" si="64"/>
        <v>-4.3193335187302105E-3</v>
      </c>
      <c r="N457" s="11">
        <f t="shared" si="65"/>
        <v>-1.3084050659442398E-2</v>
      </c>
      <c r="O457" s="11">
        <f t="shared" si="66"/>
        <v>3.1219848590706947E-3</v>
      </c>
      <c r="P457" s="11">
        <f t="shared" si="67"/>
        <v>-1.6346115299307646E-2</v>
      </c>
      <c r="Q457" s="11">
        <f t="shared" si="68"/>
        <v>-2.4449878604606407E-3</v>
      </c>
      <c r="R457" s="11">
        <f t="shared" si="69"/>
        <v>3.2838983050847446E-2</v>
      </c>
      <c r="S457" s="11">
        <f t="shared" si="70"/>
        <v>1.589834164882857E-3</v>
      </c>
      <c r="T457" s="11">
        <f t="shared" si="71"/>
        <v>3.871659893048128E-2</v>
      </c>
      <c r="U457" s="11">
        <f t="shared" si="73"/>
        <v>5.8609986482415265E-3</v>
      </c>
      <c r="V457" s="11" cm="1">
        <f t="array" ref="V457">SUMPRODUCT(L457:T457,TRANSPOSE($Y$5:$Y$13))</f>
        <v>9.1465586764655007E-3</v>
      </c>
    </row>
    <row r="458" spans="1:22" x14ac:dyDescent="0.2">
      <c r="A458" s="1">
        <v>43762</v>
      </c>
      <c r="B458" s="3">
        <v>56.799999</v>
      </c>
      <c r="C458" s="3">
        <v>16.206666999999999</v>
      </c>
      <c r="D458" s="3">
        <v>16.049999</v>
      </c>
      <c r="E458" s="3">
        <v>39.657142999999998</v>
      </c>
      <c r="F458" s="3">
        <v>20.729023000000002</v>
      </c>
      <c r="G458" s="3">
        <v>28.629999000000002</v>
      </c>
      <c r="H458" s="3">
        <v>28.32</v>
      </c>
      <c r="I458" s="3">
        <v>46.575297999999997</v>
      </c>
      <c r="J458" s="3">
        <v>46.75</v>
      </c>
      <c r="L458" s="11">
        <f t="shared" si="72"/>
        <v>-4.3821210233500616E-3</v>
      </c>
      <c r="M458" s="11">
        <f t="shared" si="64"/>
        <v>7.8773009950249516E-3</v>
      </c>
      <c r="N458" s="11">
        <f t="shared" si="65"/>
        <v>-6.2266504499792076E-4</v>
      </c>
      <c r="O458" s="11">
        <f t="shared" si="66"/>
        <v>-6.1739504128383416E-2</v>
      </c>
      <c r="P458" s="11">
        <f t="shared" si="67"/>
        <v>-6.6858036012665649E-3</v>
      </c>
      <c r="Q458" s="11">
        <f t="shared" si="68"/>
        <v>-1.743410041840941E-3</v>
      </c>
      <c r="R458" s="11">
        <f t="shared" si="69"/>
        <v>-2.1761691821703219E-2</v>
      </c>
      <c r="S458" s="11">
        <f t="shared" si="70"/>
        <v>-3.5643180195003635E-3</v>
      </c>
      <c r="T458" s="11">
        <f t="shared" si="71"/>
        <v>-7.6417107271977546E-3</v>
      </c>
      <c r="U458" s="11">
        <f t="shared" si="73"/>
        <v>-1.1140435934801698E-2</v>
      </c>
      <c r="V458" s="11" cm="1">
        <f t="array" ref="V458">SUMPRODUCT(L458:T458,TRANSPOSE($Y$5:$Y$13))</f>
        <v>-1.0790563414041306E-2</v>
      </c>
    </row>
    <row r="459" spans="1:22" x14ac:dyDescent="0.2">
      <c r="A459" s="1">
        <v>43761</v>
      </c>
      <c r="B459" s="3">
        <v>57.049999</v>
      </c>
      <c r="C459" s="3">
        <v>16.079999999999998</v>
      </c>
      <c r="D459" s="3">
        <v>16.059999000000001</v>
      </c>
      <c r="E459" s="3">
        <v>42.266666000000001</v>
      </c>
      <c r="F459" s="3">
        <v>20.868545999999998</v>
      </c>
      <c r="G459" s="3">
        <v>28.68</v>
      </c>
      <c r="H459" s="3">
        <v>28.950001</v>
      </c>
      <c r="I459" s="3">
        <v>46.741900999999999</v>
      </c>
      <c r="J459" s="3">
        <v>47.110000999999997</v>
      </c>
      <c r="L459" s="11">
        <f t="shared" si="72"/>
        <v>-1.2975778771207246E-2</v>
      </c>
      <c r="M459" s="11">
        <f t="shared" si="64"/>
        <v>1.4937955290089457E-2</v>
      </c>
      <c r="N459" s="11">
        <f t="shared" si="65"/>
        <v>7.5281681304894448E-3</v>
      </c>
      <c r="O459" s="11">
        <f t="shared" si="66"/>
        <v>-6.936696090083426E-3</v>
      </c>
      <c r="P459" s="11">
        <f t="shared" si="67"/>
        <v>2.3935193697824614E-3</v>
      </c>
      <c r="Q459" s="11">
        <f t="shared" si="68"/>
        <v>-8.6415485655029385E-3</v>
      </c>
      <c r="R459" s="11">
        <f t="shared" si="69"/>
        <v>1.3300700035001752E-2</v>
      </c>
      <c r="S459" s="11">
        <f t="shared" si="70"/>
        <v>-3.5517437476374025E-3</v>
      </c>
      <c r="T459" s="11">
        <f t="shared" si="71"/>
        <v>-4.0168711208641416E-3</v>
      </c>
      <c r="U459" s="11">
        <f t="shared" si="73"/>
        <v>2.2641161445199551E-4</v>
      </c>
      <c r="V459" s="11" cm="1">
        <f t="array" ref="V459">SUMPRODUCT(L459:T459,TRANSPOSE($Y$5:$Y$13))</f>
        <v>-1.9791665907961805E-4</v>
      </c>
    </row>
    <row r="460" spans="1:22" x14ac:dyDescent="0.2">
      <c r="A460" s="1">
        <v>43760</v>
      </c>
      <c r="B460" s="3">
        <v>57.799999</v>
      </c>
      <c r="C460" s="3">
        <v>15.843332999999999</v>
      </c>
      <c r="D460" s="3">
        <v>15.94</v>
      </c>
      <c r="E460" s="3">
        <v>42.561905000000003</v>
      </c>
      <c r="F460" s="3">
        <v>20.818715999999998</v>
      </c>
      <c r="G460" s="3">
        <v>28.93</v>
      </c>
      <c r="H460" s="3">
        <v>28.57</v>
      </c>
      <c r="I460" s="3">
        <v>46.908507999999998</v>
      </c>
      <c r="J460" s="3">
        <v>47.299999</v>
      </c>
      <c r="L460" s="11">
        <f t="shared" si="72"/>
        <v>1.5638710244245353E-2</v>
      </c>
      <c r="M460" s="11">
        <f t="shared" si="64"/>
        <v>1.3648944337811815E-2</v>
      </c>
      <c r="N460" s="11">
        <f t="shared" si="65"/>
        <v>1.3350286077558745E-2</v>
      </c>
      <c r="O460" s="11">
        <f t="shared" si="66"/>
        <v>2.0179776486069644E-3</v>
      </c>
      <c r="P460" s="11">
        <f t="shared" si="67"/>
        <v>-9.4831895314281857E-3</v>
      </c>
      <c r="Q460" s="11">
        <f t="shared" si="68"/>
        <v>-9.2466092723764159E-3</v>
      </c>
      <c r="R460" s="11">
        <f t="shared" si="69"/>
        <v>2.8808066258552419E-2</v>
      </c>
      <c r="S460" s="11">
        <f t="shared" si="70"/>
        <v>-5.1040147949196089E-3</v>
      </c>
      <c r="T460" s="11">
        <f t="shared" si="71"/>
        <v>1.9063758082264797E-3</v>
      </c>
      <c r="U460" s="11">
        <f t="shared" si="73"/>
        <v>5.7262829751419534E-3</v>
      </c>
      <c r="V460" s="11" cm="1">
        <f t="array" ref="V460">SUMPRODUCT(L460:T460,TRANSPOSE($Y$5:$Y$13))</f>
        <v>5.3442922584504048E-3</v>
      </c>
    </row>
    <row r="461" spans="1:22" x14ac:dyDescent="0.2">
      <c r="A461" s="1">
        <v>43759</v>
      </c>
      <c r="B461" s="3">
        <v>56.91</v>
      </c>
      <c r="C461" s="3">
        <v>15.63</v>
      </c>
      <c r="D461" s="3">
        <v>15.73</v>
      </c>
      <c r="E461" s="3">
        <v>42.476188999999998</v>
      </c>
      <c r="F461" s="3">
        <v>21.018034</v>
      </c>
      <c r="G461" s="3">
        <v>29.200001</v>
      </c>
      <c r="H461" s="3">
        <v>27.77</v>
      </c>
      <c r="I461" s="3">
        <v>47.149158</v>
      </c>
      <c r="J461" s="3">
        <v>47.209999000000003</v>
      </c>
      <c r="L461" s="11">
        <f t="shared" si="72"/>
        <v>-4.8959434323473877E-3</v>
      </c>
      <c r="M461" s="11">
        <f t="shared" si="64"/>
        <v>9.6899224806201775E-3</v>
      </c>
      <c r="N461" s="11">
        <f t="shared" si="65"/>
        <v>-2.536461636017701E-3</v>
      </c>
      <c r="O461" s="11">
        <f t="shared" si="66"/>
        <v>-7.3448349887561964E-3</v>
      </c>
      <c r="P461" s="11">
        <f t="shared" si="67"/>
        <v>-1.8930664399647796E-3</v>
      </c>
      <c r="Q461" s="11">
        <f t="shared" si="68"/>
        <v>-3.4129011403720311E-3</v>
      </c>
      <c r="R461" s="11">
        <f t="shared" si="69"/>
        <v>6.1594202898550051E-3</v>
      </c>
      <c r="S461" s="11">
        <f t="shared" si="70"/>
        <v>8.5131149686981291E-3</v>
      </c>
      <c r="T461" s="11">
        <f t="shared" si="71"/>
        <v>2.5635455694882958E-2</v>
      </c>
      <c r="U461" s="11">
        <f t="shared" si="73"/>
        <v>3.323856199622019E-3</v>
      </c>
      <c r="V461" s="11" cm="1">
        <f t="array" ref="V461">SUMPRODUCT(L461:T461,TRANSPOSE($Y$5:$Y$13))</f>
        <v>5.5550161491481134E-3</v>
      </c>
    </row>
    <row r="462" spans="1:22" x14ac:dyDescent="0.2">
      <c r="A462" s="1">
        <v>43756</v>
      </c>
      <c r="B462" s="3">
        <v>57.189999</v>
      </c>
      <c r="C462" s="3">
        <v>15.48</v>
      </c>
      <c r="D462" s="3">
        <v>15.77</v>
      </c>
      <c r="E462" s="3">
        <v>42.790478</v>
      </c>
      <c r="F462" s="3">
        <v>21.057898000000002</v>
      </c>
      <c r="G462" s="3">
        <v>29.299999</v>
      </c>
      <c r="H462" s="3">
        <v>27.6</v>
      </c>
      <c r="I462" s="3">
        <v>46.751159999999999</v>
      </c>
      <c r="J462" s="3">
        <v>46.029998999999997</v>
      </c>
      <c r="L462" s="11">
        <f t="shared" si="72"/>
        <v>9.5321620641778543E-3</v>
      </c>
      <c r="M462" s="11">
        <f t="shared" si="64"/>
        <v>6.2838787927167704E-3</v>
      </c>
      <c r="N462" s="11">
        <f t="shared" si="65"/>
        <v>-5.0473186119873864E-3</v>
      </c>
      <c r="O462" s="11">
        <f t="shared" si="66"/>
        <v>1.5596844218179711E-2</v>
      </c>
      <c r="P462" s="11">
        <f t="shared" si="67"/>
        <v>9.4742999394526665E-4</v>
      </c>
      <c r="Q462" s="11">
        <f t="shared" si="68"/>
        <v>3.7683451946439101E-3</v>
      </c>
      <c r="R462" s="11">
        <f t="shared" si="69"/>
        <v>-2.1691973969630773E-3</v>
      </c>
      <c r="S462" s="11">
        <f t="shared" si="70"/>
        <v>4.8577965063236021E-2</v>
      </c>
      <c r="T462" s="11">
        <f t="shared" si="71"/>
        <v>-1.4557910823333711E-2</v>
      </c>
      <c r="U462" s="11">
        <f t="shared" si="73"/>
        <v>6.9924664994017068E-3</v>
      </c>
      <c r="V462" s="11" cm="1">
        <f t="array" ref="V462">SUMPRODUCT(L462:T462,TRANSPOSE($Y$5:$Y$13))</f>
        <v>4.8374287671281652E-3</v>
      </c>
    </row>
    <row r="463" spans="1:22" x14ac:dyDescent="0.2">
      <c r="A463" s="1">
        <v>43755</v>
      </c>
      <c r="B463" s="3">
        <v>56.650002000000001</v>
      </c>
      <c r="C463" s="3">
        <v>15.383333</v>
      </c>
      <c r="D463" s="3">
        <v>15.85</v>
      </c>
      <c r="E463" s="3">
        <v>42.133330999999998</v>
      </c>
      <c r="F463" s="3">
        <v>21.037966000000001</v>
      </c>
      <c r="G463" s="3">
        <v>29.190000999999999</v>
      </c>
      <c r="H463" s="3">
        <v>27.66</v>
      </c>
      <c r="I463" s="3">
        <v>44.585296999999997</v>
      </c>
      <c r="J463" s="3">
        <v>46.709999000000003</v>
      </c>
      <c r="L463" s="11">
        <f t="shared" si="72"/>
        <v>2.7571212995261885E-2</v>
      </c>
      <c r="M463" s="11">
        <f t="shared" si="64"/>
        <v>2.1017722168925806E-2</v>
      </c>
      <c r="N463" s="11">
        <f t="shared" si="65"/>
        <v>-5.6461731493099038E-3</v>
      </c>
      <c r="O463" s="11">
        <f t="shared" si="66"/>
        <v>-1.1289219422512891E-3</v>
      </c>
      <c r="P463" s="11">
        <f t="shared" si="67"/>
        <v>-9.3852867438227097E-3</v>
      </c>
      <c r="Q463" s="11">
        <f t="shared" si="68"/>
        <v>-8.4918475376410483E-3</v>
      </c>
      <c r="R463" s="11">
        <f t="shared" si="69"/>
        <v>-9.6670247046186739E-3</v>
      </c>
      <c r="S463" s="11">
        <f t="shared" si="70"/>
        <v>5.4268332641554907E-3</v>
      </c>
      <c r="T463" s="11">
        <f t="shared" si="71"/>
        <v>-1.9230769641682324E-3</v>
      </c>
      <c r="U463" s="11">
        <f t="shared" si="73"/>
        <v>1.9748263762812582E-3</v>
      </c>
      <c r="V463" s="11" cm="1">
        <f t="array" ref="V463">SUMPRODUCT(L463:T463,TRANSPOSE($Y$5:$Y$13))</f>
        <v>1.5850360422363095E-3</v>
      </c>
    </row>
    <row r="464" spans="1:22" x14ac:dyDescent="0.2">
      <c r="A464" s="1">
        <v>43754</v>
      </c>
      <c r="B464" s="3">
        <v>55.130001</v>
      </c>
      <c r="C464" s="3">
        <v>15.066666</v>
      </c>
      <c r="D464" s="3">
        <v>15.94</v>
      </c>
      <c r="E464" s="3">
        <v>42.180950000000003</v>
      </c>
      <c r="F464" s="3">
        <v>21.237283999999999</v>
      </c>
      <c r="G464" s="3">
        <v>29.440000999999999</v>
      </c>
      <c r="H464" s="3">
        <v>27.93</v>
      </c>
      <c r="I464" s="3">
        <v>44.344645999999997</v>
      </c>
      <c r="J464" s="3">
        <v>46.799999</v>
      </c>
      <c r="L464" s="11">
        <f t="shared" si="72"/>
        <v>8.9678259327932441E-3</v>
      </c>
      <c r="M464" s="11">
        <f t="shared" si="64"/>
        <v>1.5502135048399717E-2</v>
      </c>
      <c r="N464" s="11">
        <f t="shared" si="65"/>
        <v>1.7230376515634943E-2</v>
      </c>
      <c r="O464" s="11">
        <f t="shared" si="66"/>
        <v>-1.3805407988842642E-2</v>
      </c>
      <c r="P464" s="11">
        <f t="shared" si="67"/>
        <v>5.6630712455190907E-3</v>
      </c>
      <c r="Q464" s="11">
        <f t="shared" si="68"/>
        <v>2.1158550121401335E-2</v>
      </c>
      <c r="R464" s="11">
        <f t="shared" si="69"/>
        <v>1.1956521739130373E-2</v>
      </c>
      <c r="S464" s="11">
        <f t="shared" si="70"/>
        <v>-9.3052105577787862E-3</v>
      </c>
      <c r="T464" s="11">
        <f t="shared" si="71"/>
        <v>-2.3168461699018931E-2</v>
      </c>
      <c r="U464" s="11">
        <f t="shared" si="73"/>
        <v>3.799933373026484E-3</v>
      </c>
      <c r="V464" s="11" cm="1">
        <f t="array" ref="V464">SUMPRODUCT(L464:T464,TRANSPOSE($Y$5:$Y$13))</f>
        <v>1.1030938658219405E-3</v>
      </c>
    </row>
    <row r="465" spans="1:22" x14ac:dyDescent="0.2">
      <c r="A465" s="1">
        <v>43753</v>
      </c>
      <c r="B465" s="3">
        <v>54.639999000000003</v>
      </c>
      <c r="C465" s="3">
        <v>14.836665999999999</v>
      </c>
      <c r="D465" s="3">
        <v>15.67</v>
      </c>
      <c r="E465" s="3">
        <v>42.771427000000003</v>
      </c>
      <c r="F465" s="3">
        <v>21.117692999999999</v>
      </c>
      <c r="G465" s="3">
        <v>28.83</v>
      </c>
      <c r="H465" s="3">
        <v>27.6</v>
      </c>
      <c r="I465" s="3">
        <v>44.761158000000002</v>
      </c>
      <c r="J465" s="3">
        <v>47.91</v>
      </c>
      <c r="L465" s="11">
        <f t="shared" si="72"/>
        <v>-9.6066525142885911E-3</v>
      </c>
      <c r="M465" s="11">
        <f t="shared" si="64"/>
        <v>-1.4393290841304118E-2</v>
      </c>
      <c r="N465" s="11">
        <f t="shared" si="65"/>
        <v>1.5554115359688932E-2</v>
      </c>
      <c r="O465" s="11">
        <f t="shared" si="66"/>
        <v>1.9291880065591956E-2</v>
      </c>
      <c r="P465" s="11">
        <f t="shared" si="67"/>
        <v>1.3875625927747064E-2</v>
      </c>
      <c r="Q465" s="11">
        <f t="shared" si="68"/>
        <v>1.5498450704418791E-2</v>
      </c>
      <c r="R465" s="11">
        <f t="shared" si="69"/>
        <v>1.061885795015958E-2</v>
      </c>
      <c r="S465" s="11">
        <f t="shared" si="70"/>
        <v>-1.1042913772221018E-2</v>
      </c>
      <c r="T465" s="11">
        <f t="shared" si="71"/>
        <v>-1.6670555671158412E-3</v>
      </c>
      <c r="U465" s="11">
        <f t="shared" si="73"/>
        <v>4.2365574791863063E-3</v>
      </c>
      <c r="V465" s="11" cm="1">
        <f t="array" ref="V465">SUMPRODUCT(L465:T465,TRANSPOSE($Y$5:$Y$13))</f>
        <v>3.6461961745560909E-3</v>
      </c>
    </row>
    <row r="466" spans="1:22" x14ac:dyDescent="0.2">
      <c r="A466" s="1">
        <v>43752</v>
      </c>
      <c r="B466" s="3">
        <v>55.169998</v>
      </c>
      <c r="C466" s="3">
        <v>15.053333</v>
      </c>
      <c r="D466" s="3">
        <v>15.43</v>
      </c>
      <c r="E466" s="3">
        <v>41.961903</v>
      </c>
      <c r="F466" s="3">
        <v>20.828682000000001</v>
      </c>
      <c r="G466" s="3">
        <v>28.389999</v>
      </c>
      <c r="H466" s="3">
        <v>27.309999000000001</v>
      </c>
      <c r="I466" s="3">
        <v>45.260970999999998</v>
      </c>
      <c r="J466" s="3">
        <v>47.990001999999997</v>
      </c>
      <c r="L466" s="11">
        <f t="shared" si="72"/>
        <v>-7.3768259310246281E-3</v>
      </c>
      <c r="M466" s="11">
        <f t="shared" si="64"/>
        <v>2.44175371550513E-3</v>
      </c>
      <c r="N466" s="11">
        <f t="shared" si="65"/>
        <v>9.1563113145847336E-3</v>
      </c>
      <c r="O466" s="11">
        <f t="shared" si="66"/>
        <v>1.7551950873384275E-2</v>
      </c>
      <c r="P466" s="11">
        <f t="shared" si="67"/>
        <v>1.5055893254782592E-2</v>
      </c>
      <c r="Q466" s="11">
        <f t="shared" si="68"/>
        <v>1.5742325018163656E-2</v>
      </c>
      <c r="R466" s="11">
        <f t="shared" si="69"/>
        <v>1.8341526045487777E-3</v>
      </c>
      <c r="S466" s="11">
        <f t="shared" si="70"/>
        <v>1.663195307654617E-2</v>
      </c>
      <c r="T466" s="11">
        <f t="shared" si="71"/>
        <v>-1.3363425439215287E-2</v>
      </c>
      <c r="U466" s="11">
        <f t="shared" si="73"/>
        <v>6.4082320541417144E-3</v>
      </c>
      <c r="V466" s="11" cm="1">
        <f t="array" ref="V466">SUMPRODUCT(L466:T466,TRANSPOSE($Y$5:$Y$13))</f>
        <v>4.4310663048060129E-3</v>
      </c>
    </row>
    <row r="467" spans="1:22" x14ac:dyDescent="0.2">
      <c r="A467" s="1">
        <v>43749</v>
      </c>
      <c r="B467" s="3">
        <v>55.580002</v>
      </c>
      <c r="C467" s="3">
        <v>15.016666000000001</v>
      </c>
      <c r="D467" s="3">
        <v>15.29</v>
      </c>
      <c r="E467" s="3">
        <v>41.238093999999997</v>
      </c>
      <c r="F467" s="3">
        <v>20.519739000000001</v>
      </c>
      <c r="G467" s="3">
        <v>27.950001</v>
      </c>
      <c r="H467" s="3">
        <v>27.26</v>
      </c>
      <c r="I467" s="3">
        <v>44.520508</v>
      </c>
      <c r="J467" s="3">
        <v>48.639999000000003</v>
      </c>
      <c r="L467" s="11">
        <f t="shared" si="72"/>
        <v>1.0913095671153211E-2</v>
      </c>
      <c r="M467" s="11">
        <f t="shared" si="64"/>
        <v>2.2469360983629644E-2</v>
      </c>
      <c r="N467" s="11">
        <f t="shared" si="65"/>
        <v>4.3686006825938484E-2</v>
      </c>
      <c r="O467" s="11">
        <f t="shared" si="66"/>
        <v>2.9236972200282371E-2</v>
      </c>
      <c r="P467" s="11">
        <f t="shared" si="67"/>
        <v>4.5708489253068245E-2</v>
      </c>
      <c r="Q467" s="11">
        <f t="shared" si="68"/>
        <v>1.6363672727272738E-2</v>
      </c>
      <c r="R467" s="11">
        <f t="shared" si="69"/>
        <v>1.9446522064323228E-2</v>
      </c>
      <c r="S467" s="11">
        <f t="shared" si="70"/>
        <v>1.2205416514934226E-2</v>
      </c>
      <c r="T467" s="11">
        <f t="shared" si="71"/>
        <v>2.9635837017957922E-2</v>
      </c>
      <c r="U467" s="11">
        <f t="shared" si="73"/>
        <v>2.5518374806506674E-2</v>
      </c>
      <c r="V467" s="11" cm="1">
        <f t="array" ref="V467">SUMPRODUCT(L467:T467,TRANSPOSE($Y$5:$Y$13))</f>
        <v>2.5930121027651801E-2</v>
      </c>
    </row>
    <row r="468" spans="1:22" x14ac:dyDescent="0.2">
      <c r="A468" s="1">
        <v>43748</v>
      </c>
      <c r="B468" s="3">
        <v>54.98</v>
      </c>
      <c r="C468" s="3">
        <v>14.686666000000001</v>
      </c>
      <c r="D468" s="3">
        <v>14.65</v>
      </c>
      <c r="E468" s="3">
        <v>40.066665999999998</v>
      </c>
      <c r="F468" s="3">
        <v>19.622810000000001</v>
      </c>
      <c r="G468" s="3">
        <v>27.5</v>
      </c>
      <c r="H468" s="3">
        <v>26.74</v>
      </c>
      <c r="I468" s="3">
        <v>43.983668999999999</v>
      </c>
      <c r="J468" s="3">
        <v>47.240001999999997</v>
      </c>
      <c r="L468" s="11">
        <f t="shared" si="72"/>
        <v>3.2846898409614423E-3</v>
      </c>
      <c r="M468" s="11">
        <f t="shared" si="64"/>
        <v>3.6446242288069503E-3</v>
      </c>
      <c r="N468" s="11">
        <f t="shared" si="65"/>
        <v>6.8728522336769515E-3</v>
      </c>
      <c r="O468" s="11">
        <f t="shared" si="66"/>
        <v>-2.3444783796033632E-2</v>
      </c>
      <c r="P468" s="11">
        <f t="shared" si="67"/>
        <v>-3.5425540147826918E-3</v>
      </c>
      <c r="Q468" s="11">
        <f t="shared" si="68"/>
        <v>-1.0897565895474763E-3</v>
      </c>
      <c r="R468" s="11">
        <f t="shared" si="69"/>
        <v>8.2956259426847229E-3</v>
      </c>
      <c r="S468" s="11">
        <f t="shared" si="70"/>
        <v>2.531694214500228E-3</v>
      </c>
      <c r="T468" s="11">
        <f t="shared" si="71"/>
        <v>3.4377141860176944E-2</v>
      </c>
      <c r="U468" s="11">
        <f t="shared" si="73"/>
        <v>3.436614880049271E-3</v>
      </c>
      <c r="V468" s="11" cm="1">
        <f t="array" ref="V468">SUMPRODUCT(L468:T468,TRANSPOSE($Y$5:$Y$13))</f>
        <v>6.5306675780620388E-3</v>
      </c>
    </row>
    <row r="469" spans="1:22" x14ac:dyDescent="0.2">
      <c r="A469" s="1">
        <v>43747</v>
      </c>
      <c r="B469" s="3">
        <v>54.799999</v>
      </c>
      <c r="C469" s="3">
        <v>14.633333</v>
      </c>
      <c r="D469" s="3">
        <v>14.55</v>
      </c>
      <c r="E469" s="3">
        <v>41.028571999999997</v>
      </c>
      <c r="F469" s="3">
        <v>19.692571999999998</v>
      </c>
      <c r="G469" s="3">
        <v>27.530000999999999</v>
      </c>
      <c r="H469" s="3">
        <v>26.52</v>
      </c>
      <c r="I469" s="3">
        <v>43.872596999999999</v>
      </c>
      <c r="J469" s="3">
        <v>45.669998</v>
      </c>
      <c r="L469" s="11">
        <f t="shared" si="72"/>
        <v>-7.2464129122026761E-3</v>
      </c>
      <c r="M469" s="11">
        <f t="shared" si="64"/>
        <v>1.385681325304426E-2</v>
      </c>
      <c r="N469" s="11">
        <f t="shared" si="65"/>
        <v>8.3160083160083859E-3</v>
      </c>
      <c r="O469" s="11">
        <f t="shared" si="66"/>
        <v>3.0267869545359746E-3</v>
      </c>
      <c r="P469" s="11">
        <f t="shared" si="67"/>
        <v>2.649346890868591E-2</v>
      </c>
      <c r="Q469" s="11">
        <f t="shared" si="68"/>
        <v>1.7744991413862859E-2</v>
      </c>
      <c r="R469" s="11">
        <f t="shared" si="69"/>
        <v>1.921598770176787E-2</v>
      </c>
      <c r="S469" s="11">
        <f t="shared" si="70"/>
        <v>1.9354815175447536E-2</v>
      </c>
      <c r="T469" s="11">
        <f t="shared" si="71"/>
        <v>7.7228155339805682E-3</v>
      </c>
      <c r="U469" s="11">
        <f t="shared" si="73"/>
        <v>1.2053919371681187E-2</v>
      </c>
      <c r="V469" s="11" cm="1">
        <f t="array" ref="V469">SUMPRODUCT(L469:T469,TRANSPOSE($Y$5:$Y$13))</f>
        <v>1.1620808987911126E-2</v>
      </c>
    </row>
    <row r="470" spans="1:22" x14ac:dyDescent="0.2">
      <c r="A470" s="1">
        <v>43746</v>
      </c>
      <c r="B470" s="3">
        <v>55.200001</v>
      </c>
      <c r="C470" s="3">
        <v>14.433332999999999</v>
      </c>
      <c r="D470" s="3">
        <v>14.43</v>
      </c>
      <c r="E470" s="3">
        <v>40.904761999999998</v>
      </c>
      <c r="F470" s="3">
        <v>19.184313</v>
      </c>
      <c r="G470" s="3">
        <v>27.049999</v>
      </c>
      <c r="H470" s="3">
        <v>26.02</v>
      </c>
      <c r="I470" s="3">
        <v>43.039574000000002</v>
      </c>
      <c r="J470" s="3">
        <v>45.32</v>
      </c>
      <c r="L470" s="11">
        <f t="shared" si="72"/>
        <v>-1.4285696428571424E-2</v>
      </c>
      <c r="M470" s="11">
        <f t="shared" ref="M470:M496" si="74">(C470-C471)/C471</f>
        <v>6.9767443482963553E-3</v>
      </c>
      <c r="N470" s="11">
        <f t="shared" ref="N470:N496" si="75">(D470-D471)/D471</f>
        <v>-1.9701086956521802E-2</v>
      </c>
      <c r="O470" s="11">
        <f t="shared" ref="O470:O496" si="76">(E470-E471)/E471</f>
        <v>-5.7870312700938897E-3</v>
      </c>
      <c r="P470" s="11">
        <f t="shared" ref="P470:P496" si="77">(F470-F471)/F471</f>
        <v>-1.5848711985314269E-2</v>
      </c>
      <c r="Q470" s="11">
        <f t="shared" ref="Q470:Q496" si="78">(G470-G471)/G471</f>
        <v>-3.6954916369367059E-4</v>
      </c>
      <c r="R470" s="11">
        <f t="shared" ref="R470:R496" si="79">(H470-H471)/H471</f>
        <v>-5.7317539166985912E-3</v>
      </c>
      <c r="S470" s="11">
        <f t="shared" ref="S470:S496" si="80">(I470-I471)/I471</f>
        <v>-1.2738800467146106E-2</v>
      </c>
      <c r="T470" s="11">
        <f t="shared" ref="T470:T496" si="81">(J470-J471)/J471</f>
        <v>-1.5638596532610769E-2</v>
      </c>
      <c r="U470" s="11">
        <f t="shared" si="73"/>
        <v>-9.2360535969282405E-3</v>
      </c>
      <c r="V470" s="11" cm="1">
        <f t="array" ref="V470">SUMPRODUCT(L470:T470,TRANSPOSE($Y$5:$Y$13))</f>
        <v>-9.8763078904964951E-3</v>
      </c>
    </row>
    <row r="471" spans="1:22" x14ac:dyDescent="0.2">
      <c r="A471" s="1">
        <v>43745</v>
      </c>
      <c r="B471" s="3">
        <v>56</v>
      </c>
      <c r="C471" s="3">
        <v>14.333333</v>
      </c>
      <c r="D471" s="3">
        <v>14.72</v>
      </c>
      <c r="E471" s="3">
        <v>41.142856999999999</v>
      </c>
      <c r="F471" s="3">
        <v>19.493255999999999</v>
      </c>
      <c r="G471" s="3">
        <v>27.059999000000001</v>
      </c>
      <c r="H471" s="3">
        <v>26.17</v>
      </c>
      <c r="I471" s="3">
        <v>43.594920999999999</v>
      </c>
      <c r="J471" s="3">
        <v>46.040000999999997</v>
      </c>
      <c r="L471" s="11">
        <f t="shared" si="72"/>
        <v>8.6455331412103181E-3</v>
      </c>
      <c r="M471" s="11">
        <f t="shared" si="74"/>
        <v>-3.4792390572390572E-2</v>
      </c>
      <c r="N471" s="11">
        <f t="shared" si="75"/>
        <v>-1.2080536912751658E-2</v>
      </c>
      <c r="O471" s="11">
        <f t="shared" si="76"/>
        <v>-1.4823293745261625E-2</v>
      </c>
      <c r="P471" s="11">
        <f t="shared" si="77"/>
        <v>-1.1122230393573197E-2</v>
      </c>
      <c r="Q471" s="11">
        <f t="shared" si="78"/>
        <v>-3.4261277658815072E-2</v>
      </c>
      <c r="R471" s="11">
        <f t="shared" si="79"/>
        <v>-1.282534892493398E-2</v>
      </c>
      <c r="S471" s="11">
        <f t="shared" si="80"/>
        <v>5.7654840870285584E-3</v>
      </c>
      <c r="T471" s="11">
        <f t="shared" si="81"/>
        <v>-1.1805086928525579E-2</v>
      </c>
      <c r="U471" s="11">
        <f t="shared" si="73"/>
        <v>-1.3033238656445867E-2</v>
      </c>
      <c r="V471" s="11" cm="1">
        <f t="array" ref="V471">SUMPRODUCT(L471:T471,TRANSPOSE($Y$5:$Y$13))</f>
        <v>-1.291042348365384E-2</v>
      </c>
    </row>
    <row r="472" spans="1:22" x14ac:dyDescent="0.2">
      <c r="A472" s="1">
        <v>43742</v>
      </c>
      <c r="B472" s="3">
        <v>55.52</v>
      </c>
      <c r="C472" s="3">
        <v>14.85</v>
      </c>
      <c r="D472" s="3">
        <v>14.9</v>
      </c>
      <c r="E472" s="3">
        <v>41.761906000000003</v>
      </c>
      <c r="F472" s="3">
        <v>19.712503000000002</v>
      </c>
      <c r="G472" s="3">
        <v>28.02</v>
      </c>
      <c r="H472" s="3">
        <v>26.51</v>
      </c>
      <c r="I472" s="3">
        <v>43.345016000000001</v>
      </c>
      <c r="J472" s="3">
        <v>46.59</v>
      </c>
      <c r="L472" s="11">
        <f t="shared" si="72"/>
        <v>4.7547169811320816E-2</v>
      </c>
      <c r="M472" s="11">
        <f t="shared" si="74"/>
        <v>2.1789014261215846E-2</v>
      </c>
      <c r="N472" s="11">
        <f t="shared" si="75"/>
        <v>6.0769750168804763E-3</v>
      </c>
      <c r="O472" s="11">
        <f t="shared" si="76"/>
        <v>1.6458130261926638E-2</v>
      </c>
      <c r="P472" s="11">
        <f t="shared" si="77"/>
        <v>3.1282501415675443E-2</v>
      </c>
      <c r="Q472" s="11">
        <f t="shared" si="78"/>
        <v>1.8909090909090893E-2</v>
      </c>
      <c r="R472" s="11">
        <f t="shared" si="79"/>
        <v>-8.6013462976812591E-3</v>
      </c>
      <c r="S472" s="11">
        <f t="shared" si="80"/>
        <v>1.0574058311209188E-2</v>
      </c>
      <c r="T472" s="11">
        <f t="shared" si="81"/>
        <v>2.5308121155548511E-2</v>
      </c>
      <c r="U472" s="11">
        <f t="shared" si="73"/>
        <v>1.8815968316131842E-2</v>
      </c>
      <c r="V472" s="11" cm="1">
        <f t="array" ref="V472">SUMPRODUCT(L472:T472,TRANSPOSE($Y$5:$Y$13))</f>
        <v>1.9465183600073509E-2</v>
      </c>
    </row>
    <row r="473" spans="1:22" x14ac:dyDescent="0.2">
      <c r="A473" s="1">
        <v>43741</v>
      </c>
      <c r="B473" s="3">
        <v>53</v>
      </c>
      <c r="C473" s="3">
        <v>14.533333000000001</v>
      </c>
      <c r="D473" s="3">
        <v>14.81</v>
      </c>
      <c r="E473" s="3">
        <v>41.085712000000001</v>
      </c>
      <c r="F473" s="3">
        <v>19.114552</v>
      </c>
      <c r="G473" s="3">
        <v>27.5</v>
      </c>
      <c r="H473" s="3">
        <v>26.74</v>
      </c>
      <c r="I473" s="3">
        <v>42.891478999999997</v>
      </c>
      <c r="J473" s="3">
        <v>45.439999</v>
      </c>
      <c r="L473" s="11">
        <f t="shared" si="72"/>
        <v>3.616809242744505E-2</v>
      </c>
      <c r="M473" s="11">
        <f t="shared" si="74"/>
        <v>1.1600951814429342E-2</v>
      </c>
      <c r="N473" s="11">
        <f t="shared" si="75"/>
        <v>-8.7014725568941766E-3</v>
      </c>
      <c r="O473" s="11">
        <f t="shared" si="76"/>
        <v>1.0304459692095808E-2</v>
      </c>
      <c r="P473" s="11">
        <f t="shared" si="77"/>
        <v>-1.2358288952140547E-2</v>
      </c>
      <c r="Q473" s="11">
        <f t="shared" si="78"/>
        <v>8.4341767510084497E-3</v>
      </c>
      <c r="R473" s="11">
        <f t="shared" si="79"/>
        <v>7.4854044717580443E-4</v>
      </c>
      <c r="S473" s="11">
        <f t="shared" si="80"/>
        <v>-1.5083478380060926E-3</v>
      </c>
      <c r="T473" s="11">
        <f t="shared" si="81"/>
        <v>7.5388251680188739E-3</v>
      </c>
      <c r="U473" s="11">
        <f t="shared" si="73"/>
        <v>5.8029929947925009E-3</v>
      </c>
      <c r="V473" s="11" cm="1">
        <f t="array" ref="V473">SUMPRODUCT(L473:T473,TRANSPOSE($Y$5:$Y$13))</f>
        <v>5.9765762121151396E-3</v>
      </c>
    </row>
    <row r="474" spans="1:22" x14ac:dyDescent="0.2">
      <c r="A474" s="1">
        <v>43740</v>
      </c>
      <c r="B474" s="3">
        <v>51.150002000000001</v>
      </c>
      <c r="C474" s="3">
        <v>14.366666</v>
      </c>
      <c r="D474" s="3">
        <v>14.94</v>
      </c>
      <c r="E474" s="3">
        <v>40.666663999999997</v>
      </c>
      <c r="F474" s="3">
        <v>19.353731</v>
      </c>
      <c r="G474" s="3">
        <v>27.27</v>
      </c>
      <c r="H474" s="3">
        <v>26.719999000000001</v>
      </c>
      <c r="I474" s="3">
        <v>42.956271999999998</v>
      </c>
      <c r="J474" s="3">
        <v>45.099997999999999</v>
      </c>
      <c r="L474" s="11">
        <f t="shared" si="72"/>
        <v>2.9589412238325299E-2</v>
      </c>
      <c r="M474" s="11">
        <f t="shared" si="74"/>
        <v>-1.5307333790267271E-2</v>
      </c>
      <c r="N474" s="11">
        <f t="shared" si="75"/>
        <v>-1.5161502966381043E-2</v>
      </c>
      <c r="O474" s="11">
        <f t="shared" si="76"/>
        <v>-3.8504902135791282E-2</v>
      </c>
      <c r="P474" s="11">
        <f t="shared" si="77"/>
        <v>-1.5213017971874446E-2</v>
      </c>
      <c r="Q474" s="11">
        <f t="shared" si="78"/>
        <v>-2.5723472668810251E-2</v>
      </c>
      <c r="R474" s="11">
        <f t="shared" si="79"/>
        <v>-2.8716866593965835E-2</v>
      </c>
      <c r="S474" s="11">
        <f t="shared" si="80"/>
        <v>-2.6023041179583012E-2</v>
      </c>
      <c r="T474" s="11">
        <f t="shared" si="81"/>
        <v>-5.470553457777276E-2</v>
      </c>
      <c r="U474" s="11">
        <f t="shared" si="73"/>
        <v>-2.1085139960680066E-2</v>
      </c>
      <c r="V474" s="11" cm="1">
        <f t="array" ref="V474">SUMPRODUCT(L474:T474,TRANSPOSE($Y$5:$Y$13))</f>
        <v>-2.4447179422389338E-2</v>
      </c>
    </row>
    <row r="475" spans="1:22" x14ac:dyDescent="0.2">
      <c r="A475" s="1">
        <v>43739</v>
      </c>
      <c r="B475" s="3">
        <v>49.68</v>
      </c>
      <c r="C475" s="3">
        <v>14.59</v>
      </c>
      <c r="D475" s="3">
        <v>15.17</v>
      </c>
      <c r="E475" s="3">
        <v>42.295237999999998</v>
      </c>
      <c r="F475" s="3">
        <v>19.652708000000001</v>
      </c>
      <c r="G475" s="3">
        <v>27.99</v>
      </c>
      <c r="H475" s="3">
        <v>27.51</v>
      </c>
      <c r="I475" s="3">
        <v>44.103991999999998</v>
      </c>
      <c r="J475" s="3">
        <v>47.709999000000003</v>
      </c>
      <c r="L475" s="11">
        <f t="shared" si="72"/>
        <v>3.2310177705976691E-3</v>
      </c>
      <c r="M475" s="11">
        <f t="shared" si="74"/>
        <v>3.2088242770759185E-3</v>
      </c>
      <c r="N475" s="11">
        <f t="shared" si="75"/>
        <v>-1.4294996751137143E-2</v>
      </c>
      <c r="O475" s="11">
        <f t="shared" si="76"/>
        <v>-2.3097228383407893E-2</v>
      </c>
      <c r="P475" s="11">
        <f t="shared" si="77"/>
        <v>-1.2024096252291741E-2</v>
      </c>
      <c r="Q475" s="11">
        <f t="shared" si="78"/>
        <v>-2.9809358752166479E-2</v>
      </c>
      <c r="R475" s="11">
        <f t="shared" si="79"/>
        <v>-1.4518693811930126E-3</v>
      </c>
      <c r="S475" s="11">
        <f t="shared" si="80"/>
        <v>-1.2576899876949126E-3</v>
      </c>
      <c r="T475" s="11">
        <f t="shared" si="81"/>
        <v>-8.3771727748684023E-4</v>
      </c>
      <c r="U475" s="11">
        <f t="shared" si="73"/>
        <v>-8.4814571930782717E-3</v>
      </c>
      <c r="V475" s="11" cm="1">
        <f t="array" ref="V475">SUMPRODUCT(L475:T475,TRANSPOSE($Y$5:$Y$13))</f>
        <v>-7.7170832015191282E-3</v>
      </c>
    </row>
    <row r="476" spans="1:22" x14ac:dyDescent="0.2">
      <c r="A476" s="1">
        <v>43738</v>
      </c>
      <c r="B476" s="3">
        <v>49.52</v>
      </c>
      <c r="C476" s="3">
        <v>14.543333000000001</v>
      </c>
      <c r="D476" s="3">
        <v>15.39</v>
      </c>
      <c r="E476" s="3">
        <v>43.295237999999998</v>
      </c>
      <c r="F476" s="3">
        <v>19.89189</v>
      </c>
      <c r="G476" s="3">
        <v>28.85</v>
      </c>
      <c r="H476" s="3">
        <v>27.549999</v>
      </c>
      <c r="I476" s="3">
        <v>44.159531000000001</v>
      </c>
      <c r="J476" s="3">
        <v>47.75</v>
      </c>
      <c r="L476" s="11">
        <f t="shared" si="72"/>
        <v>2.8351356250479439E-3</v>
      </c>
      <c r="M476" s="11">
        <f t="shared" si="74"/>
        <v>-1.6899504661998754E-2</v>
      </c>
      <c r="N476" s="11">
        <f t="shared" si="75"/>
        <v>1.6512549537648611E-2</v>
      </c>
      <c r="O476" s="11">
        <f t="shared" si="76"/>
        <v>2.9438473467287622E-2</v>
      </c>
      <c r="P476" s="11">
        <f t="shared" si="77"/>
        <v>3.5194001370589863E-3</v>
      </c>
      <c r="Q476" s="11">
        <f t="shared" si="78"/>
        <v>9.4471658502450363E-3</v>
      </c>
      <c r="R476" s="11">
        <f t="shared" si="79"/>
        <v>-3.9768980477223595E-3</v>
      </c>
      <c r="S476" s="11">
        <f t="shared" si="80"/>
        <v>1.0805154913829959E-2</v>
      </c>
      <c r="T476" s="11">
        <f t="shared" si="81"/>
        <v>1.8883759966429588E-3</v>
      </c>
      <c r="U476" s="11">
        <f t="shared" si="73"/>
        <v>5.9522058686711119E-3</v>
      </c>
      <c r="V476" s="11" cm="1">
        <f t="array" ref="V476">SUMPRODUCT(L476:T476,TRANSPOSE($Y$5:$Y$13))</f>
        <v>5.5458228814682957E-3</v>
      </c>
    </row>
    <row r="477" spans="1:22" x14ac:dyDescent="0.2">
      <c r="A477" s="1">
        <v>43735</v>
      </c>
      <c r="B477" s="3">
        <v>49.380001</v>
      </c>
      <c r="C477" s="3">
        <v>14.793333000000001</v>
      </c>
      <c r="D477" s="3">
        <v>15.14</v>
      </c>
      <c r="E477" s="3">
        <v>42.057139999999997</v>
      </c>
      <c r="F477" s="3">
        <v>19.822127999999999</v>
      </c>
      <c r="G477" s="3">
        <v>28.58</v>
      </c>
      <c r="H477" s="3">
        <v>27.66</v>
      </c>
      <c r="I477" s="3">
        <v>43.687480999999998</v>
      </c>
      <c r="J477" s="3">
        <v>47.66</v>
      </c>
      <c r="L477" s="11">
        <f t="shared" si="72"/>
        <v>-2.222691362994831E-3</v>
      </c>
      <c r="M477" s="11">
        <f t="shared" si="74"/>
        <v>-8.7111907239487991E-3</v>
      </c>
      <c r="N477" s="11">
        <f t="shared" si="75"/>
        <v>-5.2562417871222121E-3</v>
      </c>
      <c r="O477" s="11">
        <f t="shared" si="76"/>
        <v>-4.7329515264650851E-3</v>
      </c>
      <c r="P477" s="11">
        <f t="shared" si="77"/>
        <v>-6.493536761431524E-3</v>
      </c>
      <c r="Q477" s="11">
        <f t="shared" si="78"/>
        <v>-4.1812193665081068E-3</v>
      </c>
      <c r="R477" s="11">
        <f t="shared" si="79"/>
        <v>-1.4440793702498486E-3</v>
      </c>
      <c r="S477" s="11">
        <f t="shared" si="80"/>
        <v>2.3639132833704262E-2</v>
      </c>
      <c r="T477" s="11">
        <f t="shared" si="81"/>
        <v>-4.1788758006921127E-3</v>
      </c>
      <c r="U477" s="11">
        <f t="shared" si="73"/>
        <v>-1.5090726517453616E-3</v>
      </c>
      <c r="V477" s="11" cm="1">
        <f t="array" ref="V477">SUMPRODUCT(L477:T477,TRANSPOSE($Y$5:$Y$13))</f>
        <v>-1.7760529666400369E-3</v>
      </c>
    </row>
    <row r="478" spans="1:22" x14ac:dyDescent="0.2">
      <c r="A478" s="1">
        <v>43734</v>
      </c>
      <c r="B478" s="3">
        <v>49.490001999999997</v>
      </c>
      <c r="C478" s="3">
        <v>14.923333</v>
      </c>
      <c r="D478" s="3">
        <v>15.22</v>
      </c>
      <c r="E478" s="3">
        <v>42.257140999999997</v>
      </c>
      <c r="F478" s="3">
        <v>19.951685000000001</v>
      </c>
      <c r="G478" s="3">
        <v>28.700001</v>
      </c>
      <c r="H478" s="3">
        <v>27.700001</v>
      </c>
      <c r="I478" s="3">
        <v>42.678595999999999</v>
      </c>
      <c r="J478" s="3">
        <v>47.860000999999997</v>
      </c>
      <c r="L478" s="11">
        <f t="shared" si="72"/>
        <v>1.1651758448559162E-2</v>
      </c>
      <c r="M478" s="11">
        <f t="shared" si="74"/>
        <v>1.7268779822767526E-2</v>
      </c>
      <c r="N478" s="11">
        <f t="shared" si="75"/>
        <v>-4.5781556572922506E-3</v>
      </c>
      <c r="O478" s="11">
        <f t="shared" si="76"/>
        <v>-6.0484374593519291E-3</v>
      </c>
      <c r="P478" s="11">
        <f t="shared" si="77"/>
        <v>-9.9801633488150578E-4</v>
      </c>
      <c r="Q478" s="11">
        <f t="shared" si="78"/>
        <v>9.4970453746043119E-3</v>
      </c>
      <c r="R478" s="11">
        <f t="shared" si="79"/>
        <v>1.316755669348941E-2</v>
      </c>
      <c r="S478" s="11">
        <f t="shared" si="80"/>
        <v>1.0962505630296418E-2</v>
      </c>
      <c r="T478" s="11">
        <f t="shared" si="81"/>
        <v>0</v>
      </c>
      <c r="U478" s="11">
        <f t="shared" si="73"/>
        <v>5.6581151686879048E-3</v>
      </c>
      <c r="V478" s="11" cm="1">
        <f t="array" ref="V478">SUMPRODUCT(L478:T478,TRANSPOSE($Y$5:$Y$13))</f>
        <v>5.0923036518191146E-3</v>
      </c>
    </row>
    <row r="479" spans="1:22" x14ac:dyDescent="0.2">
      <c r="A479" s="1">
        <v>43733</v>
      </c>
      <c r="B479" s="3">
        <v>48.919998</v>
      </c>
      <c r="C479" s="3">
        <v>14.67</v>
      </c>
      <c r="D479" s="3">
        <v>15.29</v>
      </c>
      <c r="E479" s="3">
        <v>42.514285999999998</v>
      </c>
      <c r="F479" s="3">
        <v>19.971616999999998</v>
      </c>
      <c r="G479" s="3">
        <v>28.43</v>
      </c>
      <c r="H479" s="3">
        <v>27.34</v>
      </c>
      <c r="I479" s="3">
        <v>42.215805000000003</v>
      </c>
      <c r="J479" s="3">
        <v>47.860000999999997</v>
      </c>
      <c r="L479" s="11">
        <f t="shared" si="72"/>
        <v>-1.6326938775510277E-3</v>
      </c>
      <c r="M479" s="11">
        <f t="shared" si="74"/>
        <v>-6.5462305438479347E-3</v>
      </c>
      <c r="N479" s="11">
        <f t="shared" si="75"/>
        <v>5.921052631578938E-3</v>
      </c>
      <c r="O479" s="11">
        <f t="shared" si="76"/>
        <v>2.3853255462504688E-2</v>
      </c>
      <c r="P479" s="11">
        <f t="shared" si="77"/>
        <v>1.1099935516588916E-2</v>
      </c>
      <c r="Q479" s="11">
        <f t="shared" si="78"/>
        <v>-4.9002450122506321E-3</v>
      </c>
      <c r="R479" s="11">
        <f t="shared" si="79"/>
        <v>2.5669233590025773E-3</v>
      </c>
      <c r="S479" s="11">
        <f t="shared" si="80"/>
        <v>2.6558606138239082E-2</v>
      </c>
      <c r="T479" s="11">
        <f t="shared" si="81"/>
        <v>1.9816769656935802E-2</v>
      </c>
      <c r="U479" s="11">
        <f t="shared" si="73"/>
        <v>8.5263748145778234E-3</v>
      </c>
      <c r="V479" s="11" cm="1">
        <f t="array" ref="V479">SUMPRODUCT(L479:T479,TRANSPOSE($Y$5:$Y$13))</f>
        <v>9.6554142988136207E-3</v>
      </c>
    </row>
    <row r="480" spans="1:22" x14ac:dyDescent="0.2">
      <c r="A480" s="1">
        <v>43732</v>
      </c>
      <c r="B480" s="3">
        <v>49</v>
      </c>
      <c r="C480" s="3">
        <v>14.766666000000001</v>
      </c>
      <c r="D480" s="3">
        <v>15.2</v>
      </c>
      <c r="E480" s="3">
        <v>41.523808000000002</v>
      </c>
      <c r="F480" s="3">
        <v>19.752367</v>
      </c>
      <c r="G480" s="3">
        <v>28.57</v>
      </c>
      <c r="H480" s="3">
        <v>27.27</v>
      </c>
      <c r="I480" s="3">
        <v>41.123618999999998</v>
      </c>
      <c r="J480" s="3">
        <v>46.93</v>
      </c>
      <c r="L480" s="11">
        <f t="shared" si="72"/>
        <v>-2.0399919216489376E-4</v>
      </c>
      <c r="M480" s="11">
        <f t="shared" si="74"/>
        <v>-1.2483303889507438E-2</v>
      </c>
      <c r="N480" s="11">
        <f t="shared" si="75"/>
        <v>-1.1060507482107998E-2</v>
      </c>
      <c r="O480" s="11">
        <f t="shared" si="76"/>
        <v>-1.8901960411835235E-2</v>
      </c>
      <c r="P480" s="11">
        <f t="shared" si="77"/>
        <v>1.3810655181953322E-2</v>
      </c>
      <c r="Q480" s="11">
        <f t="shared" si="78"/>
        <v>-4.5296514101166767E-3</v>
      </c>
      <c r="R480" s="11">
        <f t="shared" si="79"/>
        <v>-7.6419213973799435E-3</v>
      </c>
      <c r="S480" s="11">
        <f t="shared" si="80"/>
        <v>-1.2666622154142559E-2</v>
      </c>
      <c r="T480" s="11">
        <f t="shared" si="81"/>
        <v>-2.4324283755687466E-2</v>
      </c>
      <c r="U480" s="11">
        <f t="shared" si="73"/>
        <v>-8.6668438345543219E-3</v>
      </c>
      <c r="V480" s="11" cm="1">
        <f t="array" ref="V480">SUMPRODUCT(L480:T480,TRANSPOSE($Y$5:$Y$13))</f>
        <v>-1.0232587826667635E-2</v>
      </c>
    </row>
    <row r="481" spans="1:22" x14ac:dyDescent="0.2">
      <c r="A481" s="1">
        <v>43731</v>
      </c>
      <c r="B481" s="3">
        <v>49.009998000000003</v>
      </c>
      <c r="C481" s="3">
        <v>14.953333000000001</v>
      </c>
      <c r="D481" s="3">
        <v>15.37</v>
      </c>
      <c r="E481" s="3">
        <v>42.323810999999999</v>
      </c>
      <c r="F481" s="3">
        <v>19.48329</v>
      </c>
      <c r="G481" s="3">
        <v>28.700001</v>
      </c>
      <c r="H481" s="3">
        <v>27.48</v>
      </c>
      <c r="I481" s="3">
        <v>41.651198999999998</v>
      </c>
      <c r="J481" s="3">
        <v>48.099997999999999</v>
      </c>
      <c r="L481" s="11">
        <f t="shared" si="72"/>
        <v>-2.4870673492665078E-2</v>
      </c>
      <c r="M481" s="11">
        <f t="shared" si="74"/>
        <v>-1.0150022513240178E-2</v>
      </c>
      <c r="N481" s="11">
        <f t="shared" si="75"/>
        <v>7.8688524590163414E-3</v>
      </c>
      <c r="O481" s="11">
        <f t="shared" si="76"/>
        <v>-3.3282533463411215E-2</v>
      </c>
      <c r="P481" s="11">
        <f t="shared" si="77"/>
        <v>-7.6141040879802004E-3</v>
      </c>
      <c r="Q481" s="11">
        <f t="shared" si="78"/>
        <v>0</v>
      </c>
      <c r="R481" s="11">
        <f t="shared" si="79"/>
        <v>1.7777777777777795E-2</v>
      </c>
      <c r="S481" s="11">
        <f t="shared" si="80"/>
        <v>-1.9394222969161476E-2</v>
      </c>
      <c r="T481" s="11">
        <f t="shared" si="81"/>
        <v>-6.6088395955737188E-3</v>
      </c>
      <c r="U481" s="11">
        <f t="shared" si="73"/>
        <v>-8.4748628761375251E-3</v>
      </c>
      <c r="V481" s="11" cm="1">
        <f t="array" ref="V481">SUMPRODUCT(L481:T481,TRANSPOSE($Y$5:$Y$13))</f>
        <v>-8.2882605480811469E-3</v>
      </c>
    </row>
    <row r="482" spans="1:22" x14ac:dyDescent="0.2">
      <c r="A482" s="1">
        <v>43728</v>
      </c>
      <c r="B482" s="3">
        <v>50.259998000000003</v>
      </c>
      <c r="C482" s="3">
        <v>15.106666000000001</v>
      </c>
      <c r="D482" s="3">
        <v>15.25</v>
      </c>
      <c r="E482" s="3">
        <v>43.780951999999999</v>
      </c>
      <c r="F482" s="3">
        <v>19.632776</v>
      </c>
      <c r="G482" s="3">
        <v>28.700001</v>
      </c>
      <c r="H482" s="3">
        <v>27</v>
      </c>
      <c r="I482" s="3">
        <v>42.474967999999997</v>
      </c>
      <c r="J482" s="3">
        <v>48.419998</v>
      </c>
      <c r="L482" s="11">
        <f t="shared" si="72"/>
        <v>1.0251216080402071E-2</v>
      </c>
      <c r="M482" s="11">
        <f t="shared" si="74"/>
        <v>1.6599327052489985E-2</v>
      </c>
      <c r="N482" s="11">
        <f t="shared" si="75"/>
        <v>-1.929260450160776E-2</v>
      </c>
      <c r="O482" s="11">
        <f t="shared" si="76"/>
        <v>2.1800490160226826E-3</v>
      </c>
      <c r="P482" s="11">
        <f t="shared" si="77"/>
        <v>1.5251331194769035E-3</v>
      </c>
      <c r="Q482" s="11">
        <f t="shared" si="78"/>
        <v>1.8814376996805063E-2</v>
      </c>
      <c r="R482" s="11">
        <f t="shared" si="79"/>
        <v>-1.0626639405399808E-2</v>
      </c>
      <c r="S482" s="11">
        <f t="shared" si="80"/>
        <v>-4.3566682616577763E-4</v>
      </c>
      <c r="T482" s="11">
        <f t="shared" si="81"/>
        <v>2.0694950331125697E-3</v>
      </c>
      <c r="U482" s="11">
        <f t="shared" si="73"/>
        <v>2.3427429516817695E-3</v>
      </c>
      <c r="V482" s="11" cm="1">
        <f t="array" ref="V482">SUMPRODUCT(L482:T482,TRANSPOSE($Y$5:$Y$13))</f>
        <v>2.3154181598248496E-3</v>
      </c>
    </row>
    <row r="483" spans="1:22" x14ac:dyDescent="0.2">
      <c r="A483" s="1">
        <v>43727</v>
      </c>
      <c r="B483" s="3">
        <v>49.75</v>
      </c>
      <c r="C483" s="3">
        <v>14.86</v>
      </c>
      <c r="D483" s="3">
        <v>15.55</v>
      </c>
      <c r="E483" s="3">
        <v>43.685715000000002</v>
      </c>
      <c r="F483" s="3">
        <v>19.602879000000001</v>
      </c>
      <c r="G483" s="3">
        <v>28.17</v>
      </c>
      <c r="H483" s="3">
        <v>27.290001</v>
      </c>
      <c r="I483" s="3">
        <v>42.493481000000003</v>
      </c>
      <c r="J483" s="3">
        <v>48.32</v>
      </c>
      <c r="L483" s="11">
        <f t="shared" si="72"/>
        <v>9.1278095157770762E-3</v>
      </c>
      <c r="M483" s="11">
        <f t="shared" si="74"/>
        <v>-7.5689894828359717E-3</v>
      </c>
      <c r="N483" s="11">
        <f t="shared" si="75"/>
        <v>1.287830006439237E-3</v>
      </c>
      <c r="O483" s="11">
        <f t="shared" si="76"/>
        <v>1.63970770959872E-2</v>
      </c>
      <c r="P483" s="11">
        <f t="shared" si="77"/>
        <v>2.7154015996307873E-2</v>
      </c>
      <c r="Q483" s="11">
        <f t="shared" si="78"/>
        <v>3.528118468508587E-2</v>
      </c>
      <c r="R483" s="11">
        <f t="shared" si="79"/>
        <v>2.5717120709666001E-3</v>
      </c>
      <c r="S483" s="11">
        <f t="shared" si="80"/>
        <v>-5.2003695697437052E-3</v>
      </c>
      <c r="T483" s="11">
        <f t="shared" si="81"/>
        <v>-1.6529338159944776E-3</v>
      </c>
      <c r="U483" s="11">
        <f t="shared" si="73"/>
        <v>8.599704055776633E-3</v>
      </c>
      <c r="V483" s="11" cm="1">
        <f t="array" ref="V483">SUMPRODUCT(L483:T483,TRANSPOSE($Y$5:$Y$13))</f>
        <v>7.5744402685995228E-3</v>
      </c>
    </row>
    <row r="484" spans="1:22" x14ac:dyDescent="0.2">
      <c r="A484" s="1">
        <v>43726</v>
      </c>
      <c r="B484" s="3">
        <v>49.299999</v>
      </c>
      <c r="C484" s="3">
        <v>14.973333</v>
      </c>
      <c r="D484" s="3">
        <v>15.53</v>
      </c>
      <c r="E484" s="3">
        <v>42.980953</v>
      </c>
      <c r="F484" s="3">
        <v>19.084654</v>
      </c>
      <c r="G484" s="3">
        <v>27.209999</v>
      </c>
      <c r="H484" s="3">
        <v>27.219999000000001</v>
      </c>
      <c r="I484" s="3">
        <v>42.715617999999999</v>
      </c>
      <c r="J484" s="3">
        <v>48.400002000000001</v>
      </c>
      <c r="L484" s="11">
        <f t="shared" si="72"/>
        <v>4.4824162802601219E-3</v>
      </c>
      <c r="M484" s="11">
        <f t="shared" si="74"/>
        <v>1.8132389761214403E-2</v>
      </c>
      <c r="N484" s="11">
        <f t="shared" si="75"/>
        <v>9.0968161143598954E-3</v>
      </c>
      <c r="O484" s="11">
        <f t="shared" si="76"/>
        <v>1.4157351023104609E-2</v>
      </c>
      <c r="P484" s="11">
        <f t="shared" si="77"/>
        <v>0</v>
      </c>
      <c r="Q484" s="11">
        <f t="shared" si="78"/>
        <v>9.2729973765948576E-3</v>
      </c>
      <c r="R484" s="11">
        <f t="shared" si="79"/>
        <v>-1.697370830719715E-2</v>
      </c>
      <c r="S484" s="11">
        <f t="shared" si="80"/>
        <v>-3.0244926135604665E-3</v>
      </c>
      <c r="T484" s="11">
        <f t="shared" si="81"/>
        <v>-1.0224948457057322E-2</v>
      </c>
      <c r="U484" s="11">
        <f t="shared" si="73"/>
        <v>2.7687579086354383E-3</v>
      </c>
      <c r="V484" s="11" cm="1">
        <f t="array" ref="V484">SUMPRODUCT(L484:T484,TRANSPOSE($Y$5:$Y$13))</f>
        <v>1.4693872720661625E-3</v>
      </c>
    </row>
    <row r="485" spans="1:22" x14ac:dyDescent="0.2">
      <c r="A485" s="1">
        <v>43725</v>
      </c>
      <c r="B485" s="3">
        <v>49.080002</v>
      </c>
      <c r="C485" s="3">
        <v>14.706666</v>
      </c>
      <c r="D485" s="3">
        <v>15.39</v>
      </c>
      <c r="E485" s="3">
        <v>42.380951000000003</v>
      </c>
      <c r="F485" s="3">
        <v>19.084654</v>
      </c>
      <c r="G485" s="3">
        <v>26.959999</v>
      </c>
      <c r="H485" s="3">
        <v>27.690000999999999</v>
      </c>
      <c r="I485" s="3">
        <v>42.845202999999998</v>
      </c>
      <c r="J485" s="3">
        <v>48.900002000000001</v>
      </c>
      <c r="L485" s="11">
        <f t="shared" si="72"/>
        <v>1.8046111139724291E-2</v>
      </c>
      <c r="M485" s="11">
        <f t="shared" si="74"/>
        <v>2.4378919172459653E-2</v>
      </c>
      <c r="N485" s="11">
        <f t="shared" si="75"/>
        <v>4.5691906005222117E-3</v>
      </c>
      <c r="O485" s="11">
        <f t="shared" si="76"/>
        <v>5.8770572874953762E-3</v>
      </c>
      <c r="P485" s="11">
        <f t="shared" si="77"/>
        <v>2.5160643194816201E-2</v>
      </c>
      <c r="Q485" s="11">
        <f t="shared" si="78"/>
        <v>2.3927041397645333E-2</v>
      </c>
      <c r="R485" s="11">
        <f t="shared" si="79"/>
        <v>-1.3185959129934484E-2</v>
      </c>
      <c r="S485" s="11">
        <f t="shared" si="80"/>
        <v>6.9611012146814869E-3</v>
      </c>
      <c r="T485" s="11">
        <f t="shared" si="81"/>
        <v>6.3799547231940153E-3</v>
      </c>
      <c r="U485" s="11">
        <f t="shared" si="73"/>
        <v>1.1346006622289344E-2</v>
      </c>
      <c r="V485" s="11" cm="1">
        <f t="array" ref="V485">SUMPRODUCT(L485:T485,TRANSPOSE($Y$5:$Y$13))</f>
        <v>1.0849401432379811E-2</v>
      </c>
    </row>
    <row r="486" spans="1:22" x14ac:dyDescent="0.2">
      <c r="A486" s="1">
        <v>43724</v>
      </c>
      <c r="B486" s="3">
        <v>48.209999000000003</v>
      </c>
      <c r="C486" s="3">
        <v>14.356666000000001</v>
      </c>
      <c r="D486" s="3">
        <v>15.32</v>
      </c>
      <c r="E486" s="3">
        <v>42.133330999999998</v>
      </c>
      <c r="F486" s="3">
        <v>18.616257000000001</v>
      </c>
      <c r="G486" s="3">
        <v>26.33</v>
      </c>
      <c r="H486" s="3">
        <v>28.059999000000001</v>
      </c>
      <c r="I486" s="3">
        <v>42.549014999999997</v>
      </c>
      <c r="J486" s="3">
        <v>48.59</v>
      </c>
      <c r="L486" s="11">
        <f t="shared" si="72"/>
        <v>2.2869231720135208E-3</v>
      </c>
      <c r="M486" s="11">
        <f t="shared" si="74"/>
        <v>1.6278837587880598E-3</v>
      </c>
      <c r="N486" s="11">
        <f t="shared" si="75"/>
        <v>6.5316786414107029E-4</v>
      </c>
      <c r="O486" s="11">
        <f t="shared" si="76"/>
        <v>5.4544874876034438E-3</v>
      </c>
      <c r="P486" s="11">
        <f t="shared" si="77"/>
        <v>1.3015237735058464E-2</v>
      </c>
      <c r="Q486" s="11">
        <f t="shared" si="78"/>
        <v>1.4643506179440918E-2</v>
      </c>
      <c r="R486" s="11">
        <f t="shared" si="79"/>
        <v>4.389881115694981E-2</v>
      </c>
      <c r="S486" s="11">
        <f t="shared" si="80"/>
        <v>-6.5216295585712215E-4</v>
      </c>
      <c r="T486" s="11">
        <f t="shared" si="81"/>
        <v>-2.4101244745907784E-2</v>
      </c>
      <c r="U486" s="11">
        <f t="shared" si="73"/>
        <v>6.3140677391367072E-3</v>
      </c>
      <c r="V486" s="11" cm="1">
        <f t="array" ref="V486">SUMPRODUCT(L486:T486,TRANSPOSE($Y$5:$Y$13))</f>
        <v>3.27253649063226E-3</v>
      </c>
    </row>
    <row r="487" spans="1:22" x14ac:dyDescent="0.2">
      <c r="A487" s="1">
        <v>43721</v>
      </c>
      <c r="B487" s="3">
        <v>48.099997999999999</v>
      </c>
      <c r="C487" s="3">
        <v>14.333333</v>
      </c>
      <c r="D487" s="3">
        <v>15.31</v>
      </c>
      <c r="E487" s="3">
        <v>41.904761999999998</v>
      </c>
      <c r="F487" s="3">
        <v>18.377075000000001</v>
      </c>
      <c r="G487" s="3">
        <v>25.950001</v>
      </c>
      <c r="H487" s="3">
        <v>26.879999000000002</v>
      </c>
      <c r="I487" s="3">
        <v>42.576782000000001</v>
      </c>
      <c r="J487" s="3">
        <v>49.790000999999997</v>
      </c>
      <c r="L487" s="11">
        <f t="shared" si="72"/>
        <v>-1.2320389890751767E-2</v>
      </c>
      <c r="M487" s="11">
        <f t="shared" si="74"/>
        <v>-3.3273360309053958E-2</v>
      </c>
      <c r="N487" s="11">
        <f t="shared" si="75"/>
        <v>1.9633507853403886E-3</v>
      </c>
      <c r="O487" s="11">
        <f t="shared" si="76"/>
        <v>-3.1903159363460248E-2</v>
      </c>
      <c r="P487" s="11">
        <f t="shared" si="77"/>
        <v>-2.226941637484799E-2</v>
      </c>
      <c r="Q487" s="11">
        <f t="shared" si="78"/>
        <v>-3.3879373273292136E-2</v>
      </c>
      <c r="R487" s="11">
        <f t="shared" si="79"/>
        <v>-6.6518849464850208E-3</v>
      </c>
      <c r="S487" s="11">
        <f t="shared" si="80"/>
        <v>4.3668017199418561E-3</v>
      </c>
      <c r="T487" s="11">
        <f t="shared" si="81"/>
        <v>2.0125176496782857E-3</v>
      </c>
      <c r="U487" s="11">
        <f t="shared" si="73"/>
        <v>-1.4661657111436735E-2</v>
      </c>
      <c r="V487" s="11" cm="1">
        <f t="array" ref="V487">SUMPRODUCT(L487:T487,TRANSPOSE($Y$5:$Y$13))</f>
        <v>-1.2994239635325231E-2</v>
      </c>
    </row>
    <row r="488" spans="1:22" x14ac:dyDescent="0.2">
      <c r="A488" s="1">
        <v>43720</v>
      </c>
      <c r="B488" s="3">
        <v>48.700001</v>
      </c>
      <c r="C488" s="3">
        <v>14.826665999999999</v>
      </c>
      <c r="D488" s="3">
        <v>15.28</v>
      </c>
      <c r="E488" s="3">
        <v>43.285713000000001</v>
      </c>
      <c r="F488" s="3">
        <v>18.795642999999998</v>
      </c>
      <c r="G488" s="3">
        <v>26.860001</v>
      </c>
      <c r="H488" s="3">
        <v>27.059999000000001</v>
      </c>
      <c r="I488" s="3">
        <v>42.391666000000001</v>
      </c>
      <c r="J488" s="3">
        <v>49.689999</v>
      </c>
      <c r="L488" s="11">
        <f t="shared" si="72"/>
        <v>-1.5365912158631524E-2</v>
      </c>
      <c r="M488" s="11">
        <f t="shared" si="74"/>
        <v>-1.1228610178050972E-3</v>
      </c>
      <c r="N488" s="11">
        <f t="shared" si="75"/>
        <v>3.9421813403415712E-3</v>
      </c>
      <c r="O488" s="11">
        <f t="shared" si="76"/>
        <v>-4.3811567752637375E-3</v>
      </c>
      <c r="P488" s="11">
        <f t="shared" si="77"/>
        <v>3.7253785963192411E-3</v>
      </c>
      <c r="Q488" s="11">
        <f t="shared" si="78"/>
        <v>-7.0239558973735723E-3</v>
      </c>
      <c r="R488" s="11">
        <f t="shared" si="79"/>
        <v>7.071008296575902E-3</v>
      </c>
      <c r="S488" s="11">
        <f t="shared" si="80"/>
        <v>-2.8304248168274796E-3</v>
      </c>
      <c r="T488" s="11">
        <f t="shared" si="81"/>
        <v>3.6287757324551459E-2</v>
      </c>
      <c r="U488" s="11">
        <f t="shared" si="73"/>
        <v>2.2557794324318623E-3</v>
      </c>
      <c r="V488" s="11" cm="1">
        <f t="array" ref="V488">SUMPRODUCT(L488:T488,TRANSPOSE($Y$5:$Y$13))</f>
        <v>5.6589772216438222E-3</v>
      </c>
    </row>
    <row r="489" spans="1:22" x14ac:dyDescent="0.2">
      <c r="A489" s="1">
        <v>43719</v>
      </c>
      <c r="B489" s="3">
        <v>49.459999000000003</v>
      </c>
      <c r="C489" s="3">
        <v>14.843332999999999</v>
      </c>
      <c r="D489" s="3">
        <v>15.22</v>
      </c>
      <c r="E489" s="3">
        <v>43.476188999999998</v>
      </c>
      <c r="F489" s="3">
        <v>18.725881999999999</v>
      </c>
      <c r="G489" s="3">
        <v>27.049999</v>
      </c>
      <c r="H489" s="3">
        <v>26.870000999999998</v>
      </c>
      <c r="I489" s="3">
        <v>42.511992999999997</v>
      </c>
      <c r="J489" s="3">
        <v>47.950001</v>
      </c>
      <c r="L489" s="11">
        <f t="shared" si="72"/>
        <v>3.4511565896014174E-2</v>
      </c>
      <c r="M489" s="11">
        <f t="shared" si="74"/>
        <v>1.4350797593412182E-2</v>
      </c>
      <c r="N489" s="11">
        <f t="shared" si="75"/>
        <v>8.6149768058317276E-3</v>
      </c>
      <c r="O489" s="11">
        <f t="shared" si="76"/>
        <v>1.6930262128096629E-2</v>
      </c>
      <c r="P489" s="11">
        <f t="shared" si="77"/>
        <v>5.2071697064816048E-2</v>
      </c>
      <c r="Q489" s="11">
        <f t="shared" si="78"/>
        <v>3.7591062523973894E-2</v>
      </c>
      <c r="R489" s="11">
        <f t="shared" si="79"/>
        <v>-8.4870479704798139E-3</v>
      </c>
      <c r="S489" s="11">
        <f t="shared" si="80"/>
        <v>2.066672798542963E-2</v>
      </c>
      <c r="T489" s="11">
        <f t="shared" si="81"/>
        <v>-6.011629103995407E-3</v>
      </c>
      <c r="U489" s="11">
        <f t="shared" si="73"/>
        <v>1.8915379213677676E-2</v>
      </c>
      <c r="V489" s="11" cm="1">
        <f t="array" ref="V489">SUMPRODUCT(L489:T489,TRANSPOSE($Y$5:$Y$13))</f>
        <v>1.6422678381910364E-2</v>
      </c>
    </row>
    <row r="490" spans="1:22" x14ac:dyDescent="0.2">
      <c r="A490" s="1">
        <v>43718</v>
      </c>
      <c r="B490" s="3">
        <v>47.810001</v>
      </c>
      <c r="C490" s="3">
        <v>14.633333</v>
      </c>
      <c r="D490" s="3">
        <v>15.09</v>
      </c>
      <c r="E490" s="3">
        <v>42.752380000000002</v>
      </c>
      <c r="F490" s="3">
        <v>17.799054999999999</v>
      </c>
      <c r="G490" s="3">
        <v>26.07</v>
      </c>
      <c r="H490" s="3">
        <v>27.1</v>
      </c>
      <c r="I490" s="3">
        <v>41.651198999999998</v>
      </c>
      <c r="J490" s="3">
        <v>48.240001999999997</v>
      </c>
      <c r="L490" s="11">
        <f t="shared" si="72"/>
        <v>-2.5036302941790103E-3</v>
      </c>
      <c r="M490" s="11">
        <f t="shared" si="74"/>
        <v>1.8256732919065702E-3</v>
      </c>
      <c r="N490" s="11">
        <f t="shared" si="75"/>
        <v>-7.2368421052631205E-3</v>
      </c>
      <c r="O490" s="11">
        <f t="shared" si="76"/>
        <v>-1.384004785527449E-2</v>
      </c>
      <c r="P490" s="11">
        <f t="shared" si="77"/>
        <v>-3.1978282965703986E-2</v>
      </c>
      <c r="Q490" s="11">
        <f t="shared" si="78"/>
        <v>2.0751721975265393E-2</v>
      </c>
      <c r="R490" s="11">
        <f t="shared" si="79"/>
        <v>6.3126624582250908E-3</v>
      </c>
      <c r="S490" s="11">
        <f t="shared" si="80"/>
        <v>5.5865788259162E-3</v>
      </c>
      <c r="T490" s="11">
        <f t="shared" si="81"/>
        <v>7.3084779141464138E-3</v>
      </c>
      <c r="U490" s="11">
        <f t="shared" si="73"/>
        <v>-1.5304098616623256E-3</v>
      </c>
      <c r="V490" s="11" cm="1">
        <f t="array" ref="V490">SUMPRODUCT(L490:T490,TRANSPOSE($Y$5:$Y$13))</f>
        <v>-6.465210840814516E-4</v>
      </c>
    </row>
    <row r="491" spans="1:22" x14ac:dyDescent="0.2">
      <c r="A491" s="1">
        <v>43717</v>
      </c>
      <c r="B491" s="3">
        <v>47.93</v>
      </c>
      <c r="C491" s="3">
        <v>14.606666000000001</v>
      </c>
      <c r="D491" s="3">
        <v>15.2</v>
      </c>
      <c r="E491" s="3">
        <v>43.352378999999999</v>
      </c>
      <c r="F491" s="3">
        <v>18.387041</v>
      </c>
      <c r="G491" s="3">
        <v>25.540001</v>
      </c>
      <c r="H491" s="3">
        <v>26.93</v>
      </c>
      <c r="I491" s="3">
        <v>41.419803999999999</v>
      </c>
      <c r="J491" s="3">
        <v>47.889999000000003</v>
      </c>
      <c r="L491" s="11">
        <f t="shared" si="72"/>
        <v>-1.2503020941736411E-3</v>
      </c>
      <c r="M491" s="11">
        <f t="shared" si="74"/>
        <v>-4.5315947712418307E-2</v>
      </c>
      <c r="N491" s="11">
        <f t="shared" si="75"/>
        <v>1.3333333333333286E-2</v>
      </c>
      <c r="O491" s="11">
        <f t="shared" si="76"/>
        <v>-2.7973521433790206E-2</v>
      </c>
      <c r="P491" s="11">
        <f t="shared" si="77"/>
        <v>-1.6000143422729894E-2</v>
      </c>
      <c r="Q491" s="11">
        <f t="shared" si="78"/>
        <v>-2.8897263456169695E-2</v>
      </c>
      <c r="R491" s="11">
        <f t="shared" si="79"/>
        <v>1.5460030165912525E-2</v>
      </c>
      <c r="S491" s="11">
        <f t="shared" si="80"/>
        <v>-2.8019181012877321E-2</v>
      </c>
      <c r="T491" s="11">
        <f t="shared" si="81"/>
        <v>3.1001032701807752E-2</v>
      </c>
      <c r="U491" s="11">
        <f t="shared" si="73"/>
        <v>-9.7402181034561656E-3</v>
      </c>
      <c r="V491" s="11" cm="1">
        <f t="array" ref="V491">SUMPRODUCT(L491:T491,TRANSPOSE($Y$5:$Y$13))</f>
        <v>-5.6660930229297767E-3</v>
      </c>
    </row>
    <row r="492" spans="1:22" x14ac:dyDescent="0.2">
      <c r="A492" s="1">
        <v>43714</v>
      </c>
      <c r="B492" s="3">
        <v>47.990001999999997</v>
      </c>
      <c r="C492" s="3">
        <v>15.3</v>
      </c>
      <c r="D492" s="3">
        <v>15</v>
      </c>
      <c r="E492" s="3">
        <v>44.599997999999999</v>
      </c>
      <c r="F492" s="3">
        <v>18.686019999999999</v>
      </c>
      <c r="G492" s="3">
        <v>26.299999</v>
      </c>
      <c r="H492" s="3">
        <v>26.52</v>
      </c>
      <c r="I492" s="3">
        <v>42.613807999999999</v>
      </c>
      <c r="J492" s="3">
        <v>46.450001</v>
      </c>
      <c r="L492" s="11">
        <f t="shared" si="72"/>
        <v>-9.0852364237043737E-3</v>
      </c>
      <c r="M492" s="11">
        <f t="shared" si="74"/>
        <v>1.3245033112582853E-2</v>
      </c>
      <c r="N492" s="11">
        <f t="shared" si="75"/>
        <v>6.6711140760505579E-4</v>
      </c>
      <c r="O492" s="11">
        <f t="shared" si="76"/>
        <v>-8.8889333333333469E-3</v>
      </c>
      <c r="P492" s="11">
        <f t="shared" si="77"/>
        <v>-1.2117957409355996E-2</v>
      </c>
      <c r="Q492" s="11">
        <f t="shared" si="78"/>
        <v>-1.0161874294316921E-2</v>
      </c>
      <c r="R492" s="11">
        <f t="shared" si="79"/>
        <v>4.9261464541927435E-3</v>
      </c>
      <c r="S492" s="11">
        <f t="shared" si="80"/>
        <v>-2.0425487212017066E-2</v>
      </c>
      <c r="T492" s="11">
        <f t="shared" si="81"/>
        <v>-1.5047076526225882E-3</v>
      </c>
      <c r="U492" s="11">
        <f t="shared" si="73"/>
        <v>-4.8162117056632925E-3</v>
      </c>
      <c r="V492" s="11" cm="1">
        <f t="array" ref="V492">SUMPRODUCT(L492:T492,TRANSPOSE($Y$5:$Y$13))</f>
        <v>-4.485061300359223E-3</v>
      </c>
    </row>
    <row r="493" spans="1:22" x14ac:dyDescent="0.2">
      <c r="A493" s="1">
        <v>43713</v>
      </c>
      <c r="B493" s="3">
        <v>48.43</v>
      </c>
      <c r="C493" s="3">
        <v>15.1</v>
      </c>
      <c r="D493" s="3">
        <v>14.99</v>
      </c>
      <c r="E493" s="3">
        <v>45</v>
      </c>
      <c r="F493" s="3">
        <v>18.915234000000002</v>
      </c>
      <c r="G493" s="3">
        <v>26.57</v>
      </c>
      <c r="H493" s="3">
        <v>26.389999</v>
      </c>
      <c r="I493" s="3">
        <v>43.502364999999998</v>
      </c>
      <c r="J493" s="3">
        <v>46.52</v>
      </c>
      <c r="L493" s="11">
        <f t="shared" si="72"/>
        <v>7.0700769390724949E-3</v>
      </c>
      <c r="M493" s="11">
        <f t="shared" si="74"/>
        <v>1.501236903483613E-2</v>
      </c>
      <c r="N493" s="11">
        <f t="shared" si="75"/>
        <v>-7.2847682119204921E-3</v>
      </c>
      <c r="O493" s="11">
        <f t="shared" si="76"/>
        <v>1.4836646664144239E-3</v>
      </c>
      <c r="P493" s="11">
        <f t="shared" si="77"/>
        <v>-3.1512468307688807E-3</v>
      </c>
      <c r="Q493" s="11">
        <f t="shared" si="78"/>
        <v>1.026619810898094E-2</v>
      </c>
      <c r="R493" s="11">
        <f t="shared" si="79"/>
        <v>4.9504569687737233E-3</v>
      </c>
      <c r="S493" s="11">
        <f t="shared" si="80"/>
        <v>4.2734939146297293E-3</v>
      </c>
      <c r="T493" s="11">
        <f t="shared" si="81"/>
        <v>0</v>
      </c>
      <c r="U493" s="11">
        <f t="shared" si="73"/>
        <v>3.6244716211131186E-3</v>
      </c>
      <c r="V493" s="11" cm="1">
        <f t="array" ref="V493">SUMPRODUCT(L493:T493,TRANSPOSE($Y$5:$Y$13))</f>
        <v>3.2620244590018058E-3</v>
      </c>
    </row>
    <row r="494" spans="1:22" x14ac:dyDescent="0.2">
      <c r="A494" s="1">
        <v>43712</v>
      </c>
      <c r="B494" s="3">
        <v>48.09</v>
      </c>
      <c r="C494" s="3">
        <v>14.876666</v>
      </c>
      <c r="D494" s="3">
        <v>15.1</v>
      </c>
      <c r="E494" s="3">
        <v>44.933334000000002</v>
      </c>
      <c r="F494" s="3">
        <v>18.975028999999999</v>
      </c>
      <c r="G494" s="3">
        <v>26.299999</v>
      </c>
      <c r="H494" s="3">
        <v>26.26</v>
      </c>
      <c r="I494" s="3">
        <v>43.317248999999997</v>
      </c>
      <c r="J494" s="3">
        <v>46.52</v>
      </c>
      <c r="L494" s="11">
        <f t="shared" si="72"/>
        <v>1.0294160096393366E-2</v>
      </c>
      <c r="M494" s="11">
        <f t="shared" si="74"/>
        <v>2.0114263316897484E-2</v>
      </c>
      <c r="N494" s="11">
        <f t="shared" si="75"/>
        <v>2.0270270270270199E-2</v>
      </c>
      <c r="O494" s="11">
        <f t="shared" si="76"/>
        <v>1.3316169501662915E-2</v>
      </c>
      <c r="P494" s="11">
        <f t="shared" si="77"/>
        <v>2.2007573131868526E-2</v>
      </c>
      <c r="Q494" s="11">
        <f t="shared" si="78"/>
        <v>9.9845618285498341E-3</v>
      </c>
      <c r="R494" s="11">
        <f t="shared" si="79"/>
        <v>2.5781250000000006E-2</v>
      </c>
      <c r="S494" s="11">
        <f t="shared" si="80"/>
        <v>1.4084567382356439E-2</v>
      </c>
      <c r="T494" s="11">
        <f t="shared" si="81"/>
        <v>2.196836555360281E-2</v>
      </c>
      <c r="U494" s="11">
        <f t="shared" si="73"/>
        <v>1.7535686786844619E-2</v>
      </c>
      <c r="V494" s="11" cm="1">
        <f t="array" ref="V494">SUMPRODUCT(L494:T494,TRANSPOSE($Y$5:$Y$13))</f>
        <v>1.7978954663520438E-2</v>
      </c>
    </row>
    <row r="495" spans="1:22" x14ac:dyDescent="0.2">
      <c r="A495" s="1">
        <v>43711</v>
      </c>
      <c r="B495" s="3">
        <v>47.599997999999999</v>
      </c>
      <c r="C495" s="3">
        <v>14.583333</v>
      </c>
      <c r="D495" s="3">
        <v>14.8</v>
      </c>
      <c r="E495" s="3">
        <v>44.342857000000002</v>
      </c>
      <c r="F495" s="3">
        <v>18.566427000000001</v>
      </c>
      <c r="G495" s="3">
        <v>26.040001</v>
      </c>
      <c r="H495" s="3">
        <v>25.6</v>
      </c>
      <c r="I495" s="3">
        <v>42.715617999999999</v>
      </c>
      <c r="J495" s="3">
        <v>45.52</v>
      </c>
      <c r="L495" s="11">
        <f t="shared" si="72"/>
        <v>-1.2448194762485605E-2</v>
      </c>
      <c r="M495" s="11">
        <f t="shared" si="74"/>
        <v>-4.3240557270849272E-3</v>
      </c>
      <c r="N495" s="11">
        <f t="shared" si="75"/>
        <v>-1.1356045424181692E-2</v>
      </c>
      <c r="O495" s="11">
        <f t="shared" si="76"/>
        <v>-7.2494108805617333E-3</v>
      </c>
      <c r="P495" s="11">
        <f t="shared" si="77"/>
        <v>1.6128692910702186E-3</v>
      </c>
      <c r="Q495" s="11">
        <f t="shared" si="78"/>
        <v>-6.1068699959209976E-3</v>
      </c>
      <c r="R495" s="11">
        <f t="shared" si="79"/>
        <v>1.1857747504258864E-2</v>
      </c>
      <c r="S495" s="11">
        <f t="shared" si="80"/>
        <v>-4.193487821781243E-2</v>
      </c>
      <c r="T495" s="11">
        <f t="shared" si="81"/>
        <v>-1.0649815720487532E-2</v>
      </c>
      <c r="U495" s="11">
        <f t="shared" si="73"/>
        <v>-8.9554059925784271E-3</v>
      </c>
      <c r="V495" s="11" cm="1">
        <f t="array" ref="V495">SUMPRODUCT(L495:T495,TRANSPOSE($Y$5:$Y$13))</f>
        <v>-9.1248469653693372E-3</v>
      </c>
    </row>
    <row r="496" spans="1:22" x14ac:dyDescent="0.2">
      <c r="A496" s="1">
        <v>43710</v>
      </c>
      <c r="B496" s="3">
        <v>48.200001</v>
      </c>
      <c r="C496" s="3">
        <v>14.646666</v>
      </c>
      <c r="D496" s="3">
        <v>14.97</v>
      </c>
      <c r="E496" s="3">
        <v>44.666663999999997</v>
      </c>
      <c r="F496" s="3">
        <v>18.536529999999999</v>
      </c>
      <c r="G496" s="3">
        <v>26.200001</v>
      </c>
      <c r="H496" s="3">
        <v>25.299999</v>
      </c>
      <c r="I496" s="3">
        <v>44.585296999999997</v>
      </c>
      <c r="J496" s="3">
        <v>46.009998000000003</v>
      </c>
      <c r="L496" s="11">
        <f t="shared" si="72"/>
        <v>-2.5869017784963554E-2</v>
      </c>
      <c r="M496" s="11">
        <f t="shared" si="74"/>
        <v>-1.9196451321349332E-2</v>
      </c>
      <c r="N496" s="11">
        <f t="shared" si="75"/>
        <v>-5.9760956175298708E-3</v>
      </c>
      <c r="O496" s="11">
        <f t="shared" si="76"/>
        <v>-2.9762277450051376E-3</v>
      </c>
      <c r="P496" s="11">
        <f t="shared" si="77"/>
        <v>-6.9407159058412615E-3</v>
      </c>
      <c r="Q496" s="11">
        <f t="shared" si="78"/>
        <v>8.0800692574067683E-3</v>
      </c>
      <c r="R496" s="11">
        <f t="shared" si="79"/>
        <v>-7.8431764705882475E-3</v>
      </c>
      <c r="S496" s="11">
        <f t="shared" si="80"/>
        <v>-5.7791530994018197E-3</v>
      </c>
      <c r="T496" s="11">
        <f t="shared" si="81"/>
        <v>9.6554312047400209E-3</v>
      </c>
      <c r="U496" s="11">
        <f t="shared" si="73"/>
        <v>-6.3161486091702712E-3</v>
      </c>
      <c r="V496" s="11" cm="1">
        <f t="array" ref="V496">SUMPRODUCT(L496:T496,TRANSPOSE($Y$5:$Y$13))</f>
        <v>-4.7189906277792419E-3</v>
      </c>
    </row>
    <row r="497" spans="1:22" x14ac:dyDescent="0.2">
      <c r="A497" s="1">
        <v>43707</v>
      </c>
      <c r="B497" s="3">
        <v>49.48</v>
      </c>
      <c r="C497" s="3">
        <v>14.933332999999999</v>
      </c>
      <c r="D497" s="3">
        <v>15.06</v>
      </c>
      <c r="E497" s="3">
        <v>44.799999</v>
      </c>
      <c r="F497" s="3">
        <v>18.666086</v>
      </c>
      <c r="G497" s="3">
        <v>25.99</v>
      </c>
      <c r="H497" s="3">
        <v>25.5</v>
      </c>
      <c r="I497" s="3">
        <v>44.844459999999998</v>
      </c>
      <c r="J497" s="3">
        <v>45.57</v>
      </c>
      <c r="P497" s="3"/>
      <c r="V497" s="11" cm="1">
        <f t="array" ref="V497">SUMPRODUCT(L497:T497,TRANSPOSE($Y$5:$Y$13))</f>
        <v>0</v>
      </c>
    </row>
  </sheetData>
  <mergeCells count="1">
    <mergeCell ref="D1:G1"/>
  </mergeCells>
  <conditionalFormatting sqref="L4:V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B2" r:id="rId1" xr:uid="{D503B27D-8376-8147-A2F0-83AFF2E2E79B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A89B-5B69-1443-9948-C6A2E64D4496}">
  <dimension ref="A1:J10"/>
  <sheetViews>
    <sheetView zoomScaleNormal="100" workbookViewId="0">
      <selection activeCell="B26" sqref="B26"/>
    </sheetView>
  </sheetViews>
  <sheetFormatPr baseColWidth="10" defaultRowHeight="16" x14ac:dyDescent="0.2"/>
  <cols>
    <col min="1" max="1" width="16.1640625" customWidth="1"/>
    <col min="6" max="6" width="17.5" customWidth="1"/>
  </cols>
  <sheetData>
    <row r="1" spans="1:10" x14ac:dyDescent="0.2">
      <c r="A1" s="9"/>
      <c r="B1" s="9" t="s">
        <v>6</v>
      </c>
      <c r="C1" s="9" t="s">
        <v>8</v>
      </c>
      <c r="D1" s="9" t="s">
        <v>4</v>
      </c>
      <c r="E1" s="32" t="s">
        <v>5</v>
      </c>
      <c r="F1" s="9" t="s">
        <v>1</v>
      </c>
      <c r="G1" s="9" t="s">
        <v>3</v>
      </c>
      <c r="H1" s="9" t="s">
        <v>0</v>
      </c>
      <c r="I1" s="9" t="s">
        <v>7</v>
      </c>
      <c r="J1" s="9" t="s">
        <v>2</v>
      </c>
    </row>
    <row r="2" spans="1:10" x14ac:dyDescent="0.2">
      <c r="A2" t="s">
        <v>6</v>
      </c>
      <c r="B2" s="13"/>
      <c r="C2" s="13"/>
      <c r="D2" s="13"/>
      <c r="E2" s="31"/>
      <c r="F2" s="13"/>
      <c r="G2" s="13"/>
      <c r="H2" s="13"/>
      <c r="I2" s="13"/>
      <c r="J2" s="13"/>
    </row>
    <row r="3" spans="1:10" x14ac:dyDescent="0.2">
      <c r="A3" t="s">
        <v>8</v>
      </c>
      <c r="B3" s="13">
        <v>0.51536965627152365</v>
      </c>
      <c r="C3" s="13"/>
      <c r="D3" s="13"/>
      <c r="E3" s="31"/>
      <c r="F3" s="13"/>
      <c r="G3" s="13"/>
      <c r="H3" s="13"/>
      <c r="I3" s="13"/>
      <c r="J3" s="13"/>
    </row>
    <row r="4" spans="1:10" x14ac:dyDescent="0.2">
      <c r="A4" t="s">
        <v>4</v>
      </c>
      <c r="B4" s="13">
        <v>0.2673518682419741</v>
      </c>
      <c r="C4" s="13">
        <v>0.27960201526826661</v>
      </c>
      <c r="D4" s="13"/>
      <c r="E4" s="31"/>
      <c r="F4" s="13"/>
      <c r="G4" s="13"/>
      <c r="H4" s="13"/>
      <c r="I4" s="13"/>
      <c r="J4" s="13"/>
    </row>
    <row r="5" spans="1:10" x14ac:dyDescent="0.2">
      <c r="A5" t="s">
        <v>5</v>
      </c>
      <c r="B5" s="13">
        <v>0.60912983765332951</v>
      </c>
      <c r="C5" s="13">
        <v>0.61477860788047811</v>
      </c>
      <c r="D5" s="13">
        <v>0.24191523712171101</v>
      </c>
      <c r="E5" s="31"/>
      <c r="F5" s="13"/>
      <c r="G5" s="13"/>
      <c r="H5" s="13"/>
      <c r="I5" s="13"/>
      <c r="J5" s="13"/>
    </row>
    <row r="6" spans="1:10" x14ac:dyDescent="0.2">
      <c r="A6" t="s">
        <v>1</v>
      </c>
      <c r="B6" s="13">
        <v>0.41946242633505881</v>
      </c>
      <c r="C6" s="13">
        <v>0.40107432196678039</v>
      </c>
      <c r="D6" s="13">
        <v>0.26594160832712282</v>
      </c>
      <c r="E6" s="31">
        <v>0.43966320858145908</v>
      </c>
      <c r="F6" s="13"/>
      <c r="G6" s="13"/>
      <c r="H6" s="13"/>
      <c r="I6" s="13"/>
      <c r="J6" s="13"/>
    </row>
    <row r="7" spans="1:10" x14ac:dyDescent="0.2">
      <c r="A7" s="26" t="s">
        <v>3</v>
      </c>
      <c r="B7" s="31">
        <v>0.57372708882725176</v>
      </c>
      <c r="C7" s="31">
        <v>0.59127158602596608</v>
      </c>
      <c r="D7" s="31">
        <v>0.29980858406261351</v>
      </c>
      <c r="E7" s="31">
        <v>0.65767733699409614</v>
      </c>
      <c r="F7" s="13">
        <v>0.42679141958741723</v>
      </c>
      <c r="G7" s="13"/>
      <c r="H7" s="13"/>
      <c r="I7" s="13"/>
      <c r="J7" s="13"/>
    </row>
    <row r="8" spans="1:10" x14ac:dyDescent="0.2">
      <c r="A8" t="s">
        <v>0</v>
      </c>
      <c r="B8" s="13">
        <v>0.46475221315091986</v>
      </c>
      <c r="C8" s="13">
        <v>0.58653979145526669</v>
      </c>
      <c r="D8" s="13">
        <v>0.35058210526071176</v>
      </c>
      <c r="E8" s="13">
        <v>0.55583160718132263</v>
      </c>
      <c r="F8" s="13">
        <v>0.35153064253791794</v>
      </c>
      <c r="G8" s="13">
        <v>0.57384469421703499</v>
      </c>
      <c r="H8" s="13"/>
      <c r="I8" s="13"/>
      <c r="J8" s="13"/>
    </row>
    <row r="9" spans="1:10" x14ac:dyDescent="0.2">
      <c r="A9" s="26" t="s">
        <v>7</v>
      </c>
      <c r="B9" s="31">
        <v>0.58781374544353715</v>
      </c>
      <c r="C9" s="31">
        <v>0.59037950052542454</v>
      </c>
      <c r="D9" s="31">
        <v>0.32907263915824114</v>
      </c>
      <c r="E9" s="31">
        <v>0.63289140739980232</v>
      </c>
      <c r="F9" s="13">
        <v>0.46098575077621551</v>
      </c>
      <c r="G9" s="13">
        <v>0.63399693590364892</v>
      </c>
      <c r="H9" s="13">
        <v>0.57286658827548753</v>
      </c>
      <c r="I9" s="13"/>
      <c r="J9" s="13"/>
    </row>
    <row r="10" spans="1:10" ht="17" thickBot="1" x14ac:dyDescent="0.25">
      <c r="A10" s="8" t="s">
        <v>2</v>
      </c>
      <c r="B10" s="14">
        <v>0.3663642524214682</v>
      </c>
      <c r="C10" s="14">
        <v>0.49653524665885479</v>
      </c>
      <c r="D10" s="14">
        <v>0.37429531964194973</v>
      </c>
      <c r="E10" s="14">
        <v>0.41928892700236903</v>
      </c>
      <c r="F10" s="14">
        <v>0.2985655855525981</v>
      </c>
      <c r="G10" s="14">
        <v>0.40076328589728599</v>
      </c>
      <c r="H10" s="14">
        <v>0.62644189271218842</v>
      </c>
      <c r="I10" s="14">
        <v>0.43662949482014873</v>
      </c>
      <c r="J10" s="14"/>
    </row>
  </sheetData>
  <conditionalFormatting sqref="B2:J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01AC-BE1A-E748-8BA4-2B6ACB4C0D0A}">
  <dimension ref="A1:X497"/>
  <sheetViews>
    <sheetView topLeftCell="G1" zoomScaleNormal="100" workbookViewId="0">
      <selection activeCell="AC16" sqref="AC16"/>
    </sheetView>
  </sheetViews>
  <sheetFormatPr baseColWidth="10" defaultRowHeight="16" x14ac:dyDescent="0.2"/>
  <cols>
    <col min="1" max="1" width="15.1640625" customWidth="1"/>
    <col min="2" max="2" width="10.1640625" bestFit="1" customWidth="1"/>
    <col min="3" max="3" width="16.1640625" customWidth="1"/>
    <col min="4" max="4" width="13.1640625" customWidth="1"/>
    <col min="6" max="6" width="15.33203125" customWidth="1"/>
    <col min="7" max="9" width="13.83203125" customWidth="1"/>
    <col min="10" max="10" width="16.1640625" customWidth="1"/>
    <col min="11" max="15" width="13.83203125" customWidth="1"/>
    <col min="16" max="16" width="15.5" bestFit="1" customWidth="1"/>
    <col min="21" max="21" width="18.33203125" customWidth="1"/>
    <col min="22" max="23" width="8.5" customWidth="1"/>
    <col min="24" max="24" width="17.83203125" customWidth="1"/>
  </cols>
  <sheetData>
    <row r="1" spans="1:24" ht="79" customHeight="1" x14ac:dyDescent="0.2">
      <c r="A1" s="4"/>
      <c r="B1" s="4"/>
      <c r="C1" s="4"/>
      <c r="D1" s="47" t="s">
        <v>13</v>
      </c>
      <c r="E1" s="47"/>
      <c r="F1" s="47"/>
      <c r="G1" s="47"/>
      <c r="H1" s="4"/>
      <c r="I1" s="4"/>
      <c r="J1" s="4"/>
      <c r="K1" s="4"/>
      <c r="L1" s="4"/>
      <c r="M1" s="4"/>
      <c r="N1" s="4"/>
      <c r="O1" s="4"/>
    </row>
    <row r="2" spans="1:24" x14ac:dyDescent="0.2">
      <c r="A2" s="4" t="s">
        <v>12</v>
      </c>
      <c r="B2" s="6" t="s">
        <v>11</v>
      </c>
      <c r="C2" s="4"/>
      <c r="D2" s="4"/>
      <c r="E2" s="4"/>
      <c r="F2" s="4"/>
      <c r="G2" s="4"/>
      <c r="H2" s="4"/>
      <c r="I2" s="4"/>
      <c r="J2" s="4"/>
      <c r="K2" s="4"/>
      <c r="L2" s="29" t="s">
        <v>272</v>
      </c>
      <c r="M2" s="4"/>
      <c r="N2" s="4"/>
      <c r="O2" s="4"/>
      <c r="P2" s="40">
        <f>_xlfn.PERCENTILE.INC(P6:P496,5%)</f>
        <v>-5.1956318383201833E-2</v>
      </c>
      <c r="X2" s="26" t="s">
        <v>279</v>
      </c>
    </row>
    <row r="3" spans="1:24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X3">
        <f>COUNTA(U6:U496)</f>
        <v>491</v>
      </c>
    </row>
    <row r="4" spans="1:24" x14ac:dyDescent="0.2">
      <c r="A4" s="5" t="s">
        <v>10</v>
      </c>
      <c r="B4" s="10"/>
      <c r="C4" s="10"/>
      <c r="D4" s="10"/>
      <c r="E4" s="10"/>
      <c r="F4" s="10"/>
      <c r="G4" s="10"/>
      <c r="H4" s="10"/>
      <c r="I4" s="10"/>
      <c r="J4" s="10"/>
      <c r="K4" s="34" t="s">
        <v>269</v>
      </c>
      <c r="L4" s="11">
        <f>_xlfn.STDEV.S(L6:L496)</f>
        <v>3.0045982356159188E-2</v>
      </c>
      <c r="M4" s="11">
        <f>_xlfn.STDEV.S(M6:M496)</f>
        <v>2.9321309282964135E-2</v>
      </c>
      <c r="N4" s="35">
        <f>_xlfn.STDEV.S(N6:N496)</f>
        <v>2.4450549084905807E-2</v>
      </c>
      <c r="O4" s="11">
        <f>_xlfn.STDEV.S(O6:O496)</f>
        <v>3.7241515700467548E-2</v>
      </c>
      <c r="P4" s="11">
        <f t="shared" ref="P4:T4" si="0">_xlfn.STDEV.S(P6:P496)</f>
        <v>4.4136992385906425E-2</v>
      </c>
      <c r="Q4" s="11">
        <f t="shared" si="0"/>
        <v>3.3549716989815188E-2</v>
      </c>
      <c r="R4" s="11">
        <f t="shared" si="0"/>
        <v>3.5736885701066541E-2</v>
      </c>
      <c r="S4" s="11">
        <f t="shared" si="0"/>
        <v>2.8871642414367103E-2</v>
      </c>
      <c r="T4" s="11">
        <f t="shared" si="0"/>
        <v>2.8569164632221849E-2</v>
      </c>
      <c r="U4" s="35">
        <f>_xlfn.STDEV.S(U6:U496)</f>
        <v>2.3600739824123335E-2</v>
      </c>
    </row>
    <row r="5" spans="1:24" x14ac:dyDescent="0.2">
      <c r="A5" s="2" t="s">
        <v>9</v>
      </c>
      <c r="B5" s="7" t="s">
        <v>6</v>
      </c>
      <c r="C5" s="7" t="s">
        <v>8</v>
      </c>
      <c r="D5" s="7" t="s">
        <v>4</v>
      </c>
      <c r="E5" s="7" t="s">
        <v>5</v>
      </c>
      <c r="F5" s="28" t="s">
        <v>1</v>
      </c>
      <c r="G5" s="7" t="s">
        <v>3</v>
      </c>
      <c r="H5" s="7" t="s">
        <v>0</v>
      </c>
      <c r="I5" s="7" t="s">
        <v>7</v>
      </c>
      <c r="J5" s="7" t="s">
        <v>2</v>
      </c>
      <c r="L5" s="7" t="s">
        <v>6</v>
      </c>
      <c r="M5" s="7" t="s">
        <v>8</v>
      </c>
      <c r="N5" s="7" t="s">
        <v>4</v>
      </c>
      <c r="O5" s="7" t="s">
        <v>5</v>
      </c>
      <c r="P5" s="28" t="s">
        <v>1</v>
      </c>
      <c r="Q5" s="7" t="s">
        <v>3</v>
      </c>
      <c r="R5" s="7" t="s">
        <v>0</v>
      </c>
      <c r="S5" s="7" t="s">
        <v>7</v>
      </c>
      <c r="T5" s="7" t="s">
        <v>2</v>
      </c>
      <c r="U5" s="33" t="s">
        <v>273</v>
      </c>
      <c r="X5" s="26" t="s">
        <v>277</v>
      </c>
    </row>
    <row r="6" spans="1:24" x14ac:dyDescent="0.2">
      <c r="A6" s="1">
        <v>44435</v>
      </c>
      <c r="B6" s="3">
        <v>92.389999000000003</v>
      </c>
      <c r="C6" s="3">
        <v>13.94</v>
      </c>
      <c r="D6" s="3">
        <v>26.719999000000001</v>
      </c>
      <c r="E6" s="3">
        <v>58.299999</v>
      </c>
      <c r="F6" s="3">
        <v>5.95</v>
      </c>
      <c r="G6" s="3">
        <v>21.48</v>
      </c>
      <c r="H6" s="3">
        <v>28.49</v>
      </c>
      <c r="I6" s="3">
        <v>29.58</v>
      </c>
      <c r="J6" s="3">
        <v>100.69000200000001</v>
      </c>
      <c r="L6" s="11">
        <f>(B6-B7)/B7</f>
        <v>1.1717028033289641E-2</v>
      </c>
      <c r="M6" s="11">
        <f t="shared" ref="M6:T21" si="1">(C6-C7)/C7</f>
        <v>2.0497803806734945E-2</v>
      </c>
      <c r="N6" s="11">
        <f t="shared" si="1"/>
        <v>1.3272581976769851E-2</v>
      </c>
      <c r="O6" s="11">
        <f t="shared" si="1"/>
        <v>4.1815583306211213E-2</v>
      </c>
      <c r="P6" s="11">
        <f t="shared" si="1"/>
        <v>0</v>
      </c>
      <c r="Q6" s="11">
        <f t="shared" si="1"/>
        <v>1.9458946369245379E-2</v>
      </c>
      <c r="R6" s="11">
        <f t="shared" si="1"/>
        <v>3.6376864314296112E-2</v>
      </c>
      <c r="S6" s="11">
        <f t="shared" si="1"/>
        <v>1.0245867136411631E-2</v>
      </c>
      <c r="T6" s="11">
        <f t="shared" si="1"/>
        <v>2.5043254859719494E-2</v>
      </c>
      <c r="U6" s="11">
        <f>AVERAGE(L6:T6)</f>
        <v>1.9825325533630919E-2</v>
      </c>
      <c r="X6" s="38">
        <f>_xlfn.PERCENTILE.INC(U6:U496, 5%)</f>
        <v>-2.5595079203945853E-2</v>
      </c>
    </row>
    <row r="7" spans="1:24" x14ac:dyDescent="0.2">
      <c r="A7" s="1">
        <v>44434</v>
      </c>
      <c r="B7" s="3">
        <v>91.32</v>
      </c>
      <c r="C7" s="3">
        <v>13.66</v>
      </c>
      <c r="D7" s="3">
        <v>26.370000999999998</v>
      </c>
      <c r="E7" s="3">
        <v>55.959999000000003</v>
      </c>
      <c r="F7" s="3">
        <v>5.95</v>
      </c>
      <c r="G7" s="3">
        <v>21.07</v>
      </c>
      <c r="H7" s="3">
        <v>27.49</v>
      </c>
      <c r="I7" s="3">
        <v>29.280000999999999</v>
      </c>
      <c r="J7" s="3">
        <v>98.230002999999996</v>
      </c>
      <c r="L7" s="11">
        <f t="shared" ref="L7:T48" si="2">(B7-B8)/B8</f>
        <v>-1.4142254587355864E-2</v>
      </c>
      <c r="M7" s="11">
        <f t="shared" si="1"/>
        <v>-2.3588277340957833E-2</v>
      </c>
      <c r="N7" s="11">
        <f t="shared" si="1"/>
        <v>-1.1248556430446316E-2</v>
      </c>
      <c r="O7" s="11">
        <f t="shared" si="1"/>
        <v>-2.7290109982445736E-2</v>
      </c>
      <c r="P7" s="11">
        <f t="shared" si="1"/>
        <v>2.4096385542168773E-2</v>
      </c>
      <c r="Q7" s="11">
        <f t="shared" si="1"/>
        <v>-3.3486194196614388E-2</v>
      </c>
      <c r="R7" s="11">
        <f t="shared" si="1"/>
        <v>-8.6548864046160114E-3</v>
      </c>
      <c r="S7" s="11">
        <f t="shared" si="1"/>
        <v>-2.3999966666666712E-2</v>
      </c>
      <c r="T7" s="11">
        <f t="shared" si="1"/>
        <v>-1.2763788944723655E-2</v>
      </c>
      <c r="U7" s="11">
        <f t="shared" ref="U7:U70" si="3">AVERAGE(L7:T7)</f>
        <v>-1.4564183223517525E-2</v>
      </c>
    </row>
    <row r="8" spans="1:24" x14ac:dyDescent="0.2">
      <c r="A8" s="1">
        <v>44433</v>
      </c>
      <c r="B8" s="3">
        <v>92.629997000000003</v>
      </c>
      <c r="C8" s="3">
        <v>13.99</v>
      </c>
      <c r="D8" s="3">
        <v>26.67</v>
      </c>
      <c r="E8" s="3">
        <v>57.529998999999997</v>
      </c>
      <c r="F8" s="3">
        <v>5.81</v>
      </c>
      <c r="G8" s="3">
        <v>21.799999</v>
      </c>
      <c r="H8" s="3">
        <v>27.73</v>
      </c>
      <c r="I8" s="3">
        <v>30</v>
      </c>
      <c r="J8" s="3">
        <v>99.5</v>
      </c>
      <c r="L8" s="11">
        <f t="shared" si="2"/>
        <v>9.7013191563401074E-3</v>
      </c>
      <c r="M8" s="11">
        <f t="shared" si="1"/>
        <v>6.4748201438848815E-3</v>
      </c>
      <c r="N8" s="11">
        <f t="shared" si="1"/>
        <v>3.8955979742890529E-2</v>
      </c>
      <c r="O8" s="11">
        <f t="shared" si="1"/>
        <v>8.4136723648320644E-3</v>
      </c>
      <c r="P8" s="11">
        <f t="shared" si="1"/>
        <v>-1.0221465076661072E-2</v>
      </c>
      <c r="Q8" s="11">
        <f t="shared" si="1"/>
        <v>-5.9279981760145938E-3</v>
      </c>
      <c r="R8" s="11">
        <f t="shared" si="1"/>
        <v>5.4387237128354655E-3</v>
      </c>
      <c r="S8" s="11">
        <f t="shared" si="1"/>
        <v>-8.5922009253139968E-3</v>
      </c>
      <c r="T8" s="11">
        <f t="shared" si="1"/>
        <v>-2.1060977044037106E-3</v>
      </c>
      <c r="U8" s="11">
        <f t="shared" si="3"/>
        <v>4.6818614709321863E-3</v>
      </c>
      <c r="X8" s="26" t="s">
        <v>278</v>
      </c>
    </row>
    <row r="9" spans="1:24" x14ac:dyDescent="0.2">
      <c r="A9" s="1">
        <v>44432</v>
      </c>
      <c r="B9" s="3">
        <v>91.739998</v>
      </c>
      <c r="C9" s="3">
        <v>13.9</v>
      </c>
      <c r="D9" s="3">
        <v>25.67</v>
      </c>
      <c r="E9" s="3">
        <v>57.049999</v>
      </c>
      <c r="F9" s="3">
        <v>5.87</v>
      </c>
      <c r="G9" s="3">
        <v>21.93</v>
      </c>
      <c r="H9" s="3">
        <v>27.58</v>
      </c>
      <c r="I9" s="3">
        <v>30.26</v>
      </c>
      <c r="J9" s="3">
        <v>99.709998999999996</v>
      </c>
      <c r="L9" s="11">
        <f t="shared" si="2"/>
        <v>1.6509673130193907E-2</v>
      </c>
      <c r="M9" s="11">
        <f t="shared" si="1"/>
        <v>1.8315018315018316E-2</v>
      </c>
      <c r="N9" s="11">
        <f t="shared" si="1"/>
        <v>1.9864918553833929E-2</v>
      </c>
      <c r="O9" s="11">
        <f t="shared" si="1"/>
        <v>1.0987045897572214E-2</v>
      </c>
      <c r="P9" s="11">
        <f t="shared" si="1"/>
        <v>0.11809523809523811</v>
      </c>
      <c r="Q9" s="11">
        <f t="shared" si="1"/>
        <v>3.1514581373471219E-2</v>
      </c>
      <c r="R9" s="11">
        <f t="shared" si="1"/>
        <v>2.0725388601036222E-2</v>
      </c>
      <c r="S9" s="11">
        <f t="shared" si="1"/>
        <v>3.2060027285129647E-2</v>
      </c>
      <c r="T9" s="11">
        <f t="shared" si="1"/>
        <v>3.6486508414340181E-2</v>
      </c>
      <c r="U9" s="11">
        <f t="shared" si="3"/>
        <v>3.3839822185092641E-2</v>
      </c>
      <c r="X9" s="37">
        <v>1000000</v>
      </c>
    </row>
    <row r="10" spans="1:24" x14ac:dyDescent="0.2">
      <c r="A10" s="1">
        <v>44431</v>
      </c>
      <c r="B10" s="3">
        <v>90.25</v>
      </c>
      <c r="C10" s="3">
        <v>13.65</v>
      </c>
      <c r="D10" s="3">
        <v>25.17</v>
      </c>
      <c r="E10" s="3">
        <v>56.43</v>
      </c>
      <c r="F10" s="3">
        <v>5.25</v>
      </c>
      <c r="G10" s="3">
        <v>21.26</v>
      </c>
      <c r="H10" s="3">
        <v>27.02</v>
      </c>
      <c r="I10" s="3">
        <v>29.32</v>
      </c>
      <c r="J10" s="3">
        <v>96.199996999999996</v>
      </c>
      <c r="L10" s="11">
        <f t="shared" si="2"/>
        <v>-1.659314122581553E-3</v>
      </c>
      <c r="M10" s="11">
        <f t="shared" si="1"/>
        <v>-3.8732394366197111E-2</v>
      </c>
      <c r="N10" s="11">
        <f t="shared" si="1"/>
        <v>2.2754936092851081E-2</v>
      </c>
      <c r="O10" s="11">
        <f t="shared" si="1"/>
        <v>-3.9162268006129701E-2</v>
      </c>
      <c r="P10" s="11">
        <f t="shared" si="1"/>
        <v>-6.0822898032200333E-2</v>
      </c>
      <c r="Q10" s="11">
        <f t="shared" si="1"/>
        <v>-2.0276542844398889E-2</v>
      </c>
      <c r="R10" s="11">
        <f t="shared" si="1"/>
        <v>1.5789473684210457E-2</v>
      </c>
      <c r="S10" s="11">
        <f t="shared" si="1"/>
        <v>-1.112984822934227E-2</v>
      </c>
      <c r="T10" s="11">
        <f t="shared" si="1"/>
        <v>-1.3839117975219412E-2</v>
      </c>
      <c r="U10" s="11">
        <f t="shared" si="3"/>
        <v>-1.6341997088778634E-2</v>
      </c>
    </row>
    <row r="11" spans="1:24" x14ac:dyDescent="0.2">
      <c r="A11" s="1">
        <v>44428</v>
      </c>
      <c r="B11" s="3">
        <v>90.400002000000001</v>
      </c>
      <c r="C11" s="3">
        <v>14.2</v>
      </c>
      <c r="D11" s="3">
        <v>24.610001</v>
      </c>
      <c r="E11" s="3">
        <v>58.73</v>
      </c>
      <c r="F11" s="3">
        <v>5.59</v>
      </c>
      <c r="G11" s="3">
        <v>21.700001</v>
      </c>
      <c r="H11" s="3">
        <v>26.6</v>
      </c>
      <c r="I11" s="3">
        <v>29.65</v>
      </c>
      <c r="J11" s="3">
        <v>97.550003000000004</v>
      </c>
      <c r="L11" s="11">
        <f t="shared" si="2"/>
        <v>1.3452971304472179E-2</v>
      </c>
      <c r="M11" s="11">
        <f t="shared" si="1"/>
        <v>1.4104372355429884E-3</v>
      </c>
      <c r="N11" s="11">
        <f t="shared" si="1"/>
        <v>2.9707154811715562E-2</v>
      </c>
      <c r="O11" s="11">
        <f t="shared" si="1"/>
        <v>1.0147936191054866E-2</v>
      </c>
      <c r="P11" s="11">
        <f t="shared" si="1"/>
        <v>-3.5650623885918825E-3</v>
      </c>
      <c r="Q11" s="11">
        <f t="shared" si="1"/>
        <v>8.833147373314679E-3</v>
      </c>
      <c r="R11" s="11">
        <f t="shared" si="1"/>
        <v>-1.5014640203251555E-3</v>
      </c>
      <c r="S11" s="11">
        <f t="shared" si="1"/>
        <v>4.0350877192982408E-2</v>
      </c>
      <c r="T11" s="11">
        <f t="shared" si="1"/>
        <v>4.1022458393554054E-4</v>
      </c>
      <c r="U11" s="11">
        <f t="shared" si="3"/>
        <v>1.1027358031566799E-2</v>
      </c>
      <c r="X11" s="26" t="s">
        <v>276</v>
      </c>
    </row>
    <row r="12" spans="1:24" x14ac:dyDescent="0.2">
      <c r="A12" s="1">
        <v>44427</v>
      </c>
      <c r="B12" s="3">
        <v>89.199996999999996</v>
      </c>
      <c r="C12" s="3">
        <v>14.18</v>
      </c>
      <c r="D12" s="3">
        <v>23.9</v>
      </c>
      <c r="E12" s="3">
        <v>58.139999000000003</v>
      </c>
      <c r="F12" s="3">
        <v>5.61</v>
      </c>
      <c r="G12" s="3">
        <v>21.51</v>
      </c>
      <c r="H12" s="3">
        <v>26.639999</v>
      </c>
      <c r="I12" s="3">
        <v>28.5</v>
      </c>
      <c r="J12" s="3">
        <v>97.510002</v>
      </c>
      <c r="L12" s="11">
        <f t="shared" si="2"/>
        <v>1.5945261414170936E-2</v>
      </c>
      <c r="M12" s="11">
        <f t="shared" si="1"/>
        <v>4.7267355982274786E-2</v>
      </c>
      <c r="N12" s="11">
        <f t="shared" si="1"/>
        <v>-1.3212180562022434E-2</v>
      </c>
      <c r="O12" s="11">
        <f t="shared" si="1"/>
        <v>5.3070096958342625E-2</v>
      </c>
      <c r="P12" s="11">
        <f t="shared" si="1"/>
        <v>3.6968576709796704E-2</v>
      </c>
      <c r="Q12" s="11">
        <f t="shared" si="1"/>
        <v>8.911819887429704E-3</v>
      </c>
      <c r="R12" s="11">
        <f t="shared" si="1"/>
        <v>-5.5991785890564406E-3</v>
      </c>
      <c r="S12" s="11">
        <f t="shared" si="1"/>
        <v>1.0638262034104172E-2</v>
      </c>
      <c r="T12" s="11">
        <f t="shared" si="1"/>
        <v>-5.7054460610986929E-2</v>
      </c>
      <c r="U12" s="11">
        <f t="shared" si="3"/>
        <v>1.0770617024894791E-2</v>
      </c>
      <c r="X12" s="39">
        <f>X9*X6</f>
        <v>-25595.079203945854</v>
      </c>
    </row>
    <row r="13" spans="1:24" x14ac:dyDescent="0.2">
      <c r="A13" s="1">
        <v>44426</v>
      </c>
      <c r="B13" s="3">
        <v>87.800003000000004</v>
      </c>
      <c r="C13" s="3">
        <v>13.54</v>
      </c>
      <c r="D13" s="3">
        <v>24.219999000000001</v>
      </c>
      <c r="E13" s="3">
        <v>55.209999000000003</v>
      </c>
      <c r="F13" s="3">
        <v>5.41</v>
      </c>
      <c r="G13" s="3">
        <v>21.32</v>
      </c>
      <c r="H13" s="3">
        <v>26.790001</v>
      </c>
      <c r="I13" s="3">
        <v>28.200001</v>
      </c>
      <c r="J13" s="3">
        <v>103.410004</v>
      </c>
      <c r="L13" s="11">
        <f t="shared" si="2"/>
        <v>2.5120003993606963E-3</v>
      </c>
      <c r="M13" s="11">
        <f t="shared" si="1"/>
        <v>-2.0260492040521067E-2</v>
      </c>
      <c r="N13" s="11">
        <f t="shared" si="1"/>
        <v>-3.8507422052106999E-2</v>
      </c>
      <c r="O13" s="11">
        <f t="shared" si="1"/>
        <v>1.1172179896416919E-2</v>
      </c>
      <c r="P13" s="11">
        <f t="shared" si="1"/>
        <v>0</v>
      </c>
      <c r="Q13" s="11">
        <f t="shared" si="1"/>
        <v>-1.2505789717461769E-2</v>
      </c>
      <c r="R13" s="11">
        <f t="shared" si="1"/>
        <v>-8.8790229789484088E-3</v>
      </c>
      <c r="S13" s="11">
        <f t="shared" si="1"/>
        <v>-7.0422183098590944E-3</v>
      </c>
      <c r="T13" s="11">
        <f t="shared" si="1"/>
        <v>-3.3551364485981304E-2</v>
      </c>
      <c r="U13" s="11">
        <f t="shared" si="3"/>
        <v>-1.1895792143233448E-2</v>
      </c>
    </row>
    <row r="14" spans="1:24" x14ac:dyDescent="0.2">
      <c r="A14" s="1">
        <v>44425</v>
      </c>
      <c r="B14" s="3">
        <v>87.580001999999993</v>
      </c>
      <c r="C14" s="3">
        <v>13.82</v>
      </c>
      <c r="D14" s="3">
        <v>25.190000999999999</v>
      </c>
      <c r="E14" s="3">
        <v>54.599997999999999</v>
      </c>
      <c r="F14" s="3">
        <v>5.41</v>
      </c>
      <c r="G14" s="3">
        <v>21.59</v>
      </c>
      <c r="H14" s="3">
        <v>27.030000999999999</v>
      </c>
      <c r="I14" s="3">
        <v>28.4</v>
      </c>
      <c r="J14" s="3">
        <v>107</v>
      </c>
      <c r="L14" s="11">
        <f t="shared" si="2"/>
        <v>-2.363428172689909E-2</v>
      </c>
      <c r="M14" s="11">
        <f t="shared" si="1"/>
        <v>-1.1444921316165962E-2</v>
      </c>
      <c r="N14" s="11">
        <f t="shared" si="1"/>
        <v>-5.5270035530990743E-3</v>
      </c>
      <c r="O14" s="11">
        <f t="shared" si="1"/>
        <v>-2.6737968867663775E-2</v>
      </c>
      <c r="P14" s="11">
        <f t="shared" si="1"/>
        <v>-3.9076376554174022E-2</v>
      </c>
      <c r="Q14" s="11">
        <f t="shared" si="1"/>
        <v>-2.2634676324128564E-2</v>
      </c>
      <c r="R14" s="11">
        <f t="shared" si="1"/>
        <v>-5.621501592929528E-2</v>
      </c>
      <c r="S14" s="11">
        <f t="shared" si="1"/>
        <v>-2.0689655172413841E-2</v>
      </c>
      <c r="T14" s="11">
        <f t="shared" si="1"/>
        <v>-1.6544144764407808E-2</v>
      </c>
      <c r="U14" s="11">
        <f t="shared" si="3"/>
        <v>-2.4722671578694157E-2</v>
      </c>
    </row>
    <row r="15" spans="1:24" x14ac:dyDescent="0.2">
      <c r="A15" s="1">
        <v>44424</v>
      </c>
      <c r="B15" s="3">
        <v>89.699996999999996</v>
      </c>
      <c r="C15" s="3">
        <v>13.98</v>
      </c>
      <c r="D15" s="3">
        <v>25.33</v>
      </c>
      <c r="E15" s="3">
        <v>56.099997999999999</v>
      </c>
      <c r="F15" s="3">
        <v>5.63</v>
      </c>
      <c r="G15" s="3">
        <v>22.09</v>
      </c>
      <c r="H15" s="3">
        <v>28.639999</v>
      </c>
      <c r="I15" s="3">
        <v>29</v>
      </c>
      <c r="J15" s="3">
        <v>108.800003</v>
      </c>
      <c r="L15" s="11">
        <f t="shared" si="2"/>
        <v>-1.9028925655535423E-2</v>
      </c>
      <c r="M15" s="11">
        <f t="shared" si="1"/>
        <v>-4.5081967213114763E-2</v>
      </c>
      <c r="N15" s="11">
        <f t="shared" si="1"/>
        <v>4.7600557223345576E-3</v>
      </c>
      <c r="O15" s="11">
        <f t="shared" si="1"/>
        <v>-2.3498746327262919E-2</v>
      </c>
      <c r="P15" s="11">
        <f t="shared" si="1"/>
        <v>-5.6951423785594618E-2</v>
      </c>
      <c r="Q15" s="11">
        <f t="shared" si="1"/>
        <v>-1.73487544483986E-2</v>
      </c>
      <c r="R15" s="11">
        <f t="shared" si="1"/>
        <v>-2.4190834752981324E-2</v>
      </c>
      <c r="S15" s="11">
        <f t="shared" si="1"/>
        <v>-2.2911051212937995E-2</v>
      </c>
      <c r="T15" s="11">
        <f t="shared" si="1"/>
        <v>4.6168050429324552E-3</v>
      </c>
      <c r="U15" s="11">
        <f t="shared" si="3"/>
        <v>-2.2181649181173175E-2</v>
      </c>
    </row>
    <row r="16" spans="1:24" x14ac:dyDescent="0.2">
      <c r="A16" s="1">
        <v>44421</v>
      </c>
      <c r="B16" s="3">
        <v>91.440002000000007</v>
      </c>
      <c r="C16" s="3">
        <v>14.64</v>
      </c>
      <c r="D16" s="3">
        <v>25.209999</v>
      </c>
      <c r="E16" s="3">
        <v>57.450001</v>
      </c>
      <c r="F16" s="3">
        <v>5.97</v>
      </c>
      <c r="G16" s="3">
        <v>22.48</v>
      </c>
      <c r="H16" s="3">
        <v>29.35</v>
      </c>
      <c r="I16" s="3">
        <v>29.68</v>
      </c>
      <c r="J16" s="3">
        <v>108.300003</v>
      </c>
      <c r="L16" s="11">
        <f t="shared" si="2"/>
        <v>-1.4442735659007678E-2</v>
      </c>
      <c r="M16" s="11">
        <f t="shared" si="1"/>
        <v>5.3995680345572353E-2</v>
      </c>
      <c r="N16" s="11">
        <f t="shared" si="1"/>
        <v>2.3133117821960963E-2</v>
      </c>
      <c r="O16" s="11">
        <f t="shared" si="1"/>
        <v>-1.0676752195625968E-2</v>
      </c>
      <c r="P16" s="11">
        <f t="shared" si="1"/>
        <v>-9.1324200913242087E-2</v>
      </c>
      <c r="Q16" s="11">
        <f t="shared" si="1"/>
        <v>-3.5460551217223377E-3</v>
      </c>
      <c r="R16" s="11">
        <f t="shared" si="1"/>
        <v>8.5910652920962189E-3</v>
      </c>
      <c r="S16" s="11">
        <f t="shared" si="1"/>
        <v>2.2742935906271543E-2</v>
      </c>
      <c r="T16" s="11">
        <f t="shared" si="1"/>
        <v>-8.2417035231236533E-3</v>
      </c>
      <c r="U16" s="11">
        <f t="shared" si="3"/>
        <v>-2.196516449646739E-3</v>
      </c>
    </row>
    <row r="17" spans="1:21" x14ac:dyDescent="0.2">
      <c r="A17" s="1">
        <v>44420</v>
      </c>
      <c r="B17" s="3">
        <v>92.779999000000004</v>
      </c>
      <c r="C17" s="3">
        <v>13.89</v>
      </c>
      <c r="D17" s="3">
        <v>24.639999</v>
      </c>
      <c r="E17" s="3">
        <v>58.07</v>
      </c>
      <c r="F17" s="3">
        <v>6.57</v>
      </c>
      <c r="G17" s="3">
        <v>22.559999000000001</v>
      </c>
      <c r="H17" s="3">
        <v>29.1</v>
      </c>
      <c r="I17" s="3">
        <v>29.02</v>
      </c>
      <c r="J17" s="3">
        <v>109.199997</v>
      </c>
      <c r="L17" s="11">
        <f t="shared" si="2"/>
        <v>8.6974991727278728E-3</v>
      </c>
      <c r="M17" s="11">
        <f t="shared" si="1"/>
        <v>-7.7076411960132901E-2</v>
      </c>
      <c r="N17" s="11">
        <f t="shared" si="1"/>
        <v>-1.163261131167269E-2</v>
      </c>
      <c r="O17" s="11">
        <f t="shared" si="1"/>
        <v>1.1848771769450582E-2</v>
      </c>
      <c r="P17" s="11">
        <f t="shared" si="1"/>
        <v>1.8604651162790715E-2</v>
      </c>
      <c r="Q17" s="11">
        <f t="shared" si="1"/>
        <v>-1.9556757931334216E-2</v>
      </c>
      <c r="R17" s="11">
        <f t="shared" si="1"/>
        <v>1.4998256016742229E-2</v>
      </c>
      <c r="S17" s="11">
        <f t="shared" si="1"/>
        <v>2.798441374424368E-2</v>
      </c>
      <c r="T17" s="11">
        <f t="shared" si="1"/>
        <v>-6.4061500797888175E-4</v>
      </c>
      <c r="U17" s="11">
        <f t="shared" si="3"/>
        <v>-2.9747560383515128E-3</v>
      </c>
    </row>
    <row r="18" spans="1:21" x14ac:dyDescent="0.2">
      <c r="A18" s="1">
        <v>44419</v>
      </c>
      <c r="B18" s="3">
        <v>91.980002999999996</v>
      </c>
      <c r="C18" s="3">
        <v>15.05</v>
      </c>
      <c r="D18" s="3">
        <v>24.93</v>
      </c>
      <c r="E18" s="3">
        <v>57.389999000000003</v>
      </c>
      <c r="F18" s="3">
        <v>6.45</v>
      </c>
      <c r="G18" s="3">
        <v>23.01</v>
      </c>
      <c r="H18" s="3">
        <v>28.67</v>
      </c>
      <c r="I18" s="3">
        <v>28.23</v>
      </c>
      <c r="J18" s="3">
        <v>109.269997</v>
      </c>
      <c r="L18" s="11">
        <f t="shared" si="2"/>
        <v>-1.3028773355674009E-3</v>
      </c>
      <c r="M18" s="11">
        <f t="shared" si="1"/>
        <v>-2.9658284977433856E-2</v>
      </c>
      <c r="N18" s="11">
        <f t="shared" si="1"/>
        <v>-5.9808612440190824E-3</v>
      </c>
      <c r="O18" s="11">
        <f t="shared" si="1"/>
        <v>-6.9651749956462861E-4</v>
      </c>
      <c r="P18" s="11">
        <f t="shared" si="1"/>
        <v>4.6728971962617209E-3</v>
      </c>
      <c r="Q18" s="11">
        <f t="shared" si="1"/>
        <v>-3.4647033347768859E-3</v>
      </c>
      <c r="R18" s="11">
        <f t="shared" si="1"/>
        <v>1.3790628932438974E-2</v>
      </c>
      <c r="S18" s="11">
        <f t="shared" si="1"/>
        <v>-9.4736842105263008E-3</v>
      </c>
      <c r="T18" s="11">
        <f t="shared" si="1"/>
        <v>-7.1779121784100843E-3</v>
      </c>
      <c r="U18" s="11">
        <f t="shared" si="3"/>
        <v>-4.3657016279552829E-3</v>
      </c>
    </row>
    <row r="19" spans="1:21" x14ac:dyDescent="0.2">
      <c r="A19" s="1">
        <v>44418</v>
      </c>
      <c r="B19" s="3">
        <v>92.099997999999999</v>
      </c>
      <c r="C19" s="3">
        <v>15.51</v>
      </c>
      <c r="D19" s="3">
        <v>25.08</v>
      </c>
      <c r="E19" s="3">
        <v>57.43</v>
      </c>
      <c r="F19" s="3">
        <v>6.42</v>
      </c>
      <c r="G19" s="3">
        <v>23.09</v>
      </c>
      <c r="H19" s="3">
        <v>28.280000999999999</v>
      </c>
      <c r="I19" s="3">
        <v>28.5</v>
      </c>
      <c r="J19" s="3">
        <v>110.05999799999999</v>
      </c>
      <c r="L19" s="11">
        <f t="shared" si="2"/>
        <v>-8.6114529900656114E-3</v>
      </c>
      <c r="M19" s="11">
        <f t="shared" si="1"/>
        <v>-1.6487000634115397E-2</v>
      </c>
      <c r="N19" s="11">
        <f t="shared" si="1"/>
        <v>-1.1947829074161393E-3</v>
      </c>
      <c r="O19" s="11">
        <f t="shared" si="1"/>
        <v>-1.9965836858902276E-2</v>
      </c>
      <c r="P19" s="11">
        <f t="shared" si="1"/>
        <v>-2.727272727272723E-2</v>
      </c>
      <c r="Q19" s="11">
        <f t="shared" si="1"/>
        <v>-1.9949024615833023E-2</v>
      </c>
      <c r="R19" s="11">
        <f t="shared" si="1"/>
        <v>3.1926213837310561E-3</v>
      </c>
      <c r="S19" s="11">
        <f t="shared" si="1"/>
        <v>-1.9607843137254912E-2</v>
      </c>
      <c r="T19" s="11">
        <f t="shared" si="1"/>
        <v>9.6321069694136237E-3</v>
      </c>
      <c r="U19" s="11">
        <f t="shared" si="3"/>
        <v>-1.1140437784796656E-2</v>
      </c>
    </row>
    <row r="20" spans="1:21" x14ac:dyDescent="0.2">
      <c r="A20" s="1">
        <v>44417</v>
      </c>
      <c r="B20" s="3">
        <v>92.900002000000001</v>
      </c>
      <c r="C20" s="3">
        <v>15.77</v>
      </c>
      <c r="D20" s="3">
        <v>25.110001</v>
      </c>
      <c r="E20" s="3">
        <v>58.599997999999999</v>
      </c>
      <c r="F20" s="3">
        <v>6.6</v>
      </c>
      <c r="G20" s="3">
        <v>23.559999000000001</v>
      </c>
      <c r="H20" s="3">
        <v>28.190000999999999</v>
      </c>
      <c r="I20" s="3">
        <v>29.07</v>
      </c>
      <c r="J20" s="3">
        <v>109.010002</v>
      </c>
      <c r="L20" s="11">
        <f t="shared" si="2"/>
        <v>-7.4785899033886598E-3</v>
      </c>
      <c r="M20" s="11">
        <f t="shared" si="1"/>
        <v>-8.1761006289308661E-3</v>
      </c>
      <c r="N20" s="11">
        <f t="shared" si="1"/>
        <v>2.7414074164726989E-2</v>
      </c>
      <c r="O20" s="11">
        <f t="shared" si="1"/>
        <v>6.0085493562231649E-3</v>
      </c>
      <c r="P20" s="11">
        <f t="shared" si="1"/>
        <v>-1.7857142857142873E-2</v>
      </c>
      <c r="Q20" s="11">
        <f t="shared" si="1"/>
        <v>1.5517154503570966E-2</v>
      </c>
      <c r="R20" s="11">
        <f t="shared" si="1"/>
        <v>-7.0446638620875182E-3</v>
      </c>
      <c r="S20" s="11">
        <f t="shared" si="1"/>
        <v>-2.7444253859347616E-3</v>
      </c>
      <c r="T20" s="11">
        <f t="shared" si="1"/>
        <v>-6.2898360881449809E-3</v>
      </c>
      <c r="U20" s="11">
        <f t="shared" si="3"/>
        <v>-7.233118901206019E-5</v>
      </c>
    </row>
    <row r="21" spans="1:21" x14ac:dyDescent="0.2">
      <c r="A21" s="1">
        <v>44414</v>
      </c>
      <c r="B21" s="3">
        <v>93.599997999999999</v>
      </c>
      <c r="C21" s="3">
        <v>15.9</v>
      </c>
      <c r="D21" s="3">
        <v>24.440000999999999</v>
      </c>
      <c r="E21" s="3">
        <v>58.25</v>
      </c>
      <c r="F21" s="3">
        <v>6.72</v>
      </c>
      <c r="G21" s="3">
        <v>23.200001</v>
      </c>
      <c r="H21" s="3">
        <v>28.389999</v>
      </c>
      <c r="I21" s="3">
        <v>29.15</v>
      </c>
      <c r="J21" s="3">
        <v>109.699997</v>
      </c>
      <c r="L21" s="11">
        <f t="shared" si="2"/>
        <v>1.7391282608695647E-2</v>
      </c>
      <c r="M21" s="11">
        <f t="shared" si="1"/>
        <v>1.209420751113937E-2</v>
      </c>
      <c r="N21" s="11">
        <f t="shared" si="1"/>
        <v>-1.0526315363307134E-2</v>
      </c>
      <c r="O21" s="11">
        <f t="shared" si="1"/>
        <v>-4.2735042735042739E-3</v>
      </c>
      <c r="P21" s="11">
        <f t="shared" si="1"/>
        <v>0</v>
      </c>
      <c r="Q21" s="11">
        <f t="shared" si="1"/>
        <v>-1.2913904433921699E-3</v>
      </c>
      <c r="R21" s="11">
        <f t="shared" si="1"/>
        <v>1.4108994708994045E-3</v>
      </c>
      <c r="S21" s="11">
        <f t="shared" si="1"/>
        <v>5.8661145617666718E-3</v>
      </c>
      <c r="T21" s="11">
        <f t="shared" si="1"/>
        <v>5.6838557813741423E-3</v>
      </c>
      <c r="U21" s="11">
        <f t="shared" si="3"/>
        <v>2.9283499837412953E-3</v>
      </c>
    </row>
    <row r="22" spans="1:21" x14ac:dyDescent="0.2">
      <c r="A22" s="1">
        <v>44413</v>
      </c>
      <c r="B22" s="3">
        <v>92</v>
      </c>
      <c r="C22" s="3">
        <v>15.71</v>
      </c>
      <c r="D22" s="3">
        <v>24.700001</v>
      </c>
      <c r="E22" s="3">
        <v>58.5</v>
      </c>
      <c r="F22" s="3">
        <v>6.72</v>
      </c>
      <c r="G22" s="3">
        <v>23.23</v>
      </c>
      <c r="H22" s="3">
        <v>28.35</v>
      </c>
      <c r="I22" s="3">
        <v>28.98</v>
      </c>
      <c r="J22" s="3">
        <v>109.08000199999999</v>
      </c>
      <c r="L22" s="11">
        <f t="shared" si="2"/>
        <v>2.2878199990432101E-3</v>
      </c>
      <c r="M22" s="11">
        <f t="shared" si="2"/>
        <v>-1.4429109159347468E-2</v>
      </c>
      <c r="N22" s="11">
        <f t="shared" si="2"/>
        <v>-1.1999959999999987E-2</v>
      </c>
      <c r="O22" s="11">
        <f t="shared" si="2"/>
        <v>-1.1156186612576008E-2</v>
      </c>
      <c r="P22" s="11">
        <f t="shared" si="2"/>
        <v>-1.7543859649122823E-2</v>
      </c>
      <c r="Q22" s="11">
        <f t="shared" si="2"/>
        <v>-1.19098256061251E-2</v>
      </c>
      <c r="R22" s="11">
        <f t="shared" si="2"/>
        <v>7.8767082238695607E-2</v>
      </c>
      <c r="S22" s="11">
        <f t="shared" si="2"/>
        <v>-1.7223905710508996E-3</v>
      </c>
      <c r="T22" s="11">
        <f t="shared" si="2"/>
        <v>-3.057229907320394E-2</v>
      </c>
      <c r="U22" s="11">
        <f t="shared" si="3"/>
        <v>-2.0309698259652689E-3</v>
      </c>
    </row>
    <row r="23" spans="1:21" x14ac:dyDescent="0.2">
      <c r="A23" s="1">
        <v>44412</v>
      </c>
      <c r="B23" s="3">
        <v>91.790001000000004</v>
      </c>
      <c r="C23" s="3">
        <v>15.94</v>
      </c>
      <c r="D23" s="3">
        <v>25</v>
      </c>
      <c r="E23" s="3">
        <v>59.16</v>
      </c>
      <c r="F23" s="3">
        <v>6.84</v>
      </c>
      <c r="G23" s="3">
        <v>23.51</v>
      </c>
      <c r="H23" s="3">
        <v>26.280000999999999</v>
      </c>
      <c r="I23" s="3">
        <v>29.030000999999999</v>
      </c>
      <c r="J23" s="3">
        <v>112.519997</v>
      </c>
      <c r="L23" s="11">
        <f t="shared" si="2"/>
        <v>-2.6078235641402094E-3</v>
      </c>
      <c r="M23" s="11">
        <f t="shared" si="2"/>
        <v>-4.372267332917055E-3</v>
      </c>
      <c r="N23" s="11">
        <f t="shared" si="2"/>
        <v>2.0824826459779566E-2</v>
      </c>
      <c r="O23" s="11">
        <f t="shared" si="2"/>
        <v>-3.1909686926694707E-2</v>
      </c>
      <c r="P23" s="11">
        <f t="shared" si="2"/>
        <v>-2.7027027027027081E-2</v>
      </c>
      <c r="Q23" s="11">
        <f t="shared" si="2"/>
        <v>-1.218483244474078E-2</v>
      </c>
      <c r="R23" s="11">
        <f t="shared" si="2"/>
        <v>-2.1229013035381855E-2</v>
      </c>
      <c r="S23" s="11">
        <f t="shared" si="2"/>
        <v>-2.5838859927478558E-2</v>
      </c>
      <c r="T23" s="11">
        <f t="shared" si="2"/>
        <v>-1.0653586742308077E-3</v>
      </c>
      <c r="U23" s="11">
        <f t="shared" si="3"/>
        <v>-1.1712226941425721E-2</v>
      </c>
    </row>
    <row r="24" spans="1:21" x14ac:dyDescent="0.2">
      <c r="A24" s="1">
        <v>44411</v>
      </c>
      <c r="B24" s="3">
        <v>92.029999000000004</v>
      </c>
      <c r="C24" s="3">
        <v>16.010000000000002</v>
      </c>
      <c r="D24" s="3">
        <v>24.49</v>
      </c>
      <c r="E24" s="3">
        <v>61.110000999999997</v>
      </c>
      <c r="F24" s="3">
        <v>7.03</v>
      </c>
      <c r="G24" s="3">
        <v>23.799999</v>
      </c>
      <c r="H24" s="3">
        <v>26.85</v>
      </c>
      <c r="I24" s="3">
        <v>29.799999</v>
      </c>
      <c r="J24" s="3">
        <v>112.639999</v>
      </c>
      <c r="L24" s="11">
        <f t="shared" si="2"/>
        <v>-5.4303865023797005E-4</v>
      </c>
      <c r="M24" s="11">
        <f t="shared" si="2"/>
        <v>2.4967989756722302E-2</v>
      </c>
      <c r="N24" s="11">
        <f t="shared" si="2"/>
        <v>3.6885245901639289E-3</v>
      </c>
      <c r="O24" s="11">
        <f t="shared" si="2"/>
        <v>-9.8082396536947319E-4</v>
      </c>
      <c r="P24" s="11">
        <f t="shared" si="2"/>
        <v>-3.3012379642365794E-2</v>
      </c>
      <c r="Q24" s="11">
        <f t="shared" si="2"/>
        <v>-9.1590757701915035E-3</v>
      </c>
      <c r="R24" s="11">
        <f t="shared" si="2"/>
        <v>1.6660355925785734E-2</v>
      </c>
      <c r="S24" s="11">
        <f t="shared" si="2"/>
        <v>-2.8999738383846878E-2</v>
      </c>
      <c r="T24" s="11">
        <f t="shared" si="2"/>
        <v>3.4058560543468244E-2</v>
      </c>
      <c r="U24" s="11">
        <f t="shared" si="3"/>
        <v>7.4226382268095456E-4</v>
      </c>
    </row>
    <row r="25" spans="1:21" x14ac:dyDescent="0.2">
      <c r="A25" s="1">
        <v>44410</v>
      </c>
      <c r="B25" s="3">
        <v>92.080001999999993</v>
      </c>
      <c r="C25" s="3">
        <v>15.62</v>
      </c>
      <c r="D25" s="3">
        <v>24.4</v>
      </c>
      <c r="E25" s="3">
        <v>61.169998</v>
      </c>
      <c r="F25" s="3">
        <v>7.27</v>
      </c>
      <c r="G25" s="3">
        <v>24.02</v>
      </c>
      <c r="H25" s="3">
        <v>26.41</v>
      </c>
      <c r="I25" s="3">
        <v>30.690000999999999</v>
      </c>
      <c r="J25" s="3">
        <v>108.93</v>
      </c>
      <c r="L25" s="11">
        <f t="shared" si="2"/>
        <v>1.7233816302490483E-2</v>
      </c>
      <c r="M25" s="11">
        <f t="shared" si="2"/>
        <v>2.4262295081967162E-2</v>
      </c>
      <c r="N25" s="11">
        <f t="shared" si="2"/>
        <v>-8.5331569064138555E-3</v>
      </c>
      <c r="O25" s="11">
        <f t="shared" si="2"/>
        <v>-1.5768366346955241E-2</v>
      </c>
      <c r="P25" s="11">
        <f t="shared" si="2"/>
        <v>2.5387870239774291E-2</v>
      </c>
      <c r="Q25" s="11">
        <f t="shared" si="2"/>
        <v>2.8693790149892852E-2</v>
      </c>
      <c r="R25" s="11">
        <f t="shared" si="2"/>
        <v>-1.858045336306206E-2</v>
      </c>
      <c r="S25" s="11">
        <f t="shared" si="2"/>
        <v>1.9940212695247553E-2</v>
      </c>
      <c r="T25" s="11">
        <f t="shared" si="2"/>
        <v>1.563056241944596E-3</v>
      </c>
      <c r="U25" s="11">
        <f t="shared" si="3"/>
        <v>8.2443404549873093E-3</v>
      </c>
    </row>
    <row r="26" spans="1:21" x14ac:dyDescent="0.2">
      <c r="A26" s="1">
        <v>44407</v>
      </c>
      <c r="B26" s="3">
        <v>90.519997000000004</v>
      </c>
      <c r="C26" s="3">
        <v>15.25</v>
      </c>
      <c r="D26" s="3">
        <v>24.610001</v>
      </c>
      <c r="E26" s="3">
        <v>62.150002000000001</v>
      </c>
      <c r="F26" s="3">
        <v>7.09</v>
      </c>
      <c r="G26" s="3">
        <v>23.35</v>
      </c>
      <c r="H26" s="3">
        <v>26.91</v>
      </c>
      <c r="I26" s="3">
        <v>30.09</v>
      </c>
      <c r="J26" s="3">
        <v>108.760002</v>
      </c>
      <c r="L26" s="11">
        <f t="shared" si="2"/>
        <v>-2.1934153800081457E-2</v>
      </c>
      <c r="M26" s="11">
        <f t="shared" si="2"/>
        <v>-3.5420619860847595E-2</v>
      </c>
      <c r="N26" s="11">
        <f t="shared" si="2"/>
        <v>-2.3025009010519622E-2</v>
      </c>
      <c r="O26" s="11">
        <f t="shared" si="2"/>
        <v>-7.3632349001779618E-2</v>
      </c>
      <c r="P26" s="11">
        <f t="shared" si="2"/>
        <v>-4.1891891891891957E-2</v>
      </c>
      <c r="Q26" s="11">
        <f t="shared" si="2"/>
        <v>-3.3526490066225115E-2</v>
      </c>
      <c r="R26" s="11">
        <f t="shared" si="2"/>
        <v>-3.2362424752334619E-2</v>
      </c>
      <c r="S26" s="11">
        <f t="shared" si="2"/>
        <v>-2.2734685848175201E-2</v>
      </c>
      <c r="T26" s="11">
        <f t="shared" si="2"/>
        <v>-5.8925309336332901E-2</v>
      </c>
      <c r="U26" s="11">
        <f t="shared" si="3"/>
        <v>-3.8161437063132006E-2</v>
      </c>
    </row>
    <row r="27" spans="1:21" x14ac:dyDescent="0.2">
      <c r="A27" s="1">
        <v>44406</v>
      </c>
      <c r="B27" s="3">
        <v>92.550003000000004</v>
      </c>
      <c r="C27" s="3">
        <v>15.81</v>
      </c>
      <c r="D27" s="3">
        <v>25.190000999999999</v>
      </c>
      <c r="E27" s="3">
        <v>67.089995999999999</v>
      </c>
      <c r="F27" s="3">
        <v>7.4</v>
      </c>
      <c r="G27" s="3">
        <v>24.16</v>
      </c>
      <c r="H27" s="3">
        <v>27.809999000000001</v>
      </c>
      <c r="I27" s="3">
        <v>30.790001</v>
      </c>
      <c r="J27" s="3">
        <v>115.57</v>
      </c>
      <c r="L27" s="11">
        <f t="shared" si="2"/>
        <v>-8.4636065336878251E-3</v>
      </c>
      <c r="M27" s="11">
        <f t="shared" si="2"/>
        <v>-1.8939393939393537E-3</v>
      </c>
      <c r="N27" s="11">
        <f t="shared" si="2"/>
        <v>-5.5270035530990743E-3</v>
      </c>
      <c r="O27" s="11">
        <f t="shared" si="2"/>
        <v>1.4363426283087729E-2</v>
      </c>
      <c r="P27" s="11">
        <f t="shared" si="2"/>
        <v>-9.3708165997321811E-3</v>
      </c>
      <c r="Q27" s="11">
        <f t="shared" si="2"/>
        <v>5.3641517662450955E-2</v>
      </c>
      <c r="R27" s="11">
        <f t="shared" si="2"/>
        <v>3.6088056156191642E-3</v>
      </c>
      <c r="S27" s="11">
        <f t="shared" si="2"/>
        <v>-1.0286081315137221E-2</v>
      </c>
      <c r="T27" s="11">
        <f t="shared" si="2"/>
        <v>-1.4748533297139051E-2</v>
      </c>
      <c r="U27" s="11">
        <f t="shared" si="3"/>
        <v>2.3693076520470155E-3</v>
      </c>
    </row>
    <row r="28" spans="1:21" x14ac:dyDescent="0.2">
      <c r="A28" s="1">
        <v>44405</v>
      </c>
      <c r="B28" s="3">
        <v>93.339995999999999</v>
      </c>
      <c r="C28" s="3">
        <v>15.84</v>
      </c>
      <c r="D28" s="3">
        <v>25.33</v>
      </c>
      <c r="E28" s="3">
        <v>66.139999000000003</v>
      </c>
      <c r="F28" s="3">
        <v>7.47</v>
      </c>
      <c r="G28" s="3">
        <v>22.93</v>
      </c>
      <c r="H28" s="3">
        <v>27.709999</v>
      </c>
      <c r="I28" s="3">
        <v>31.110001</v>
      </c>
      <c r="J28" s="3">
        <v>117.300003</v>
      </c>
      <c r="L28" s="11">
        <f t="shared" si="2"/>
        <v>-5.5402194167886026E-3</v>
      </c>
      <c r="M28" s="11">
        <f t="shared" si="2"/>
        <v>-1.6149068322981464E-2</v>
      </c>
      <c r="N28" s="11">
        <f t="shared" si="2"/>
        <v>-3.5405192761606375E-3</v>
      </c>
      <c r="O28" s="11">
        <f t="shared" si="2"/>
        <v>-1.0028424188846558E-2</v>
      </c>
      <c r="P28" s="11">
        <f t="shared" si="2"/>
        <v>1.340482573726513E-3</v>
      </c>
      <c r="Q28" s="11">
        <f t="shared" si="2"/>
        <v>-1.3065767119589207E-3</v>
      </c>
      <c r="R28" s="11">
        <f t="shared" si="2"/>
        <v>2.0626114180478869E-2</v>
      </c>
      <c r="S28" s="11">
        <f t="shared" si="2"/>
        <v>5.1696282659247778E-3</v>
      </c>
      <c r="T28" s="11">
        <f t="shared" si="2"/>
        <v>2.732530215449288E-2</v>
      </c>
      <c r="U28" s="11">
        <f t="shared" si="3"/>
        <v>1.9885243619874285E-3</v>
      </c>
    </row>
    <row r="29" spans="1:21" x14ac:dyDescent="0.2">
      <c r="A29" s="1">
        <v>44404</v>
      </c>
      <c r="B29" s="3">
        <v>93.860000999999997</v>
      </c>
      <c r="C29" s="3">
        <v>16.100000000000001</v>
      </c>
      <c r="D29" s="3">
        <v>25.42</v>
      </c>
      <c r="E29" s="3">
        <v>66.809997999999993</v>
      </c>
      <c r="F29" s="3">
        <v>7.46</v>
      </c>
      <c r="G29" s="3">
        <v>22.959999</v>
      </c>
      <c r="H29" s="3">
        <v>27.15</v>
      </c>
      <c r="I29" s="3">
        <v>30.950001</v>
      </c>
      <c r="J29" s="3">
        <v>114.18</v>
      </c>
      <c r="L29" s="11">
        <f t="shared" si="2"/>
        <v>-2.5033718449165493E-2</v>
      </c>
      <c r="M29" s="11">
        <f t="shared" si="2"/>
        <v>-1.8890920170627587E-2</v>
      </c>
      <c r="N29" s="11">
        <f t="shared" si="2"/>
        <v>-1.9668337832626226E-2</v>
      </c>
      <c r="O29" s="11">
        <f t="shared" si="2"/>
        <v>-1.7788871704890113E-2</v>
      </c>
      <c r="P29" s="11">
        <f t="shared" si="2"/>
        <v>-2.0997375328084007E-2</v>
      </c>
      <c r="Q29" s="11">
        <f t="shared" si="2"/>
        <v>-2.8353788758095237E-2</v>
      </c>
      <c r="R29" s="11">
        <f t="shared" si="2"/>
        <v>-1.1649035735312651E-2</v>
      </c>
      <c r="S29" s="11">
        <f t="shared" si="2"/>
        <v>-2.3967140459386312E-2</v>
      </c>
      <c r="T29" s="11">
        <f t="shared" si="2"/>
        <v>-2.0754700184471637E-2</v>
      </c>
      <c r="U29" s="11">
        <f t="shared" si="3"/>
        <v>-2.0789320958073249E-2</v>
      </c>
    </row>
    <row r="30" spans="1:21" x14ac:dyDescent="0.2">
      <c r="A30" s="1">
        <v>44403</v>
      </c>
      <c r="B30" s="3">
        <v>96.269997000000004</v>
      </c>
      <c r="C30" s="3">
        <v>16.41</v>
      </c>
      <c r="D30" s="3">
        <v>25.93</v>
      </c>
      <c r="E30" s="3">
        <v>68.019997000000004</v>
      </c>
      <c r="F30" s="3">
        <v>7.62</v>
      </c>
      <c r="G30" s="3">
        <v>23.629999000000002</v>
      </c>
      <c r="H30" s="3">
        <v>27.469999000000001</v>
      </c>
      <c r="I30" s="3">
        <v>31.709999</v>
      </c>
      <c r="J30" s="3">
        <v>116.599998</v>
      </c>
      <c r="L30" s="11">
        <f t="shared" si="2"/>
        <v>-1.4939178913153137E-2</v>
      </c>
      <c r="M30" s="11">
        <f t="shared" si="2"/>
        <v>3.6697247706421231E-3</v>
      </c>
      <c r="N30" s="11">
        <f t="shared" si="2"/>
        <v>1.0916179337232013E-2</v>
      </c>
      <c r="O30" s="11">
        <f t="shared" si="2"/>
        <v>-4.3911446135829861E-3</v>
      </c>
      <c r="P30" s="11">
        <f t="shared" si="2"/>
        <v>-2.5575447570332501E-2</v>
      </c>
      <c r="Q30" s="11">
        <f t="shared" si="2"/>
        <v>-3.374103895997562E-3</v>
      </c>
      <c r="R30" s="11">
        <f t="shared" si="2"/>
        <v>2.7299887808526664E-2</v>
      </c>
      <c r="S30" s="11">
        <f t="shared" si="2"/>
        <v>1.5792482627921566E-3</v>
      </c>
      <c r="T30" s="11">
        <f t="shared" si="2"/>
        <v>2.1731466305692285E-2</v>
      </c>
      <c r="U30" s="11">
        <f t="shared" si="3"/>
        <v>1.8796257213132281E-3</v>
      </c>
    </row>
    <row r="31" spans="1:21" x14ac:dyDescent="0.2">
      <c r="A31" s="1">
        <v>44400</v>
      </c>
      <c r="B31" s="3">
        <v>97.730002999999996</v>
      </c>
      <c r="C31" s="3">
        <v>16.350000000000001</v>
      </c>
      <c r="D31" s="3">
        <v>25.65</v>
      </c>
      <c r="E31" s="3">
        <v>68.319999999999993</v>
      </c>
      <c r="F31" s="3">
        <v>7.82</v>
      </c>
      <c r="G31" s="3">
        <v>23.709999</v>
      </c>
      <c r="H31" s="3">
        <v>26.74</v>
      </c>
      <c r="I31" s="3">
        <v>31.66</v>
      </c>
      <c r="J31" s="3">
        <v>114.120003</v>
      </c>
      <c r="L31" s="11">
        <f t="shared" si="2"/>
        <v>-3.9747247052163313E-3</v>
      </c>
      <c r="M31" s="11">
        <f t="shared" si="2"/>
        <v>-9.0909090909090055E-3</v>
      </c>
      <c r="N31" s="11">
        <f t="shared" si="2"/>
        <v>-4.6565774155995733E-3</v>
      </c>
      <c r="O31" s="11">
        <f t="shared" si="2"/>
        <v>2.9278183194207739E-4</v>
      </c>
      <c r="P31" s="11">
        <f t="shared" si="2"/>
        <v>-2.5510204081632109E-3</v>
      </c>
      <c r="Q31" s="11">
        <f t="shared" si="2"/>
        <v>-2.3073794808405428E-2</v>
      </c>
      <c r="R31" s="11">
        <f t="shared" si="2"/>
        <v>-5.9479553903345785E-3</v>
      </c>
      <c r="S31" s="11">
        <f t="shared" si="2"/>
        <v>-1.8915196056595476E-3</v>
      </c>
      <c r="T31" s="11">
        <f t="shared" si="2"/>
        <v>-5.056617394680483E-3</v>
      </c>
      <c r="U31" s="11">
        <f t="shared" si="3"/>
        <v>-6.2167041096695642E-3</v>
      </c>
    </row>
    <row r="32" spans="1:21" x14ac:dyDescent="0.2">
      <c r="A32" s="1">
        <v>44399</v>
      </c>
      <c r="B32" s="3">
        <v>98.120002999999997</v>
      </c>
      <c r="C32" s="3">
        <v>16.5</v>
      </c>
      <c r="D32" s="3">
        <v>25.77</v>
      </c>
      <c r="E32" s="3">
        <v>68.300003000000004</v>
      </c>
      <c r="F32" s="3">
        <v>7.84</v>
      </c>
      <c r="G32" s="3">
        <v>24.27</v>
      </c>
      <c r="H32" s="3">
        <v>26.9</v>
      </c>
      <c r="I32" s="3">
        <v>31.719999000000001</v>
      </c>
      <c r="J32" s="3">
        <v>114.699997</v>
      </c>
      <c r="L32" s="11">
        <f t="shared" si="2"/>
        <v>1.3531711879593303E-2</v>
      </c>
      <c r="M32" s="11">
        <f t="shared" si="2"/>
        <v>9.1743119266054166E-3</v>
      </c>
      <c r="N32" s="11">
        <f t="shared" si="2"/>
        <v>7.033997655334104E-3</v>
      </c>
      <c r="O32" s="11">
        <f t="shared" si="2"/>
        <v>2.2302126097953345E-2</v>
      </c>
      <c r="P32" s="11">
        <f t="shared" si="2"/>
        <v>-7.5949367088608225E-3</v>
      </c>
      <c r="Q32" s="11">
        <f t="shared" si="2"/>
        <v>4.1220115416314965E-4</v>
      </c>
      <c r="R32" s="11">
        <f t="shared" si="2"/>
        <v>-2.2254822783933058E-3</v>
      </c>
      <c r="S32" s="11">
        <f t="shared" si="2"/>
        <v>-9.6784267773469233E-3</v>
      </c>
      <c r="T32" s="11">
        <f t="shared" si="2"/>
        <v>2.6223338702388798E-3</v>
      </c>
      <c r="U32" s="11">
        <f t="shared" si="3"/>
        <v>3.9530929799207921E-3</v>
      </c>
    </row>
    <row r="33" spans="1:21" x14ac:dyDescent="0.2">
      <c r="A33" s="1">
        <v>44398</v>
      </c>
      <c r="B33" s="3">
        <v>96.809997999999993</v>
      </c>
      <c r="C33" s="3">
        <v>16.350000000000001</v>
      </c>
      <c r="D33" s="3">
        <v>25.59</v>
      </c>
      <c r="E33" s="3">
        <v>66.809997999999993</v>
      </c>
      <c r="F33" s="3">
        <v>7.9</v>
      </c>
      <c r="G33" s="3">
        <v>24.26</v>
      </c>
      <c r="H33" s="3">
        <v>26.959999</v>
      </c>
      <c r="I33" s="3">
        <v>32.029998999999997</v>
      </c>
      <c r="J33" s="3">
        <v>114.400002</v>
      </c>
      <c r="L33" s="11">
        <f t="shared" si="2"/>
        <v>-4.3197057188201805E-3</v>
      </c>
      <c r="M33" s="11">
        <f t="shared" si="2"/>
        <v>-4.2630937880633541E-3</v>
      </c>
      <c r="N33" s="11">
        <f t="shared" si="2"/>
        <v>-1.5769230769230775E-2</v>
      </c>
      <c r="O33" s="11">
        <f t="shared" si="2"/>
        <v>-1.0222251851851953E-2</v>
      </c>
      <c r="P33" s="11">
        <f t="shared" si="2"/>
        <v>-5.1620648259303688E-2</v>
      </c>
      <c r="Q33" s="11">
        <f t="shared" si="2"/>
        <v>-3.6960985626283307E-3</v>
      </c>
      <c r="R33" s="11">
        <f t="shared" si="2"/>
        <v>1.3914968033095148E-2</v>
      </c>
      <c r="S33" s="11">
        <f t="shared" si="2"/>
        <v>-7.4372792066937261E-3</v>
      </c>
      <c r="T33" s="11">
        <f t="shared" si="2"/>
        <v>1.1494288443754008E-2</v>
      </c>
      <c r="U33" s="11">
        <f t="shared" si="3"/>
        <v>-7.9910057421936475E-3</v>
      </c>
    </row>
    <row r="34" spans="1:21" x14ac:dyDescent="0.2">
      <c r="A34" s="1">
        <v>44397</v>
      </c>
      <c r="B34" s="3">
        <v>97.230002999999996</v>
      </c>
      <c r="C34" s="3">
        <v>16.420000000000002</v>
      </c>
      <c r="D34" s="3">
        <v>26</v>
      </c>
      <c r="E34" s="3">
        <v>67.5</v>
      </c>
      <c r="F34" s="3">
        <v>8.33</v>
      </c>
      <c r="G34" s="3">
        <v>24.35</v>
      </c>
      <c r="H34" s="3">
        <v>26.59</v>
      </c>
      <c r="I34" s="3">
        <v>32.270000000000003</v>
      </c>
      <c r="J34" s="3">
        <v>113.099998</v>
      </c>
      <c r="L34" s="11">
        <f t="shared" si="2"/>
        <v>-9.4743374297336456E-3</v>
      </c>
      <c r="M34" s="11">
        <f t="shared" si="2"/>
        <v>6.0938452163324575E-4</v>
      </c>
      <c r="N34" s="11">
        <f t="shared" si="2"/>
        <v>1.2461059190031164E-2</v>
      </c>
      <c r="O34" s="11">
        <f t="shared" si="2"/>
        <v>3.7174721189591076E-3</v>
      </c>
      <c r="P34" s="11">
        <f t="shared" si="2"/>
        <v>5.4430379746835407E-2</v>
      </c>
      <c r="Q34" s="11">
        <f t="shared" si="2"/>
        <v>1.8828451882845307E-2</v>
      </c>
      <c r="R34" s="11">
        <f t="shared" si="2"/>
        <v>1.3338414634146397E-2</v>
      </c>
      <c r="S34" s="11">
        <f t="shared" si="2"/>
        <v>1.0331840628308196E-2</v>
      </c>
      <c r="T34" s="11">
        <f t="shared" si="2"/>
        <v>8.3808306568890524E-3</v>
      </c>
      <c r="U34" s="11">
        <f t="shared" si="3"/>
        <v>1.2513721772212692E-2</v>
      </c>
    </row>
    <row r="35" spans="1:21" x14ac:dyDescent="0.2">
      <c r="A35" s="1">
        <v>44396</v>
      </c>
      <c r="B35" s="3">
        <v>98.160004000000001</v>
      </c>
      <c r="C35" s="3">
        <v>16.41</v>
      </c>
      <c r="D35" s="3">
        <v>25.68</v>
      </c>
      <c r="E35" s="3">
        <v>67.25</v>
      </c>
      <c r="F35" s="3">
        <v>7.9</v>
      </c>
      <c r="G35" s="3">
        <v>23.9</v>
      </c>
      <c r="H35" s="3">
        <v>26.24</v>
      </c>
      <c r="I35" s="3">
        <v>31.940000999999999</v>
      </c>
      <c r="J35" s="3">
        <v>112.160004</v>
      </c>
      <c r="L35" s="11">
        <f t="shared" si="2"/>
        <v>-1.4160851662147159E-2</v>
      </c>
      <c r="M35" s="11">
        <f t="shared" si="2"/>
        <v>-1.0849909584086782E-2</v>
      </c>
      <c r="N35" s="11">
        <f t="shared" si="2"/>
        <v>-1.2307692307692318E-2</v>
      </c>
      <c r="O35" s="11">
        <f t="shared" si="2"/>
        <v>-6.6469279164073853E-3</v>
      </c>
      <c r="P35" s="11">
        <f t="shared" si="2"/>
        <v>-8.7759709902968677E-2</v>
      </c>
      <c r="Q35" s="11">
        <f t="shared" si="2"/>
        <v>-1.1170872983036951E-2</v>
      </c>
      <c r="R35" s="11">
        <f t="shared" si="2"/>
        <v>-1.649175412293858E-2</v>
      </c>
      <c r="S35" s="11">
        <f t="shared" si="2"/>
        <v>-8.6902542305943645E-3</v>
      </c>
      <c r="T35" s="11">
        <f t="shared" si="2"/>
        <v>-1.093472643854098E-2</v>
      </c>
      <c r="U35" s="11">
        <f t="shared" si="3"/>
        <v>-1.9890299905379244E-2</v>
      </c>
    </row>
    <row r="36" spans="1:21" x14ac:dyDescent="0.2">
      <c r="A36" s="1">
        <v>44393</v>
      </c>
      <c r="B36" s="3">
        <v>99.57</v>
      </c>
      <c r="C36" s="3">
        <v>16.59</v>
      </c>
      <c r="D36" s="3">
        <v>26</v>
      </c>
      <c r="E36" s="3">
        <v>67.699996999999996</v>
      </c>
      <c r="F36" s="3">
        <v>8.6599989999999991</v>
      </c>
      <c r="G36" s="3">
        <v>24.17</v>
      </c>
      <c r="H36" s="3">
        <v>26.68</v>
      </c>
      <c r="I36" s="3">
        <v>32.220001000000003</v>
      </c>
      <c r="J36" s="3">
        <v>113.400002</v>
      </c>
      <c r="L36" s="11">
        <f t="shared" si="2"/>
        <v>-1.2300347431809293E-2</v>
      </c>
      <c r="M36" s="11">
        <f t="shared" si="2"/>
        <v>-2.4117647058823539E-2</v>
      </c>
      <c r="N36" s="11">
        <f t="shared" si="2"/>
        <v>-1.103084781168324E-2</v>
      </c>
      <c r="O36" s="11">
        <f t="shared" si="2"/>
        <v>-1.4699490826655377E-2</v>
      </c>
      <c r="P36" s="11">
        <f t="shared" si="2"/>
        <v>1.5055882583572933E-2</v>
      </c>
      <c r="Q36" s="11">
        <f t="shared" si="2"/>
        <v>-1.1451983171697972E-2</v>
      </c>
      <c r="R36" s="11">
        <f t="shared" si="2"/>
        <v>-1.4771048744460806E-2</v>
      </c>
      <c r="S36" s="11">
        <f t="shared" si="2"/>
        <v>-2.1560856361979845E-2</v>
      </c>
      <c r="T36" s="11">
        <f t="shared" si="2"/>
        <v>-1.801178512265882E-2</v>
      </c>
      <c r="U36" s="11">
        <f t="shared" si="3"/>
        <v>-1.254312488291066E-2</v>
      </c>
    </row>
    <row r="37" spans="1:21" x14ac:dyDescent="0.2">
      <c r="A37" s="1">
        <v>44392</v>
      </c>
      <c r="B37" s="3">
        <v>100.80999799999999</v>
      </c>
      <c r="C37" s="3">
        <v>17</v>
      </c>
      <c r="D37" s="3">
        <v>26.290001</v>
      </c>
      <c r="E37" s="3">
        <v>68.709998999999996</v>
      </c>
      <c r="F37" s="3">
        <v>8.531549</v>
      </c>
      <c r="G37" s="3">
        <v>24.450001</v>
      </c>
      <c r="H37" s="3">
        <v>27.08</v>
      </c>
      <c r="I37" s="3">
        <v>32.93</v>
      </c>
      <c r="J37" s="3">
        <v>115.480003</v>
      </c>
      <c r="L37" s="11">
        <f t="shared" si="2"/>
        <v>1.3573285879482032E-2</v>
      </c>
      <c r="M37" s="11">
        <f t="shared" si="2"/>
        <v>-7.0094037961795962E-3</v>
      </c>
      <c r="N37" s="11">
        <f t="shared" si="2"/>
        <v>-1.5355804668321928E-2</v>
      </c>
      <c r="O37" s="11">
        <f t="shared" si="2"/>
        <v>1.8955525839734306E-3</v>
      </c>
      <c r="P37" s="11">
        <f t="shared" si="2"/>
        <v>-2.4632977608130043E-2</v>
      </c>
      <c r="Q37" s="11">
        <f t="shared" si="2"/>
        <v>-1.9647152379825426E-2</v>
      </c>
      <c r="R37" s="11">
        <f t="shared" si="2"/>
        <v>-2.1322732200939769E-2</v>
      </c>
      <c r="S37" s="11">
        <f t="shared" si="2"/>
        <v>-2.8040170364811982E-2</v>
      </c>
      <c r="T37" s="11">
        <f t="shared" si="2"/>
        <v>3.1271715654837104E-3</v>
      </c>
      <c r="U37" s="11">
        <f t="shared" si="3"/>
        <v>-1.0823581221029954E-2</v>
      </c>
    </row>
    <row r="38" spans="1:21" x14ac:dyDescent="0.2">
      <c r="A38" s="1">
        <v>44391</v>
      </c>
      <c r="B38" s="3">
        <v>99.459998999999996</v>
      </c>
      <c r="C38" s="3">
        <v>17.120000999999998</v>
      </c>
      <c r="D38" s="3">
        <v>26.700001</v>
      </c>
      <c r="E38" s="3">
        <v>68.580001999999993</v>
      </c>
      <c r="F38" s="3">
        <v>8.7470140000000001</v>
      </c>
      <c r="G38" s="3">
        <v>24.940000999999999</v>
      </c>
      <c r="H38" s="3">
        <v>27.67</v>
      </c>
      <c r="I38" s="3">
        <v>33.880001</v>
      </c>
      <c r="J38" s="3">
        <v>115.120003</v>
      </c>
      <c r="L38" s="11">
        <f t="shared" si="2"/>
        <v>2.3988490393961334E-2</v>
      </c>
      <c r="M38" s="11">
        <f t="shared" si="2"/>
        <v>1.0029497933362845E-2</v>
      </c>
      <c r="N38" s="11">
        <f t="shared" si="2"/>
        <v>-1.4396419342930953E-2</v>
      </c>
      <c r="O38" s="11">
        <f t="shared" si="2"/>
        <v>3.6421400526564715E-2</v>
      </c>
      <c r="P38" s="11">
        <f t="shared" si="2"/>
        <v>-1.124122092240515E-2</v>
      </c>
      <c r="Q38" s="11">
        <f t="shared" si="2"/>
        <v>1.8790890522875747E-2</v>
      </c>
      <c r="R38" s="11">
        <f t="shared" si="2"/>
        <v>-8.2437275985661959E-3</v>
      </c>
      <c r="S38" s="11">
        <f t="shared" si="2"/>
        <v>4.1493477089895583E-3</v>
      </c>
      <c r="T38" s="11">
        <f t="shared" si="2"/>
        <v>-5.4427386609071536E-3</v>
      </c>
      <c r="U38" s="11">
        <f t="shared" si="3"/>
        <v>6.0061689512160834E-3</v>
      </c>
    </row>
    <row r="39" spans="1:21" x14ac:dyDescent="0.2">
      <c r="A39" s="1">
        <v>44390</v>
      </c>
      <c r="B39" s="3">
        <v>97.129997000000003</v>
      </c>
      <c r="C39" s="3">
        <v>16.950001</v>
      </c>
      <c r="D39" s="3">
        <v>27.09</v>
      </c>
      <c r="E39" s="3">
        <v>66.169998000000007</v>
      </c>
      <c r="F39" s="3">
        <v>8.8464589999999994</v>
      </c>
      <c r="G39" s="3">
        <v>24.48</v>
      </c>
      <c r="H39" s="3">
        <v>27.9</v>
      </c>
      <c r="I39" s="3">
        <v>33.740001999999997</v>
      </c>
      <c r="J39" s="3">
        <v>115.75</v>
      </c>
      <c r="L39" s="11">
        <f t="shared" si="2"/>
        <v>5.2783480041912858E-3</v>
      </c>
      <c r="M39" s="11">
        <f t="shared" si="2"/>
        <v>1.436277763990294E-2</v>
      </c>
      <c r="N39" s="11">
        <f t="shared" si="2"/>
        <v>-2.2099447513811684E-3</v>
      </c>
      <c r="O39" s="11">
        <f t="shared" si="2"/>
        <v>9.0753288598513027E-4</v>
      </c>
      <c r="P39" s="11">
        <f t="shared" si="2"/>
        <v>2.055458253223293E-2</v>
      </c>
      <c r="Q39" s="11">
        <f t="shared" si="2"/>
        <v>2.8571471788717332E-2</v>
      </c>
      <c r="R39" s="11">
        <f t="shared" si="2"/>
        <v>6.1305445366028905E-3</v>
      </c>
      <c r="S39" s="11">
        <f t="shared" si="2"/>
        <v>1.6265089871533335E-2</v>
      </c>
      <c r="T39" s="11">
        <f t="shared" si="2"/>
        <v>5.9094464239159367E-3</v>
      </c>
      <c r="U39" s="11">
        <f t="shared" si="3"/>
        <v>1.0641094325744513E-2</v>
      </c>
    </row>
    <row r="40" spans="1:21" x14ac:dyDescent="0.2">
      <c r="A40" s="1">
        <v>44389</v>
      </c>
      <c r="B40" s="3">
        <v>96.620002999999997</v>
      </c>
      <c r="C40" s="3">
        <v>16.709999</v>
      </c>
      <c r="D40" s="3">
        <v>27.15</v>
      </c>
      <c r="E40" s="3">
        <v>66.110000999999997</v>
      </c>
      <c r="F40" s="3">
        <v>8.6682860000000002</v>
      </c>
      <c r="G40" s="3">
        <v>23.799999</v>
      </c>
      <c r="H40" s="3">
        <v>27.73</v>
      </c>
      <c r="I40" s="3">
        <v>33.200001</v>
      </c>
      <c r="J40" s="3">
        <v>115.07</v>
      </c>
      <c r="L40" s="11">
        <f t="shared" si="2"/>
        <v>6.0391711157936493E-3</v>
      </c>
      <c r="M40" s="11">
        <f t="shared" si="2"/>
        <v>3.4674860681114632E-2</v>
      </c>
      <c r="N40" s="11">
        <f t="shared" si="2"/>
        <v>5.5555555555555029E-3</v>
      </c>
      <c r="O40" s="11">
        <f t="shared" si="2"/>
        <v>9.1588914926303451E-3</v>
      </c>
      <c r="P40" s="11">
        <f t="shared" si="2"/>
        <v>1.7015081784415329E-2</v>
      </c>
      <c r="Q40" s="11">
        <f t="shared" si="2"/>
        <v>3.209020087121419E-2</v>
      </c>
      <c r="R40" s="11">
        <f t="shared" si="2"/>
        <v>8.7304474354311379E-3</v>
      </c>
      <c r="S40" s="11">
        <f t="shared" si="2"/>
        <v>2.5641088218754667E-2</v>
      </c>
      <c r="T40" s="11">
        <f t="shared" si="2"/>
        <v>1.2405384043449378E-2</v>
      </c>
      <c r="U40" s="11">
        <f t="shared" si="3"/>
        <v>1.6812297910928756E-2</v>
      </c>
    </row>
    <row r="41" spans="1:21" x14ac:dyDescent="0.2">
      <c r="A41" s="1">
        <v>44385</v>
      </c>
      <c r="B41" s="3">
        <v>96.040001000000004</v>
      </c>
      <c r="C41" s="3">
        <v>16.149999999999999</v>
      </c>
      <c r="D41" s="3">
        <v>27</v>
      </c>
      <c r="E41" s="3">
        <v>65.510002</v>
      </c>
      <c r="F41" s="3">
        <v>8.5232620000000008</v>
      </c>
      <c r="G41" s="3">
        <v>23.059999000000001</v>
      </c>
      <c r="H41" s="3">
        <v>27.49</v>
      </c>
      <c r="I41" s="3">
        <v>32.369999</v>
      </c>
      <c r="J41" s="3">
        <v>113.660004</v>
      </c>
      <c r="L41" s="11">
        <f t="shared" si="2"/>
        <v>-4.4573442058945621E-3</v>
      </c>
      <c r="M41" s="11">
        <f t="shared" si="2"/>
        <v>-7.3755377996312845E-3</v>
      </c>
      <c r="N41" s="11">
        <f t="shared" si="2"/>
        <v>-8.4465662871832693E-3</v>
      </c>
      <c r="O41" s="11">
        <f t="shared" si="2"/>
        <v>-1.2660075739565197E-2</v>
      </c>
      <c r="P41" s="11">
        <f t="shared" si="2"/>
        <v>-6.7600700688661836E-3</v>
      </c>
      <c r="Q41" s="11">
        <f t="shared" si="2"/>
        <v>1.3025618192549205E-3</v>
      </c>
      <c r="R41" s="11">
        <f t="shared" si="2"/>
        <v>-1.9964314437230506E-2</v>
      </c>
      <c r="S41" s="11">
        <f t="shared" si="2"/>
        <v>-3.9180766968856258E-2</v>
      </c>
      <c r="T41" s="11">
        <f t="shared" si="2"/>
        <v>-3.8562139150957624E-3</v>
      </c>
      <c r="U41" s="11">
        <f t="shared" si="3"/>
        <v>-1.1266480844785343E-2</v>
      </c>
    </row>
    <row r="42" spans="1:21" x14ac:dyDescent="0.2">
      <c r="A42" s="1">
        <v>44384</v>
      </c>
      <c r="B42" s="3">
        <v>96.470000999999996</v>
      </c>
      <c r="C42" s="3">
        <v>16.27</v>
      </c>
      <c r="D42" s="3">
        <v>27.23</v>
      </c>
      <c r="E42" s="3">
        <v>66.349997999999999</v>
      </c>
      <c r="F42" s="3">
        <v>8.5812720000000002</v>
      </c>
      <c r="G42" s="3">
        <v>23.030000999999999</v>
      </c>
      <c r="H42" s="3">
        <v>28.049999</v>
      </c>
      <c r="I42" s="3">
        <v>33.689999</v>
      </c>
      <c r="J42" s="3">
        <v>114.099998</v>
      </c>
      <c r="L42" s="11">
        <f t="shared" si="2"/>
        <v>6.8886652100755008E-3</v>
      </c>
      <c r="M42" s="11">
        <f t="shared" si="2"/>
        <v>2.1984924623115555E-2</v>
      </c>
      <c r="N42" s="11">
        <f t="shared" si="2"/>
        <v>2.0232258515089665E-2</v>
      </c>
      <c r="O42" s="11">
        <f t="shared" si="2"/>
        <v>5.4178567749897787E-2</v>
      </c>
      <c r="P42" s="11">
        <f t="shared" si="2"/>
        <v>1.0243861206005272E-2</v>
      </c>
      <c r="Q42" s="11">
        <f t="shared" si="2"/>
        <v>5.6768995633187788E-3</v>
      </c>
      <c r="R42" s="11">
        <f t="shared" si="2"/>
        <v>1.3733249006143764E-2</v>
      </c>
      <c r="S42" s="11">
        <f t="shared" si="2"/>
        <v>1.6596258798921421E-2</v>
      </c>
      <c r="T42" s="11">
        <f t="shared" si="2"/>
        <v>2.9005977735939974E-3</v>
      </c>
      <c r="U42" s="11">
        <f t="shared" si="3"/>
        <v>1.6937253605129085E-2</v>
      </c>
    </row>
    <row r="43" spans="1:21" x14ac:dyDescent="0.2">
      <c r="A43" s="1">
        <v>44383</v>
      </c>
      <c r="B43" s="3">
        <v>95.809997999999993</v>
      </c>
      <c r="C43" s="3">
        <v>15.92</v>
      </c>
      <c r="D43" s="3">
        <v>26.690000999999999</v>
      </c>
      <c r="E43" s="3">
        <v>62.939999</v>
      </c>
      <c r="F43" s="3">
        <v>8.4942580000000003</v>
      </c>
      <c r="G43" s="3">
        <v>22.9</v>
      </c>
      <c r="H43" s="3">
        <v>27.67</v>
      </c>
      <c r="I43" s="3">
        <v>33.139999000000003</v>
      </c>
      <c r="J43" s="3">
        <v>113.769997</v>
      </c>
      <c r="L43" s="11">
        <f t="shared" si="2"/>
        <v>-2.4987505726575634E-3</v>
      </c>
      <c r="M43" s="11">
        <f t="shared" si="2"/>
        <v>-1.1793978163005734E-2</v>
      </c>
      <c r="N43" s="11">
        <f t="shared" si="2"/>
        <v>-8.911956925362086E-3</v>
      </c>
      <c r="O43" s="11">
        <f t="shared" si="2"/>
        <v>-1.8249913925285959E-2</v>
      </c>
      <c r="P43" s="11">
        <f t="shared" si="2"/>
        <v>-0.59761925165233298</v>
      </c>
      <c r="Q43" s="11">
        <f t="shared" si="2"/>
        <v>-2.1367521367521368E-2</v>
      </c>
      <c r="R43" s="11">
        <f t="shared" si="2"/>
        <v>-4.0901213171577112E-2</v>
      </c>
      <c r="S43" s="11">
        <f t="shared" si="2"/>
        <v>-1.3690447243478891E-2</v>
      </c>
      <c r="T43" s="11">
        <f t="shared" si="2"/>
        <v>5.3017496739727506E-3</v>
      </c>
      <c r="U43" s="11">
        <f t="shared" si="3"/>
        <v>-7.885903148302767E-2</v>
      </c>
    </row>
    <row r="44" spans="1:21" x14ac:dyDescent="0.2">
      <c r="A44" s="1">
        <v>44382</v>
      </c>
      <c r="B44" s="3">
        <v>96.050003000000004</v>
      </c>
      <c r="C44" s="3">
        <v>16.110001</v>
      </c>
      <c r="D44" s="3">
        <v>26.93</v>
      </c>
      <c r="E44" s="3">
        <v>64.110000999999997</v>
      </c>
      <c r="F44" s="3">
        <v>21.110001</v>
      </c>
      <c r="G44" s="3">
        <v>23.4</v>
      </c>
      <c r="H44" s="3">
        <v>28.85</v>
      </c>
      <c r="I44" s="3">
        <v>33.599997999999999</v>
      </c>
      <c r="J44" s="3">
        <v>113.16999800000001</v>
      </c>
      <c r="L44" s="11">
        <f t="shared" si="2"/>
        <v>6.6024419744799929E-3</v>
      </c>
      <c r="M44" s="11">
        <f t="shared" si="2"/>
        <v>-1.8879354445797882E-2</v>
      </c>
      <c r="N44" s="11">
        <f t="shared" si="2"/>
        <v>8.2366532473475522E-3</v>
      </c>
      <c r="O44" s="11">
        <f t="shared" si="2"/>
        <v>-5.429692916998019E-3</v>
      </c>
      <c r="P44" s="11">
        <f t="shared" si="2"/>
        <v>-1.2166588106383243E-2</v>
      </c>
      <c r="Q44" s="11">
        <f t="shared" si="2"/>
        <v>1.0799136069114472E-2</v>
      </c>
      <c r="R44" s="11">
        <f t="shared" si="2"/>
        <v>-1.1309115832762107E-2</v>
      </c>
      <c r="S44" s="11">
        <f t="shared" si="2"/>
        <v>-1.4951714601239606E-2</v>
      </c>
      <c r="T44" s="11">
        <f t="shared" si="2"/>
        <v>-3.6098256099694956E-3</v>
      </c>
      <c r="U44" s="11">
        <f t="shared" si="3"/>
        <v>-4.5231178024675934E-3</v>
      </c>
    </row>
    <row r="45" spans="1:21" x14ac:dyDescent="0.2">
      <c r="A45" s="1">
        <v>44379</v>
      </c>
      <c r="B45" s="3">
        <v>95.419998000000007</v>
      </c>
      <c r="C45" s="3">
        <v>16.420000000000002</v>
      </c>
      <c r="D45" s="3">
        <v>26.709999</v>
      </c>
      <c r="E45" s="3">
        <v>64.459998999999996</v>
      </c>
      <c r="F45" s="3">
        <v>21.370000999999998</v>
      </c>
      <c r="G45" s="3">
        <v>23.15</v>
      </c>
      <c r="H45" s="3">
        <v>29.18</v>
      </c>
      <c r="I45" s="3">
        <v>34.110000999999997</v>
      </c>
      <c r="J45" s="3">
        <v>113.58000199999999</v>
      </c>
      <c r="L45" s="11">
        <f t="shared" si="2"/>
        <v>2.0425579714991416E-2</v>
      </c>
      <c r="M45" s="11">
        <f t="shared" si="2"/>
        <v>6.1274509803922435E-3</v>
      </c>
      <c r="N45" s="11">
        <f t="shared" si="2"/>
        <v>8.3049830124575837E-3</v>
      </c>
      <c r="O45" s="11">
        <f t="shared" si="2"/>
        <v>3.1359983999999938E-2</v>
      </c>
      <c r="P45" s="11">
        <f t="shared" si="2"/>
        <v>1.3276481744902731E-2</v>
      </c>
      <c r="Q45" s="11">
        <f t="shared" si="2"/>
        <v>1.6688625384277515E-2</v>
      </c>
      <c r="R45" s="11">
        <f t="shared" si="2"/>
        <v>4.1294220278534233E-3</v>
      </c>
      <c r="S45" s="11">
        <f t="shared" si="2"/>
        <v>-3.5056675430908553E-3</v>
      </c>
      <c r="T45" s="11">
        <f t="shared" si="2"/>
        <v>2.0668610897453275E-2</v>
      </c>
      <c r="U45" s="11">
        <f t="shared" si="3"/>
        <v>1.3052830024359696E-2</v>
      </c>
    </row>
    <row r="46" spans="1:21" x14ac:dyDescent="0.2">
      <c r="A46" s="1">
        <v>44378</v>
      </c>
      <c r="B46" s="3">
        <v>93.510002</v>
      </c>
      <c r="C46" s="3">
        <v>16.32</v>
      </c>
      <c r="D46" s="3">
        <v>26.49</v>
      </c>
      <c r="E46" s="3">
        <v>62.5</v>
      </c>
      <c r="F46" s="3">
        <v>21.09</v>
      </c>
      <c r="G46" s="3">
        <v>22.77</v>
      </c>
      <c r="H46" s="3">
        <v>29.059999000000001</v>
      </c>
      <c r="I46" s="3">
        <v>34.229999999999997</v>
      </c>
      <c r="J46" s="3">
        <v>111.279999</v>
      </c>
      <c r="L46" s="11">
        <f t="shared" si="2"/>
        <v>-1.0476169312169312E-2</v>
      </c>
      <c r="M46" s="11">
        <f t="shared" si="2"/>
        <v>-2.9726516052318668E-2</v>
      </c>
      <c r="N46" s="11">
        <f t="shared" si="2"/>
        <v>5.6947608200455038E-3</v>
      </c>
      <c r="O46" s="11">
        <f t="shared" si="2"/>
        <v>-2.34375E-2</v>
      </c>
      <c r="P46" s="11">
        <f t="shared" si="2"/>
        <v>-2.2706209453197335E-2</v>
      </c>
      <c r="Q46" s="11">
        <f t="shared" si="2"/>
        <v>-3.106382978723406E-2</v>
      </c>
      <c r="R46" s="11">
        <f t="shared" si="2"/>
        <v>-1.2572239211688702E-2</v>
      </c>
      <c r="S46" s="11">
        <f t="shared" si="2"/>
        <v>-1.2406231967686086E-2</v>
      </c>
      <c r="T46" s="11">
        <f t="shared" si="2"/>
        <v>-1.7395152317880764E-2</v>
      </c>
      <c r="U46" s="11">
        <f t="shared" si="3"/>
        <v>-1.7121009698014382E-2</v>
      </c>
    </row>
    <row r="47" spans="1:21" x14ac:dyDescent="0.2">
      <c r="A47" s="1">
        <v>44377</v>
      </c>
      <c r="B47" s="3">
        <v>94.5</v>
      </c>
      <c r="C47" s="3">
        <v>16.82</v>
      </c>
      <c r="D47" s="3">
        <v>26.34</v>
      </c>
      <c r="E47" s="3">
        <v>64</v>
      </c>
      <c r="F47" s="3">
        <v>21.58</v>
      </c>
      <c r="G47" s="3">
        <v>23.5</v>
      </c>
      <c r="H47" s="3">
        <v>29.43</v>
      </c>
      <c r="I47" s="3">
        <v>34.659999999999997</v>
      </c>
      <c r="J47" s="3">
        <v>113.25</v>
      </c>
      <c r="L47" s="11">
        <f t="shared" si="2"/>
        <v>-6.1001471161095822E-3</v>
      </c>
      <c r="M47" s="11">
        <f t="shared" si="2"/>
        <v>-1.2910856049832385E-2</v>
      </c>
      <c r="N47" s="11">
        <f t="shared" si="2"/>
        <v>-1.8946192457225816E-3</v>
      </c>
      <c r="O47" s="11">
        <f t="shared" si="2"/>
        <v>-8.2132187852661156E-3</v>
      </c>
      <c r="P47" s="11">
        <f t="shared" si="2"/>
        <v>-2.8802836579785763E-2</v>
      </c>
      <c r="Q47" s="11">
        <f t="shared" si="2"/>
        <v>1.8638925010836572E-2</v>
      </c>
      <c r="R47" s="11">
        <f t="shared" si="2"/>
        <v>8.5675119945167917E-3</v>
      </c>
      <c r="S47" s="11">
        <f t="shared" si="2"/>
        <v>-2.1456748811787146E-2</v>
      </c>
      <c r="T47" s="11">
        <f t="shared" si="2"/>
        <v>6.5771752452728595E-3</v>
      </c>
      <c r="U47" s="11">
        <f t="shared" si="3"/>
        <v>-5.0660904819863732E-3</v>
      </c>
    </row>
    <row r="48" spans="1:21" x14ac:dyDescent="0.2">
      <c r="A48" s="1">
        <v>44376</v>
      </c>
      <c r="B48" s="3">
        <v>95.080001999999993</v>
      </c>
      <c r="C48" s="3">
        <v>17.040001</v>
      </c>
      <c r="D48" s="3">
        <v>26.389999</v>
      </c>
      <c r="E48" s="3">
        <v>64.529999000000004</v>
      </c>
      <c r="F48" s="3">
        <v>22.219999000000001</v>
      </c>
      <c r="G48" s="3">
        <v>23.07</v>
      </c>
      <c r="H48" s="3">
        <v>29.18</v>
      </c>
      <c r="I48" s="3">
        <v>35.419998</v>
      </c>
      <c r="J48" s="3">
        <v>112.510002</v>
      </c>
      <c r="L48" s="11">
        <f t="shared" si="2"/>
        <v>1.3691943560566627E-3</v>
      </c>
      <c r="M48" s="11">
        <f t="shared" si="2"/>
        <v>2.9429664508535459E-3</v>
      </c>
      <c r="N48" s="11">
        <f t="shared" si="2"/>
        <v>1.1380120964334971E-3</v>
      </c>
      <c r="O48" s="11">
        <f t="shared" si="2"/>
        <v>4.3579610894942207E-3</v>
      </c>
      <c r="P48" s="11">
        <f t="shared" si="2"/>
        <v>-5.8165995525727076E-3</v>
      </c>
      <c r="Q48" s="11">
        <f t="shared" si="2"/>
        <v>-2.740299440990706E-2</v>
      </c>
      <c r="R48" s="11">
        <f t="shared" ref="R48:T111" si="4">(H48-H49)/H49</f>
        <v>4.4750776067152371E-3</v>
      </c>
      <c r="S48" s="11">
        <f t="shared" si="4"/>
        <v>1.0844662932515415E-2</v>
      </c>
      <c r="T48" s="11">
        <f t="shared" si="4"/>
        <v>1.7269475899990529E-2</v>
      </c>
      <c r="U48" s="11">
        <f t="shared" si="3"/>
        <v>1.019750718842149E-3</v>
      </c>
    </row>
    <row r="49" spans="1:21" x14ac:dyDescent="0.2">
      <c r="A49" s="1">
        <v>44375</v>
      </c>
      <c r="B49" s="3">
        <v>94.949996999999996</v>
      </c>
      <c r="C49" s="3">
        <v>16.989999999999998</v>
      </c>
      <c r="D49" s="3">
        <v>26.360001</v>
      </c>
      <c r="E49" s="3">
        <v>64.25</v>
      </c>
      <c r="F49" s="3">
        <v>22.35</v>
      </c>
      <c r="G49" s="3">
        <v>23.719999000000001</v>
      </c>
      <c r="H49" s="3">
        <v>29.049999</v>
      </c>
      <c r="I49" s="3">
        <v>35.040000999999997</v>
      </c>
      <c r="J49" s="3">
        <v>110.599998</v>
      </c>
      <c r="L49" s="11">
        <f t="shared" ref="L49:Q91" si="5">(B49-B50)/B50</f>
        <v>2.3278327155099313E-2</v>
      </c>
      <c r="M49" s="11">
        <f t="shared" si="5"/>
        <v>1.7974774237580916E-2</v>
      </c>
      <c r="N49" s="11">
        <f t="shared" si="5"/>
        <v>1.9334879376068082E-2</v>
      </c>
      <c r="O49" s="11">
        <f t="shared" si="5"/>
        <v>1.0220157554093015E-2</v>
      </c>
      <c r="P49" s="11">
        <f t="shared" si="5"/>
        <v>1.8687282648711032E-2</v>
      </c>
      <c r="Q49" s="11">
        <f t="shared" si="5"/>
        <v>-1.3311230727486191E-2</v>
      </c>
      <c r="R49" s="11">
        <f t="shared" si="4"/>
        <v>-1.718247422680472E-3</v>
      </c>
      <c r="S49" s="11">
        <f t="shared" si="4"/>
        <v>1.271685044606064E-2</v>
      </c>
      <c r="T49" s="11">
        <f t="shared" si="4"/>
        <v>-1.6014270177682036E-2</v>
      </c>
      <c r="U49" s="11">
        <f t="shared" si="3"/>
        <v>7.9076136766404789E-3</v>
      </c>
    </row>
    <row r="50" spans="1:21" x14ac:dyDescent="0.2">
      <c r="A50" s="1">
        <v>44372</v>
      </c>
      <c r="B50" s="3">
        <v>92.790001000000004</v>
      </c>
      <c r="C50" s="3">
        <v>16.690000999999999</v>
      </c>
      <c r="D50" s="3">
        <v>25.860001</v>
      </c>
      <c r="E50" s="3">
        <v>63.599997999999999</v>
      </c>
      <c r="F50" s="3">
        <v>21.940000999999999</v>
      </c>
      <c r="G50" s="3">
        <v>24.040001</v>
      </c>
      <c r="H50" s="3">
        <v>29.1</v>
      </c>
      <c r="I50" s="3">
        <v>34.599997999999999</v>
      </c>
      <c r="J50" s="3">
        <v>112.400002</v>
      </c>
      <c r="L50" s="11">
        <f t="shared" si="5"/>
        <v>-1.6012746044133212E-2</v>
      </c>
      <c r="M50" s="11">
        <f t="shared" si="5"/>
        <v>-1.7657386698057664E-2</v>
      </c>
      <c r="N50" s="11">
        <f t="shared" si="5"/>
        <v>-1.9340158538484621E-2</v>
      </c>
      <c r="O50" s="11">
        <f t="shared" si="5"/>
        <v>-1.3953519379844971E-2</v>
      </c>
      <c r="P50" s="11">
        <f t="shared" si="5"/>
        <v>-1.9660322594295145E-2</v>
      </c>
      <c r="Q50" s="11">
        <f t="shared" si="5"/>
        <v>-4.5273987291501172E-2</v>
      </c>
      <c r="R50" s="11">
        <f t="shared" si="4"/>
        <v>-1.8549747048903782E-2</v>
      </c>
      <c r="S50" s="11">
        <f t="shared" si="4"/>
        <v>-3.8621948395557125E-2</v>
      </c>
      <c r="T50" s="11">
        <f t="shared" si="4"/>
        <v>1.2339034606313894E-2</v>
      </c>
      <c r="U50" s="11">
        <f t="shared" si="3"/>
        <v>-1.9636753487162643E-2</v>
      </c>
    </row>
    <row r="51" spans="1:21" x14ac:dyDescent="0.2">
      <c r="A51" s="1">
        <v>44371</v>
      </c>
      <c r="B51" s="3">
        <v>94.300003000000004</v>
      </c>
      <c r="C51" s="3">
        <v>16.989999999999998</v>
      </c>
      <c r="D51" s="3">
        <v>26.370000999999998</v>
      </c>
      <c r="E51" s="3">
        <v>64.5</v>
      </c>
      <c r="F51" s="3">
        <v>22.379999000000002</v>
      </c>
      <c r="G51" s="3">
        <v>25.18</v>
      </c>
      <c r="H51" s="3">
        <v>29.65</v>
      </c>
      <c r="I51" s="3">
        <v>35.990001999999997</v>
      </c>
      <c r="J51" s="3">
        <v>111.029999</v>
      </c>
      <c r="L51" s="11">
        <f t="shared" si="5"/>
        <v>6.2960623871099125E-3</v>
      </c>
      <c r="M51" s="11">
        <f t="shared" si="5"/>
        <v>-1.7626321974148729E-3</v>
      </c>
      <c r="N51" s="11">
        <f t="shared" si="5"/>
        <v>2.0116092843326772E-2</v>
      </c>
      <c r="O51" s="11">
        <f t="shared" si="5"/>
        <v>7.8125E-3</v>
      </c>
      <c r="P51" s="11">
        <f t="shared" si="5"/>
        <v>4.4817880485527532E-2</v>
      </c>
      <c r="Q51" s="11">
        <f t="shared" si="5"/>
        <v>5.1896608858148074E-3</v>
      </c>
      <c r="R51" s="11">
        <f t="shared" si="4"/>
        <v>1.1945427028854127E-2</v>
      </c>
      <c r="S51" s="11">
        <f t="shared" si="4"/>
        <v>1.3232038288288114E-2</v>
      </c>
      <c r="T51" s="11">
        <f t="shared" si="4"/>
        <v>-1.8041929778013527E-2</v>
      </c>
      <c r="U51" s="11">
        <f t="shared" si="3"/>
        <v>9.9561222159436531E-3</v>
      </c>
    </row>
    <row r="52" spans="1:21" x14ac:dyDescent="0.2">
      <c r="A52" s="1">
        <v>44370</v>
      </c>
      <c r="B52" s="3">
        <v>93.709998999999996</v>
      </c>
      <c r="C52" s="3">
        <v>17.02</v>
      </c>
      <c r="D52" s="3">
        <v>25.85</v>
      </c>
      <c r="E52" s="3">
        <v>64</v>
      </c>
      <c r="F52" s="3">
        <v>21.42</v>
      </c>
      <c r="G52" s="3">
        <v>25.049999</v>
      </c>
      <c r="H52" s="3">
        <v>29.299999</v>
      </c>
      <c r="I52" s="3">
        <v>35.520000000000003</v>
      </c>
      <c r="J52" s="3">
        <v>113.07</v>
      </c>
      <c r="L52" s="11">
        <f t="shared" si="5"/>
        <v>-1.3578957894736881E-2</v>
      </c>
      <c r="M52" s="11">
        <f t="shared" si="5"/>
        <v>1.7657445556210206E-3</v>
      </c>
      <c r="N52" s="11">
        <f t="shared" si="5"/>
        <v>-1.7110228787461105E-2</v>
      </c>
      <c r="O52" s="11">
        <f t="shared" si="5"/>
        <v>1.5873015873015872E-2</v>
      </c>
      <c r="P52" s="11">
        <f t="shared" si="5"/>
        <v>-1.5624999999999993E-2</v>
      </c>
      <c r="Q52" s="11">
        <f t="shared" si="5"/>
        <v>-9.8814233154712779E-3</v>
      </c>
      <c r="R52" s="11">
        <f t="shared" si="4"/>
        <v>6.8728178694157475E-3</v>
      </c>
      <c r="S52" s="11">
        <f t="shared" si="4"/>
        <v>-1.1961084507341103E-2</v>
      </c>
      <c r="T52" s="11">
        <f t="shared" si="4"/>
        <v>1.4991005116858009E-2</v>
      </c>
      <c r="U52" s="11">
        <f t="shared" si="3"/>
        <v>-3.1837901211221897E-3</v>
      </c>
    </row>
    <row r="53" spans="1:21" x14ac:dyDescent="0.2">
      <c r="A53" s="1">
        <v>44369</v>
      </c>
      <c r="B53" s="3">
        <v>95</v>
      </c>
      <c r="C53" s="3">
        <v>16.989999999999998</v>
      </c>
      <c r="D53" s="3">
        <v>26.299999</v>
      </c>
      <c r="E53" s="3">
        <v>63</v>
      </c>
      <c r="F53" s="3">
        <v>21.76</v>
      </c>
      <c r="G53" s="3">
        <v>25.299999</v>
      </c>
      <c r="H53" s="3">
        <v>29.1</v>
      </c>
      <c r="I53" s="3">
        <v>35.950001</v>
      </c>
      <c r="J53" s="3">
        <v>111.400002</v>
      </c>
      <c r="L53" s="11">
        <f t="shared" si="5"/>
        <v>-9.6945689565308742E-3</v>
      </c>
      <c r="M53" s="11">
        <f t="shared" si="5"/>
        <v>-4.686584651435375E-3</v>
      </c>
      <c r="N53" s="11">
        <f t="shared" si="5"/>
        <v>5.7360994263862758E-3</v>
      </c>
      <c r="O53" s="11">
        <f t="shared" si="5"/>
        <v>-3.4799271831710888E-3</v>
      </c>
      <c r="P53" s="11">
        <f t="shared" si="5"/>
        <v>-1.5384615384615377E-2</v>
      </c>
      <c r="Q53" s="11">
        <f t="shared" si="5"/>
        <v>-2.6548711042708686E-2</v>
      </c>
      <c r="R53" s="11">
        <f t="shared" si="4"/>
        <v>5.1813124289702478E-3</v>
      </c>
      <c r="S53" s="11">
        <f t="shared" si="4"/>
        <v>-2.2203164646215018E-3</v>
      </c>
      <c r="T53" s="11">
        <f t="shared" si="4"/>
        <v>1.1715566145531174E-2</v>
      </c>
      <c r="U53" s="11">
        <f t="shared" si="3"/>
        <v>-4.3757495202439121E-3</v>
      </c>
    </row>
    <row r="54" spans="1:21" x14ac:dyDescent="0.2">
      <c r="A54" s="1">
        <v>44368</v>
      </c>
      <c r="B54" s="3">
        <v>95.93</v>
      </c>
      <c r="C54" s="3">
        <v>17.07</v>
      </c>
      <c r="D54" s="3">
        <v>26.15</v>
      </c>
      <c r="E54" s="3">
        <v>63.220001000000003</v>
      </c>
      <c r="F54" s="3">
        <v>22.1</v>
      </c>
      <c r="G54" s="3">
        <v>25.99</v>
      </c>
      <c r="H54" s="3">
        <v>28.950001</v>
      </c>
      <c r="I54" s="3">
        <v>36.029998999999997</v>
      </c>
      <c r="J54" s="3">
        <v>110.110001</v>
      </c>
      <c r="L54" s="11">
        <f t="shared" si="5"/>
        <v>1.7609027822500123E-2</v>
      </c>
      <c r="M54" s="11">
        <f t="shared" si="5"/>
        <v>-1.7836537274829603E-2</v>
      </c>
      <c r="N54" s="11">
        <f t="shared" si="5"/>
        <v>1.8698870276587332E-2</v>
      </c>
      <c r="O54" s="11">
        <f t="shared" si="5"/>
        <v>6.527622886043318E-3</v>
      </c>
      <c r="P54" s="11">
        <f t="shared" si="5"/>
        <v>1.6091954022988571E-2</v>
      </c>
      <c r="Q54" s="11">
        <f t="shared" si="5"/>
        <v>8.9285714285713066E-3</v>
      </c>
      <c r="R54" s="11">
        <f t="shared" si="4"/>
        <v>2.2245798022598871E-2</v>
      </c>
      <c r="S54" s="11">
        <f t="shared" si="4"/>
        <v>8.3330555555545993E-4</v>
      </c>
      <c r="T54" s="11">
        <f t="shared" si="4"/>
        <v>9.3501240938719775E-3</v>
      </c>
      <c r="U54" s="11">
        <f t="shared" si="3"/>
        <v>9.1609707593208172E-3</v>
      </c>
    </row>
    <row r="55" spans="1:21" x14ac:dyDescent="0.2">
      <c r="A55" s="1">
        <v>44365</v>
      </c>
      <c r="B55" s="3">
        <v>94.269997000000004</v>
      </c>
      <c r="C55" s="3">
        <v>17.379999000000002</v>
      </c>
      <c r="D55" s="3">
        <v>25.67</v>
      </c>
      <c r="E55" s="3">
        <v>62.810001</v>
      </c>
      <c r="F55" s="3">
        <v>21.75</v>
      </c>
      <c r="G55" s="3">
        <v>25.76</v>
      </c>
      <c r="H55" s="3">
        <v>28.32</v>
      </c>
      <c r="I55" s="3">
        <v>36</v>
      </c>
      <c r="J55" s="3">
        <v>109.089996</v>
      </c>
      <c r="L55" s="11">
        <f t="shared" si="5"/>
        <v>1.7704847815119766E-2</v>
      </c>
      <c r="M55" s="11">
        <f t="shared" si="5"/>
        <v>1.223057658707046E-2</v>
      </c>
      <c r="N55" s="11">
        <f t="shared" si="5"/>
        <v>1.66336633663367E-2</v>
      </c>
      <c r="O55" s="11">
        <f t="shared" si="5"/>
        <v>3.6752795245995583E-3</v>
      </c>
      <c r="P55" s="11">
        <f t="shared" si="5"/>
        <v>-1.7615131780267902E-2</v>
      </c>
      <c r="Q55" s="11">
        <f t="shared" si="5"/>
        <v>3.1152647975078601E-3</v>
      </c>
      <c r="R55" s="11">
        <f t="shared" si="4"/>
        <v>6.7543905707212696E-3</v>
      </c>
      <c r="S55" s="11">
        <f t="shared" si="4"/>
        <v>-5.2500415929826426E-3</v>
      </c>
      <c r="T55" s="11">
        <f t="shared" si="4"/>
        <v>3.0122700092111411E-2</v>
      </c>
      <c r="U55" s="11">
        <f t="shared" si="3"/>
        <v>7.4857277089129442E-3</v>
      </c>
    </row>
    <row r="56" spans="1:21" x14ac:dyDescent="0.2">
      <c r="A56" s="1">
        <v>44364</v>
      </c>
      <c r="B56" s="3">
        <v>92.629997000000003</v>
      </c>
      <c r="C56" s="3">
        <v>17.170000000000002</v>
      </c>
      <c r="D56" s="3">
        <v>25.25</v>
      </c>
      <c r="E56" s="3">
        <v>62.580002</v>
      </c>
      <c r="F56" s="3">
        <v>22.139999</v>
      </c>
      <c r="G56" s="3">
        <v>25.68</v>
      </c>
      <c r="H56" s="3">
        <v>28.129999000000002</v>
      </c>
      <c r="I56" s="3">
        <v>36.189999</v>
      </c>
      <c r="J56" s="3">
        <v>105.900002</v>
      </c>
      <c r="L56" s="11">
        <f t="shared" si="5"/>
        <v>1.3679142493296426E-2</v>
      </c>
      <c r="M56" s="11">
        <f t="shared" si="5"/>
        <v>1.5375517445298732E-2</v>
      </c>
      <c r="N56" s="11">
        <f t="shared" si="5"/>
        <v>-5.5139427142159216E-3</v>
      </c>
      <c r="O56" s="11">
        <f t="shared" si="5"/>
        <v>-2.4017481720953703E-2</v>
      </c>
      <c r="P56" s="11">
        <f t="shared" si="5"/>
        <v>-6.2837519621295832E-3</v>
      </c>
      <c r="Q56" s="11">
        <f t="shared" si="5"/>
        <v>-1.0023168464796861E-2</v>
      </c>
      <c r="R56" s="11">
        <f t="shared" si="4"/>
        <v>-3.4660261999322581E-2</v>
      </c>
      <c r="S56" s="11">
        <f t="shared" si="4"/>
        <v>-7.6775978152565216E-3</v>
      </c>
      <c r="T56" s="11">
        <f t="shared" si="4"/>
        <v>-2.0804437895433417E-2</v>
      </c>
      <c r="U56" s="11">
        <f t="shared" si="3"/>
        <v>-8.880664737057049E-3</v>
      </c>
    </row>
    <row r="57" spans="1:21" x14ac:dyDescent="0.2">
      <c r="A57" s="1">
        <v>44363</v>
      </c>
      <c r="B57" s="3">
        <v>91.379997000000003</v>
      </c>
      <c r="C57" s="3">
        <v>16.91</v>
      </c>
      <c r="D57" s="3">
        <v>25.389999</v>
      </c>
      <c r="E57" s="3">
        <v>64.120002999999997</v>
      </c>
      <c r="F57" s="3">
        <v>22.280000999999999</v>
      </c>
      <c r="G57" s="3">
        <v>25.940000999999999</v>
      </c>
      <c r="H57" s="3">
        <v>29.139999</v>
      </c>
      <c r="I57" s="3">
        <v>36.470001000000003</v>
      </c>
      <c r="J57" s="3">
        <v>108.150002</v>
      </c>
      <c r="L57" s="11">
        <f t="shared" si="5"/>
        <v>3.2839628524133804E-4</v>
      </c>
      <c r="M57" s="11">
        <f t="shared" si="5"/>
        <v>1.4397120575884728E-2</v>
      </c>
      <c r="N57" s="11">
        <f t="shared" si="5"/>
        <v>-8.2031640625000735E-3</v>
      </c>
      <c r="O57" s="11">
        <f t="shared" si="5"/>
        <v>-4.3478104239810999E-3</v>
      </c>
      <c r="P57" s="11">
        <f t="shared" si="5"/>
        <v>-2.0228627968337725E-2</v>
      </c>
      <c r="Q57" s="11">
        <f t="shared" si="5"/>
        <v>-1.2185795887281142E-2</v>
      </c>
      <c r="R57" s="11">
        <f t="shared" si="4"/>
        <v>3.7891145783977387E-3</v>
      </c>
      <c r="S57" s="11">
        <f t="shared" si="4"/>
        <v>3.2267164887225398E-2</v>
      </c>
      <c r="T57" s="11">
        <f t="shared" si="4"/>
        <v>-3.0044825112107619E-2</v>
      </c>
      <c r="U57" s="11">
        <f t="shared" si="3"/>
        <v>-2.6920474586064947E-3</v>
      </c>
    </row>
    <row r="58" spans="1:21" x14ac:dyDescent="0.2">
      <c r="A58" s="1">
        <v>44362</v>
      </c>
      <c r="B58" s="3">
        <v>91.349997999999999</v>
      </c>
      <c r="C58" s="3">
        <v>16.670000000000002</v>
      </c>
      <c r="D58" s="3">
        <v>25.6</v>
      </c>
      <c r="E58" s="3">
        <v>64.400002000000001</v>
      </c>
      <c r="F58" s="3">
        <v>22.74</v>
      </c>
      <c r="G58" s="3">
        <v>26.26</v>
      </c>
      <c r="H58" s="3">
        <v>29.030000999999999</v>
      </c>
      <c r="I58" s="3">
        <v>35.330002</v>
      </c>
      <c r="J58" s="3">
        <v>111.5</v>
      </c>
      <c r="L58" s="11">
        <f t="shared" si="5"/>
        <v>-9.1116605030554989E-3</v>
      </c>
      <c r="M58" s="11">
        <f t="shared" si="5"/>
        <v>2.1446078431372636E-2</v>
      </c>
      <c r="N58" s="11">
        <f t="shared" si="5"/>
        <v>-1.9493177387913123E-3</v>
      </c>
      <c r="O58" s="11">
        <f t="shared" si="5"/>
        <v>-2.4782528648776055E-3</v>
      </c>
      <c r="P58" s="11">
        <f t="shared" si="5"/>
        <v>3.0877812086456428E-3</v>
      </c>
      <c r="Q58" s="11">
        <f t="shared" si="5"/>
        <v>-1.3894067363652547E-2</v>
      </c>
      <c r="R58" s="11">
        <f t="shared" si="4"/>
        <v>9.7391652173912553E-3</v>
      </c>
      <c r="S58" s="11">
        <f t="shared" si="4"/>
        <v>4.8367980760594044E-2</v>
      </c>
      <c r="T58" s="11">
        <f t="shared" si="4"/>
        <v>-1.9521640700653851E-2</v>
      </c>
      <c r="U58" s="11">
        <f t="shared" si="3"/>
        <v>3.9651184941080853E-3</v>
      </c>
    </row>
    <row r="59" spans="1:21" x14ac:dyDescent="0.2">
      <c r="A59" s="1">
        <v>44361</v>
      </c>
      <c r="B59" s="3">
        <v>92.190002000000007</v>
      </c>
      <c r="C59" s="3">
        <v>16.32</v>
      </c>
      <c r="D59" s="3">
        <v>25.65</v>
      </c>
      <c r="E59" s="3">
        <v>64.559997999999993</v>
      </c>
      <c r="F59" s="3">
        <v>22.67</v>
      </c>
      <c r="G59" s="3">
        <v>26.629999000000002</v>
      </c>
      <c r="H59" s="3">
        <v>28.75</v>
      </c>
      <c r="I59" s="3">
        <v>33.700001</v>
      </c>
      <c r="J59" s="3">
        <v>113.720001</v>
      </c>
      <c r="L59" s="11">
        <f t="shared" si="5"/>
        <v>4.5238153466150469E-2</v>
      </c>
      <c r="M59" s="11">
        <f t="shared" si="5"/>
        <v>1.1779355968961853E-2</v>
      </c>
      <c r="N59" s="11">
        <f t="shared" si="5"/>
        <v>-1.3461538461538516E-2</v>
      </c>
      <c r="O59" s="11">
        <f t="shared" si="5"/>
        <v>8.119878074330282E-3</v>
      </c>
      <c r="P59" s="11">
        <f t="shared" si="5"/>
        <v>1.3863997591055619E-2</v>
      </c>
      <c r="Q59" s="11">
        <f t="shared" si="5"/>
        <v>3.4174718446601998E-2</v>
      </c>
      <c r="R59" s="11">
        <f t="shared" si="4"/>
        <v>6.3003150157507773E-3</v>
      </c>
      <c r="S59" s="11">
        <f t="shared" si="4"/>
        <v>-5.0191321233874157E-3</v>
      </c>
      <c r="T59" s="11">
        <f t="shared" si="4"/>
        <v>-5.4223808088991274E-3</v>
      </c>
      <c r="U59" s="11">
        <f t="shared" si="3"/>
        <v>1.0619263018780658E-2</v>
      </c>
    </row>
    <row r="60" spans="1:21" x14ac:dyDescent="0.2">
      <c r="A60" s="1">
        <v>44358</v>
      </c>
      <c r="B60" s="3">
        <v>88.199996999999996</v>
      </c>
      <c r="C60" s="3">
        <v>16.129999000000002</v>
      </c>
      <c r="D60" s="3">
        <v>26</v>
      </c>
      <c r="E60" s="3">
        <v>64.040001000000004</v>
      </c>
      <c r="F60" s="3">
        <v>22.360001</v>
      </c>
      <c r="G60" s="3">
        <v>25.75</v>
      </c>
      <c r="H60" s="3">
        <v>28.57</v>
      </c>
      <c r="I60" s="3">
        <v>33.869999</v>
      </c>
      <c r="J60" s="3">
        <v>114.339996</v>
      </c>
      <c r="L60" s="11">
        <f t="shared" si="5"/>
        <v>1.0214050502621069E-3</v>
      </c>
      <c r="M60" s="11">
        <f t="shared" si="5"/>
        <v>8.1249375000000956E-3</v>
      </c>
      <c r="N60" s="11">
        <f t="shared" si="5"/>
        <v>7.7519770446502854E-3</v>
      </c>
      <c r="O60" s="11">
        <f t="shared" si="5"/>
        <v>-2.0795121688222531E-2</v>
      </c>
      <c r="P60" s="11">
        <f t="shared" si="5"/>
        <v>-7.5454945607857787E-3</v>
      </c>
      <c r="Q60" s="11">
        <f t="shared" si="5"/>
        <v>-3.0496951449433457E-2</v>
      </c>
      <c r="R60" s="11">
        <f t="shared" si="4"/>
        <v>-3.8354253835425184E-3</v>
      </c>
      <c r="S60" s="11">
        <f t="shared" si="4"/>
        <v>-1.6836051760927388E-2</v>
      </c>
      <c r="T60" s="11">
        <f t="shared" si="4"/>
        <v>2.2444728204511759E-2</v>
      </c>
      <c r="U60" s="11">
        <f t="shared" si="3"/>
        <v>-4.4628885603874915E-3</v>
      </c>
    </row>
    <row r="61" spans="1:21" x14ac:dyDescent="0.2">
      <c r="A61" s="1">
        <v>44357</v>
      </c>
      <c r="B61" s="3">
        <v>88.110000999999997</v>
      </c>
      <c r="C61" s="3">
        <v>16</v>
      </c>
      <c r="D61" s="3">
        <v>25.799999</v>
      </c>
      <c r="E61" s="3">
        <v>65.400002000000001</v>
      </c>
      <c r="F61" s="3">
        <v>22.530000999999999</v>
      </c>
      <c r="G61" s="3">
        <v>26.559999000000001</v>
      </c>
      <c r="H61" s="3">
        <v>28.68</v>
      </c>
      <c r="I61" s="3">
        <v>34.450001</v>
      </c>
      <c r="J61" s="3">
        <v>111.83000199999999</v>
      </c>
      <c r="L61" s="11">
        <f t="shared" si="5"/>
        <v>-2.8293345084955354E-3</v>
      </c>
      <c r="M61" s="11">
        <f t="shared" si="5"/>
        <v>-2.4390243902438939E-2</v>
      </c>
      <c r="N61" s="11">
        <f t="shared" si="5"/>
        <v>4.6728582554517121E-3</v>
      </c>
      <c r="O61" s="11">
        <f t="shared" si="5"/>
        <v>-2.136084801097319E-3</v>
      </c>
      <c r="P61" s="11">
        <f t="shared" si="5"/>
        <v>1.0313991493900916E-2</v>
      </c>
      <c r="Q61" s="11">
        <f t="shared" si="5"/>
        <v>5.2989780469341234E-3</v>
      </c>
      <c r="R61" s="11">
        <f t="shared" si="4"/>
        <v>6.9783670621073178E-4</v>
      </c>
      <c r="S61" s="11">
        <f t="shared" si="4"/>
        <v>1.6224158334857904E-2</v>
      </c>
      <c r="T61" s="11">
        <f t="shared" si="4"/>
        <v>-3.2976382343397298E-3</v>
      </c>
      <c r="U61" s="11">
        <f t="shared" si="3"/>
        <v>5.0605793233154028E-4</v>
      </c>
    </row>
    <row r="62" spans="1:21" x14ac:dyDescent="0.2">
      <c r="A62" s="1">
        <v>44356</v>
      </c>
      <c r="B62" s="3">
        <v>88.360000999999997</v>
      </c>
      <c r="C62" s="3">
        <v>16.399999999999999</v>
      </c>
      <c r="D62" s="3">
        <v>25.68</v>
      </c>
      <c r="E62" s="3">
        <v>65.540001000000004</v>
      </c>
      <c r="F62" s="3">
        <v>22.299999</v>
      </c>
      <c r="G62" s="3">
        <v>26.42</v>
      </c>
      <c r="H62" s="3">
        <v>28.66</v>
      </c>
      <c r="I62" s="3">
        <v>33.900002000000001</v>
      </c>
      <c r="J62" s="3">
        <v>112.199997</v>
      </c>
      <c r="L62" s="11">
        <f t="shared" si="5"/>
        <v>8.6758335314116967E-3</v>
      </c>
      <c r="M62" s="11">
        <f t="shared" si="5"/>
        <v>4.2865890998163066E-3</v>
      </c>
      <c r="N62" s="11">
        <f t="shared" si="5"/>
        <v>1.6627078384798027E-2</v>
      </c>
      <c r="O62" s="11">
        <f t="shared" si="5"/>
        <v>-1.768585105386903E-2</v>
      </c>
      <c r="P62" s="11">
        <f t="shared" si="5"/>
        <v>5.4102344454463464E-3</v>
      </c>
      <c r="Q62" s="11">
        <f t="shared" si="5"/>
        <v>-2.796173657100802E-2</v>
      </c>
      <c r="R62" s="11">
        <f t="shared" si="4"/>
        <v>0</v>
      </c>
      <c r="S62" s="11">
        <f t="shared" si="4"/>
        <v>9.5294812668563957E-3</v>
      </c>
      <c r="T62" s="11">
        <f t="shared" si="4"/>
        <v>2.0742349358485151E-2</v>
      </c>
      <c r="U62" s="11">
        <f t="shared" si="3"/>
        <v>2.1804420513263198E-3</v>
      </c>
    </row>
    <row r="63" spans="1:21" x14ac:dyDescent="0.2">
      <c r="A63" s="1">
        <v>44355</v>
      </c>
      <c r="B63" s="3">
        <v>87.599997999999999</v>
      </c>
      <c r="C63" s="3">
        <v>16.329999999999998</v>
      </c>
      <c r="D63" s="3">
        <v>25.26</v>
      </c>
      <c r="E63" s="3">
        <v>66.720000999999996</v>
      </c>
      <c r="F63" s="3">
        <v>22.18</v>
      </c>
      <c r="G63" s="3">
        <v>27.18</v>
      </c>
      <c r="H63" s="3">
        <v>28.66</v>
      </c>
      <c r="I63" s="3">
        <v>33.580002</v>
      </c>
      <c r="J63" s="3">
        <v>109.91999800000001</v>
      </c>
      <c r="L63" s="11">
        <f t="shared" si="5"/>
        <v>2.4441538429621358E-2</v>
      </c>
      <c r="M63" s="11">
        <f t="shared" si="5"/>
        <v>-5.5523478570070749E-2</v>
      </c>
      <c r="N63" s="11">
        <f t="shared" si="5"/>
        <v>-2.8087726048480068E-2</v>
      </c>
      <c r="O63" s="11">
        <f t="shared" si="5"/>
        <v>-4.179089552238861E-3</v>
      </c>
      <c r="P63" s="11">
        <f t="shared" si="5"/>
        <v>1.6964741722363143E-2</v>
      </c>
      <c r="Q63" s="11">
        <f t="shared" si="5"/>
        <v>-2.0187454938716608E-2</v>
      </c>
      <c r="R63" s="11">
        <f t="shared" si="4"/>
        <v>1.3078790629947308E-2</v>
      </c>
      <c r="S63" s="11">
        <f t="shared" si="4"/>
        <v>-7.0963335304553496E-3</v>
      </c>
      <c r="T63" s="11">
        <f t="shared" si="4"/>
        <v>-1.6815786668628239E-2</v>
      </c>
      <c r="U63" s="11">
        <f t="shared" si="3"/>
        <v>-8.6005331696286727E-3</v>
      </c>
    </row>
    <row r="64" spans="1:21" x14ac:dyDescent="0.2">
      <c r="A64" s="1">
        <v>44354</v>
      </c>
      <c r="B64" s="3">
        <v>85.510002</v>
      </c>
      <c r="C64" s="3">
        <v>17.290001</v>
      </c>
      <c r="D64" s="3">
        <v>25.99</v>
      </c>
      <c r="E64" s="3">
        <v>67</v>
      </c>
      <c r="F64" s="3">
        <v>21.809999000000001</v>
      </c>
      <c r="G64" s="3">
        <v>27.74</v>
      </c>
      <c r="H64" s="3">
        <v>28.290001</v>
      </c>
      <c r="I64" s="3">
        <v>33.82</v>
      </c>
      <c r="J64" s="3">
        <v>111.800003</v>
      </c>
      <c r="L64" s="11">
        <f t="shared" si="5"/>
        <v>-3.3799649167844869E-3</v>
      </c>
      <c r="M64" s="11">
        <f t="shared" si="5"/>
        <v>2.9002900232019571E-3</v>
      </c>
      <c r="N64" s="11">
        <f t="shared" si="5"/>
        <v>2.6461295418641315E-2</v>
      </c>
      <c r="O64" s="11">
        <f t="shared" si="5"/>
        <v>5.2512826631272921E-3</v>
      </c>
      <c r="P64" s="11">
        <f t="shared" si="5"/>
        <v>3.12056264775415E-2</v>
      </c>
      <c r="Q64" s="11">
        <f t="shared" si="5"/>
        <v>8.3605961468555742E-3</v>
      </c>
      <c r="R64" s="11">
        <f t="shared" si="4"/>
        <v>-7.3683859649122749E-3</v>
      </c>
      <c r="S64" s="11">
        <f t="shared" si="4"/>
        <v>2.6682478505782219E-3</v>
      </c>
      <c r="T64" s="11">
        <f t="shared" si="4"/>
        <v>-9.7431264881642499E-3</v>
      </c>
      <c r="U64" s="11">
        <f t="shared" si="3"/>
        <v>6.2617623566760938E-3</v>
      </c>
    </row>
    <row r="65" spans="1:21" x14ac:dyDescent="0.2">
      <c r="A65" s="1">
        <v>44351</v>
      </c>
      <c r="B65" s="3">
        <v>85.800003000000004</v>
      </c>
      <c r="C65" s="3">
        <v>17.239999999999998</v>
      </c>
      <c r="D65" s="3">
        <v>25.32</v>
      </c>
      <c r="E65" s="3">
        <v>66.650002000000001</v>
      </c>
      <c r="F65" s="3">
        <v>21.15</v>
      </c>
      <c r="G65" s="3">
        <v>27.51</v>
      </c>
      <c r="H65" s="3">
        <v>28.5</v>
      </c>
      <c r="I65" s="3">
        <v>33.729999999999997</v>
      </c>
      <c r="J65" s="3">
        <v>112.900002</v>
      </c>
      <c r="L65" s="11">
        <f t="shared" si="5"/>
        <v>-1.7744648374233455E-2</v>
      </c>
      <c r="M65" s="11">
        <f t="shared" si="5"/>
        <v>1.3521457965902225E-2</v>
      </c>
      <c r="N65" s="11">
        <f t="shared" si="5"/>
        <v>-3.9478878799834233E-4</v>
      </c>
      <c r="O65" s="11">
        <f t="shared" si="5"/>
        <v>2.9661654735285651E-2</v>
      </c>
      <c r="P65" s="11">
        <f t="shared" si="5"/>
        <v>-7.9737335834897602E-3</v>
      </c>
      <c r="Q65" s="11">
        <f t="shared" si="5"/>
        <v>4.8000000000000057E-2</v>
      </c>
      <c r="R65" s="11">
        <f t="shared" si="4"/>
        <v>2.260491486885851E-2</v>
      </c>
      <c r="S65" s="11">
        <f t="shared" si="4"/>
        <v>5.9332544032390788E-4</v>
      </c>
      <c r="T65" s="11">
        <f t="shared" si="4"/>
        <v>-1.655053092637988E-2</v>
      </c>
      <c r="U65" s="11">
        <f t="shared" si="3"/>
        <v>7.9686279264743233E-3</v>
      </c>
    </row>
    <row r="66" spans="1:21" x14ac:dyDescent="0.2">
      <c r="A66" s="1">
        <v>44349</v>
      </c>
      <c r="B66" s="3">
        <v>87.349997999999999</v>
      </c>
      <c r="C66" s="3">
        <v>17.010000000000002</v>
      </c>
      <c r="D66" s="3">
        <v>25.33</v>
      </c>
      <c r="E66" s="3">
        <v>64.730002999999996</v>
      </c>
      <c r="F66" s="3">
        <v>21.32</v>
      </c>
      <c r="G66" s="3">
        <v>26.25</v>
      </c>
      <c r="H66" s="3">
        <v>27.870000999999998</v>
      </c>
      <c r="I66" s="3">
        <v>33.709999000000003</v>
      </c>
      <c r="J66" s="3">
        <v>114.800003</v>
      </c>
      <c r="L66" s="11">
        <f t="shared" si="5"/>
        <v>-1.0758833156551585E-2</v>
      </c>
      <c r="M66" s="11">
        <f t="shared" si="5"/>
        <v>-3.8983105142197376E-2</v>
      </c>
      <c r="N66" s="11">
        <f t="shared" si="5"/>
        <v>-1.7836408769429744E-2</v>
      </c>
      <c r="O66" s="11">
        <f t="shared" si="5"/>
        <v>8.8840237603475796E-3</v>
      </c>
      <c r="P66" s="11">
        <f t="shared" si="5"/>
        <v>-3.7383177570092662E-3</v>
      </c>
      <c r="Q66" s="11">
        <f t="shared" si="5"/>
        <v>1.1171071308592892E-2</v>
      </c>
      <c r="R66" s="11">
        <f t="shared" si="4"/>
        <v>2.125320552388394E-2</v>
      </c>
      <c r="S66" s="11">
        <f t="shared" si="4"/>
        <v>-3.5755149764163316E-2</v>
      </c>
      <c r="T66" s="11">
        <f t="shared" si="4"/>
        <v>1.4134328996492886E-2</v>
      </c>
      <c r="U66" s="11">
        <f t="shared" si="3"/>
        <v>-5.7365761111148883E-3</v>
      </c>
    </row>
    <row r="67" spans="1:21" x14ac:dyDescent="0.2">
      <c r="A67" s="1">
        <v>44348</v>
      </c>
      <c r="B67" s="3">
        <v>88.300003000000004</v>
      </c>
      <c r="C67" s="3">
        <v>17.700001</v>
      </c>
      <c r="D67" s="3">
        <v>25.790001</v>
      </c>
      <c r="E67" s="3">
        <v>64.160004000000001</v>
      </c>
      <c r="F67" s="3">
        <v>21.4</v>
      </c>
      <c r="G67" s="3">
        <v>25.959999</v>
      </c>
      <c r="H67" s="3">
        <v>27.290001</v>
      </c>
      <c r="I67" s="3">
        <v>34.959999000000003</v>
      </c>
      <c r="J67" s="3">
        <v>113.199997</v>
      </c>
      <c r="L67" s="11">
        <f t="shared" si="5"/>
        <v>-3.7232766689589219E-3</v>
      </c>
      <c r="M67" s="11">
        <f t="shared" si="5"/>
        <v>9.1220063214363638E-3</v>
      </c>
      <c r="N67" s="11">
        <f t="shared" si="5"/>
        <v>-2.1252333965844448E-2</v>
      </c>
      <c r="O67" s="11">
        <f t="shared" si="5"/>
        <v>2.4102185982372355E-2</v>
      </c>
      <c r="P67" s="11">
        <f t="shared" si="5"/>
        <v>7.5917600599175447E-2</v>
      </c>
      <c r="Q67" s="11">
        <f t="shared" si="5"/>
        <v>1.1691309431021032E-2</v>
      </c>
      <c r="R67" s="11">
        <f t="shared" si="4"/>
        <v>1.5630814453635553E-2</v>
      </c>
      <c r="S67" s="11">
        <f t="shared" si="4"/>
        <v>7.4927375362324354E-3</v>
      </c>
      <c r="T67" s="11">
        <f t="shared" si="4"/>
        <v>-1.3765481911182169E-2</v>
      </c>
      <c r="U67" s="11">
        <f t="shared" si="3"/>
        <v>1.1690617975320849E-2</v>
      </c>
    </row>
    <row r="68" spans="1:21" x14ac:dyDescent="0.2">
      <c r="A68" s="1">
        <v>44347</v>
      </c>
      <c r="B68" s="3">
        <v>88.629997000000003</v>
      </c>
      <c r="C68" s="3">
        <v>17.540001</v>
      </c>
      <c r="D68" s="3">
        <v>26.35</v>
      </c>
      <c r="E68" s="3">
        <v>62.650002000000001</v>
      </c>
      <c r="F68" s="3">
        <v>19.889999</v>
      </c>
      <c r="G68" s="3">
        <v>25.66</v>
      </c>
      <c r="H68" s="3">
        <v>26.870000999999998</v>
      </c>
      <c r="I68" s="3">
        <v>34.700001</v>
      </c>
      <c r="J68" s="3">
        <v>114.779999</v>
      </c>
      <c r="L68" s="11">
        <f t="shared" si="5"/>
        <v>-4.4928900875310651E-3</v>
      </c>
      <c r="M68" s="11">
        <f t="shared" si="5"/>
        <v>3.4325514874141731E-3</v>
      </c>
      <c r="N68" s="11">
        <f t="shared" si="5"/>
        <v>6.109163569715124E-3</v>
      </c>
      <c r="O68" s="11">
        <f t="shared" si="5"/>
        <v>1.1462754463396107E-2</v>
      </c>
      <c r="P68" s="11">
        <f t="shared" si="5"/>
        <v>-7.9800502733192221E-3</v>
      </c>
      <c r="Q68" s="11">
        <f t="shared" si="5"/>
        <v>2.7354435326299447E-3</v>
      </c>
      <c r="R68" s="11">
        <f t="shared" si="4"/>
        <v>-4.4460540941089286E-3</v>
      </c>
      <c r="S68" s="11">
        <f t="shared" si="4"/>
        <v>5.7673010380624573E-4</v>
      </c>
      <c r="T68" s="11">
        <f t="shared" si="4"/>
        <v>2.8586818839925438E-2</v>
      </c>
      <c r="U68" s="11">
        <f t="shared" si="3"/>
        <v>3.9982741713253129E-3</v>
      </c>
    </row>
    <row r="69" spans="1:21" x14ac:dyDescent="0.2">
      <c r="A69" s="1">
        <v>44344</v>
      </c>
      <c r="B69" s="3">
        <v>89.029999000000004</v>
      </c>
      <c r="C69" s="3">
        <v>17.48</v>
      </c>
      <c r="D69" s="3">
        <v>26.190000999999999</v>
      </c>
      <c r="E69" s="3">
        <v>61.939999</v>
      </c>
      <c r="F69" s="3">
        <v>20.049999</v>
      </c>
      <c r="G69" s="3">
        <v>25.59</v>
      </c>
      <c r="H69" s="3">
        <v>26.99</v>
      </c>
      <c r="I69" s="3">
        <v>34.68</v>
      </c>
      <c r="J69" s="3">
        <v>111.589996</v>
      </c>
      <c r="L69" s="11">
        <f t="shared" si="5"/>
        <v>1.7369408813406307E-2</v>
      </c>
      <c r="M69" s="11">
        <f t="shared" si="5"/>
        <v>2.9446407538280327E-2</v>
      </c>
      <c r="N69" s="11">
        <f t="shared" si="5"/>
        <v>-2.203136586888103E-2</v>
      </c>
      <c r="O69" s="11">
        <f t="shared" si="5"/>
        <v>3.2393422986932091E-3</v>
      </c>
      <c r="P69" s="11">
        <f t="shared" si="5"/>
        <v>3.4571725210099241E-2</v>
      </c>
      <c r="Q69" s="11">
        <f t="shared" si="5"/>
        <v>8.2742714056055836E-3</v>
      </c>
      <c r="R69" s="11">
        <f t="shared" si="4"/>
        <v>4.1682747973755242E-2</v>
      </c>
      <c r="S69" s="11">
        <f t="shared" si="4"/>
        <v>2.3008789203021258E-2</v>
      </c>
      <c r="T69" s="11">
        <f t="shared" si="4"/>
        <v>5.4058745005112928E-3</v>
      </c>
      <c r="U69" s="11">
        <f t="shared" si="3"/>
        <v>1.5663022341610162E-2</v>
      </c>
    </row>
    <row r="70" spans="1:21" x14ac:dyDescent="0.2">
      <c r="A70" s="1">
        <v>44343</v>
      </c>
      <c r="B70" s="3">
        <v>87.510002</v>
      </c>
      <c r="C70" s="3">
        <v>16.98</v>
      </c>
      <c r="D70" s="3">
        <v>26.780000999999999</v>
      </c>
      <c r="E70" s="3">
        <v>61.740001999999997</v>
      </c>
      <c r="F70" s="3">
        <v>19.379999000000002</v>
      </c>
      <c r="G70" s="3">
        <v>25.379999000000002</v>
      </c>
      <c r="H70" s="3">
        <v>25.91</v>
      </c>
      <c r="I70" s="3">
        <v>33.900002000000001</v>
      </c>
      <c r="J70" s="3">
        <v>110.989998</v>
      </c>
      <c r="L70" s="11">
        <f t="shared" si="5"/>
        <v>1.6376353458219601E-2</v>
      </c>
      <c r="M70" s="11">
        <f t="shared" si="5"/>
        <v>-7.0175438596491802E-3</v>
      </c>
      <c r="N70" s="11">
        <f t="shared" si="5"/>
        <v>3.1587135269150003E-2</v>
      </c>
      <c r="O70" s="11">
        <f t="shared" si="5"/>
        <v>-2.6182964473723577E-2</v>
      </c>
      <c r="P70" s="11">
        <f t="shared" si="5"/>
        <v>4.1450779349782273E-3</v>
      </c>
      <c r="Q70" s="11">
        <f t="shared" si="5"/>
        <v>6.3441715441781002E-3</v>
      </c>
      <c r="R70" s="11">
        <f t="shared" si="4"/>
        <v>-6.8991950939057004E-3</v>
      </c>
      <c r="S70" s="11">
        <f t="shared" si="4"/>
        <v>3.3536677851728015E-2</v>
      </c>
      <c r="T70" s="11">
        <f t="shared" si="4"/>
        <v>7.1687932986060224E-3</v>
      </c>
      <c r="U70" s="11">
        <f t="shared" si="3"/>
        <v>6.5620562143979448E-3</v>
      </c>
    </row>
    <row r="71" spans="1:21" x14ac:dyDescent="0.2">
      <c r="A71" s="1">
        <v>44342</v>
      </c>
      <c r="B71" s="3">
        <v>86.099997999999999</v>
      </c>
      <c r="C71" s="3">
        <v>17.100000000000001</v>
      </c>
      <c r="D71" s="3">
        <v>25.959999</v>
      </c>
      <c r="E71" s="3">
        <v>63.400002000000001</v>
      </c>
      <c r="F71" s="3">
        <v>19.299999</v>
      </c>
      <c r="G71" s="3">
        <v>25.219999000000001</v>
      </c>
      <c r="H71" s="3">
        <v>26.09</v>
      </c>
      <c r="I71" s="3">
        <v>32.799999</v>
      </c>
      <c r="J71" s="3">
        <v>110.199997</v>
      </c>
      <c r="L71" s="11">
        <f t="shared" si="5"/>
        <v>3.2626194360289699E-3</v>
      </c>
      <c r="M71" s="11">
        <f t="shared" si="5"/>
        <v>5.8823529411765538E-3</v>
      </c>
      <c r="N71" s="11">
        <f t="shared" si="5"/>
        <v>-7.698614318706929E-4</v>
      </c>
      <c r="O71" s="11">
        <f t="shared" si="5"/>
        <v>3.164572734737778E-3</v>
      </c>
      <c r="P71" s="11">
        <f t="shared" si="5"/>
        <v>-2.0304669020067594E-2</v>
      </c>
      <c r="Q71" s="11">
        <f t="shared" si="5"/>
        <v>9.6076461168935531E-3</v>
      </c>
      <c r="R71" s="11">
        <f t="shared" si="4"/>
        <v>9.6749226006191957E-3</v>
      </c>
      <c r="S71" s="11">
        <f t="shared" si="4"/>
        <v>2.2125241508257905E-2</v>
      </c>
      <c r="T71" s="11">
        <f t="shared" si="4"/>
        <v>2.9425445228618931E-2</v>
      </c>
      <c r="U71" s="11">
        <f t="shared" ref="U71:U134" si="6">AVERAGE(L71:T71)</f>
        <v>6.8964744571549559E-3</v>
      </c>
    </row>
    <row r="72" spans="1:21" x14ac:dyDescent="0.2">
      <c r="A72" s="1">
        <v>44341</v>
      </c>
      <c r="B72" s="3">
        <v>85.82</v>
      </c>
      <c r="C72" s="3">
        <v>17</v>
      </c>
      <c r="D72" s="3">
        <v>25.98</v>
      </c>
      <c r="E72" s="3">
        <v>63.200001</v>
      </c>
      <c r="F72" s="3">
        <v>19.700001</v>
      </c>
      <c r="G72" s="3">
        <v>24.98</v>
      </c>
      <c r="H72" s="3">
        <v>25.84</v>
      </c>
      <c r="I72" s="3">
        <v>32.090000000000003</v>
      </c>
      <c r="J72" s="3">
        <v>107.050003</v>
      </c>
      <c r="L72" s="11">
        <f t="shared" si="5"/>
        <v>6.9960352846065829E-4</v>
      </c>
      <c r="M72" s="11">
        <f t="shared" si="5"/>
        <v>-2.5788021444812542E-2</v>
      </c>
      <c r="N72" s="11">
        <f t="shared" si="5"/>
        <v>-3.4522439585730671E-3</v>
      </c>
      <c r="O72" s="11">
        <f t="shared" si="5"/>
        <v>-1.6342396887159528E-2</v>
      </c>
      <c r="P72" s="11">
        <f t="shared" si="5"/>
        <v>1.129368583162217E-2</v>
      </c>
      <c r="Q72" s="11">
        <f t="shared" si="5"/>
        <v>1.4622217115263398E-2</v>
      </c>
      <c r="R72" s="11">
        <f t="shared" si="4"/>
        <v>-2.084119063437629E-2</v>
      </c>
      <c r="S72" s="11">
        <f t="shared" si="4"/>
        <v>2.8125000000001066E-3</v>
      </c>
      <c r="T72" s="11">
        <f t="shared" si="4"/>
        <v>-2.486788144350411E-2</v>
      </c>
      <c r="U72" s="11">
        <f t="shared" si="6"/>
        <v>-6.8737475436754679E-3</v>
      </c>
    </row>
    <row r="73" spans="1:21" x14ac:dyDescent="0.2">
      <c r="A73" s="1">
        <v>44340</v>
      </c>
      <c r="B73" s="3">
        <v>85.760002</v>
      </c>
      <c r="C73" s="3">
        <v>17.450001</v>
      </c>
      <c r="D73" s="3">
        <v>26.07</v>
      </c>
      <c r="E73" s="3">
        <v>64.25</v>
      </c>
      <c r="F73" s="3">
        <v>19.48</v>
      </c>
      <c r="G73" s="3">
        <v>24.620000999999998</v>
      </c>
      <c r="H73" s="3">
        <v>26.389999</v>
      </c>
      <c r="I73" s="3">
        <v>32</v>
      </c>
      <c r="J73" s="3">
        <v>109.779999</v>
      </c>
      <c r="L73" s="11">
        <f t="shared" si="5"/>
        <v>1.0844012769637574E-2</v>
      </c>
      <c r="M73" s="11">
        <f t="shared" si="5"/>
        <v>5.7637463976944608E-3</v>
      </c>
      <c r="N73" s="11">
        <f t="shared" si="5"/>
        <v>2.692307692307703E-3</v>
      </c>
      <c r="O73" s="11">
        <f t="shared" si="5"/>
        <v>2.1787515556814321E-2</v>
      </c>
      <c r="P73" s="11">
        <f t="shared" si="5"/>
        <v>5.5254661714770441E-2</v>
      </c>
      <c r="Q73" s="11">
        <f t="shared" si="5"/>
        <v>4.0783442088090901E-3</v>
      </c>
      <c r="R73" s="11">
        <f t="shared" si="4"/>
        <v>1.6955606283020921E-2</v>
      </c>
      <c r="S73" s="11">
        <f t="shared" si="4"/>
        <v>1.1697787280992277E-2</v>
      </c>
      <c r="T73" s="11">
        <f t="shared" si="4"/>
        <v>3.4734642875052508E-3</v>
      </c>
      <c r="U73" s="11">
        <f t="shared" si="6"/>
        <v>1.4727494021283559E-2</v>
      </c>
    </row>
    <row r="74" spans="1:21" x14ac:dyDescent="0.2">
      <c r="A74" s="1">
        <v>44337</v>
      </c>
      <c r="B74" s="3">
        <v>84.839995999999999</v>
      </c>
      <c r="C74" s="3">
        <v>17.350000000000001</v>
      </c>
      <c r="D74" s="3">
        <v>26</v>
      </c>
      <c r="E74" s="3">
        <v>62.880001</v>
      </c>
      <c r="F74" s="3">
        <v>18.459999</v>
      </c>
      <c r="G74" s="3">
        <v>24.52</v>
      </c>
      <c r="H74" s="3">
        <v>25.950001</v>
      </c>
      <c r="I74" s="3">
        <v>31.629999000000002</v>
      </c>
      <c r="J74" s="3">
        <v>109.400002</v>
      </c>
      <c r="L74" s="11">
        <f t="shared" si="5"/>
        <v>1.5346122244671852E-3</v>
      </c>
      <c r="M74" s="11">
        <f t="shared" si="5"/>
        <v>5.7971014492754448E-3</v>
      </c>
      <c r="N74" s="11">
        <f t="shared" si="5"/>
        <v>-6.1162079510703416E-3</v>
      </c>
      <c r="O74" s="11">
        <f t="shared" si="5"/>
        <v>6.5631502070889443E-3</v>
      </c>
      <c r="P74" s="11">
        <f t="shared" si="5"/>
        <v>-1.9128639744952203E-2</v>
      </c>
      <c r="Q74" s="11">
        <f t="shared" si="5"/>
        <v>-2.3496653783486542E-2</v>
      </c>
      <c r="R74" s="11">
        <f t="shared" si="4"/>
        <v>7.7134593135366769E-4</v>
      </c>
      <c r="S74" s="11">
        <f t="shared" si="4"/>
        <v>-1.2179918800749581E-2</v>
      </c>
      <c r="T74" s="11">
        <f t="shared" si="4"/>
        <v>-1.5390144762936294E-2</v>
      </c>
      <c r="U74" s="11">
        <f t="shared" si="6"/>
        <v>-6.8494839145566352E-3</v>
      </c>
    </row>
    <row r="75" spans="1:21" x14ac:dyDescent="0.2">
      <c r="A75" s="1">
        <v>44336</v>
      </c>
      <c r="B75" s="3">
        <v>84.709998999999996</v>
      </c>
      <c r="C75" s="3">
        <v>17.25</v>
      </c>
      <c r="D75" s="3">
        <v>26.16</v>
      </c>
      <c r="E75" s="3">
        <v>62.470001000000003</v>
      </c>
      <c r="F75" s="3">
        <v>18.82</v>
      </c>
      <c r="G75" s="3">
        <v>25.110001</v>
      </c>
      <c r="H75" s="3">
        <v>25.93</v>
      </c>
      <c r="I75" s="3">
        <v>32.020000000000003</v>
      </c>
      <c r="J75" s="3">
        <v>111.110001</v>
      </c>
      <c r="L75" s="11">
        <f t="shared" si="5"/>
        <v>-1.0613678869799983E-3</v>
      </c>
      <c r="M75" s="11">
        <f t="shared" si="5"/>
        <v>1.7422184519289815E-3</v>
      </c>
      <c r="N75" s="11">
        <f t="shared" si="5"/>
        <v>-2.3880560592558213E-2</v>
      </c>
      <c r="O75" s="11">
        <f t="shared" si="5"/>
        <v>4.5348110620753369E-2</v>
      </c>
      <c r="P75" s="11">
        <f t="shared" si="5"/>
        <v>-1.2591763514783026E-2</v>
      </c>
      <c r="Q75" s="11">
        <f t="shared" si="5"/>
        <v>2.1978062678062685E-2</v>
      </c>
      <c r="R75" s="11">
        <f t="shared" si="4"/>
        <v>-8.4130019120458466E-3</v>
      </c>
      <c r="S75" s="11">
        <f t="shared" si="4"/>
        <v>6.9182706578073613E-3</v>
      </c>
      <c r="T75" s="11">
        <f t="shared" si="4"/>
        <v>-1.0155893095768401E-2</v>
      </c>
      <c r="U75" s="11">
        <f t="shared" si="6"/>
        <v>2.2093417118241015E-3</v>
      </c>
    </row>
    <row r="76" spans="1:21" x14ac:dyDescent="0.2">
      <c r="A76" s="1">
        <v>44335</v>
      </c>
      <c r="B76" s="3">
        <v>84.800003000000004</v>
      </c>
      <c r="C76" s="3">
        <v>17.219999000000001</v>
      </c>
      <c r="D76" s="3">
        <v>26.799999</v>
      </c>
      <c r="E76" s="3">
        <v>59.759998000000003</v>
      </c>
      <c r="F76" s="3">
        <v>19.059999000000001</v>
      </c>
      <c r="G76" s="3">
        <v>24.57</v>
      </c>
      <c r="H76" s="3">
        <v>26.15</v>
      </c>
      <c r="I76" s="3">
        <v>31.799999</v>
      </c>
      <c r="J76" s="3">
        <v>112.25</v>
      </c>
      <c r="L76" s="11">
        <f t="shared" si="5"/>
        <v>-2.3529058823528967E-3</v>
      </c>
      <c r="M76" s="11">
        <f t="shared" si="5"/>
        <v>-4.6242777239465906E-3</v>
      </c>
      <c r="N76" s="11">
        <f t="shared" si="5"/>
        <v>1.869121495327091E-3</v>
      </c>
      <c r="O76" s="11">
        <f t="shared" si="5"/>
        <v>-2.0327901639344212E-2</v>
      </c>
      <c r="P76" s="11">
        <f t="shared" si="5"/>
        <v>-2.3565624999999917E-2</v>
      </c>
      <c r="Q76" s="11">
        <f t="shared" si="5"/>
        <v>6.142506142506084E-3</v>
      </c>
      <c r="R76" s="11">
        <f t="shared" si="4"/>
        <v>-7.5901328273245859E-3</v>
      </c>
      <c r="S76" s="11">
        <f t="shared" si="4"/>
        <v>-5.9393873085338781E-3</v>
      </c>
      <c r="T76" s="11">
        <f t="shared" si="4"/>
        <v>-2.0506091108308741E-2</v>
      </c>
      <c r="U76" s="11">
        <f t="shared" si="6"/>
        <v>-8.5438548724419607E-3</v>
      </c>
    </row>
    <row r="77" spans="1:21" x14ac:dyDescent="0.2">
      <c r="A77" s="1">
        <v>44334</v>
      </c>
      <c r="B77" s="3">
        <v>85</v>
      </c>
      <c r="C77" s="3">
        <v>17.299999</v>
      </c>
      <c r="D77" s="3">
        <v>26.75</v>
      </c>
      <c r="E77" s="3">
        <v>61</v>
      </c>
      <c r="F77" s="3">
        <v>19.52</v>
      </c>
      <c r="G77" s="3">
        <v>24.42</v>
      </c>
      <c r="H77" s="3">
        <v>26.35</v>
      </c>
      <c r="I77" s="3">
        <v>31.99</v>
      </c>
      <c r="J77" s="3">
        <v>114.599998</v>
      </c>
      <c r="L77" s="11">
        <f t="shared" si="5"/>
        <v>-5.3826235125511331E-3</v>
      </c>
      <c r="M77" s="11">
        <f t="shared" si="5"/>
        <v>-1.5927246871444745E-2</v>
      </c>
      <c r="N77" s="11">
        <f t="shared" si="5"/>
        <v>-7.7892807043501685E-3</v>
      </c>
      <c r="O77" s="11">
        <f t="shared" si="5"/>
        <v>1.8024066022165094E-2</v>
      </c>
      <c r="P77" s="11">
        <f t="shared" si="5"/>
        <v>-1.0235925781170944E-3</v>
      </c>
      <c r="Q77" s="11">
        <f t="shared" si="5"/>
        <v>-7.3170731707316956E-3</v>
      </c>
      <c r="R77" s="11">
        <f t="shared" si="4"/>
        <v>-1.1627906976744137E-2</v>
      </c>
      <c r="S77" s="11">
        <f t="shared" si="4"/>
        <v>-2.5289457647775803E-2</v>
      </c>
      <c r="T77" s="11">
        <f t="shared" si="4"/>
        <v>1.0047585140556922E-2</v>
      </c>
      <c r="U77" s="11">
        <f t="shared" si="6"/>
        <v>-5.1428366998880837E-3</v>
      </c>
    </row>
    <row r="78" spans="1:21" x14ac:dyDescent="0.2">
      <c r="A78" s="1">
        <v>44333</v>
      </c>
      <c r="B78" s="3">
        <v>85.459998999999996</v>
      </c>
      <c r="C78" s="3">
        <v>17.579999999999998</v>
      </c>
      <c r="D78" s="3">
        <v>26.959999</v>
      </c>
      <c r="E78" s="3">
        <v>59.919998</v>
      </c>
      <c r="F78" s="3">
        <v>19.540001</v>
      </c>
      <c r="G78" s="3">
        <v>24.6</v>
      </c>
      <c r="H78" s="3">
        <v>26.66</v>
      </c>
      <c r="I78" s="3">
        <v>32.82</v>
      </c>
      <c r="J78" s="3">
        <v>113.459999</v>
      </c>
      <c r="L78" s="11">
        <f t="shared" si="5"/>
        <v>1.9322555788289838E-2</v>
      </c>
      <c r="M78" s="11">
        <f t="shared" si="5"/>
        <v>-1.5126050420168241E-2</v>
      </c>
      <c r="N78" s="11">
        <f t="shared" si="5"/>
        <v>2.2304460966543213E-3</v>
      </c>
      <c r="O78" s="11">
        <f t="shared" si="5"/>
        <v>1.9220904588860326E-2</v>
      </c>
      <c r="P78" s="11">
        <f t="shared" si="5"/>
        <v>5.1440326572000398E-3</v>
      </c>
      <c r="Q78" s="11">
        <f t="shared" si="5"/>
        <v>1.6109087819458464E-2</v>
      </c>
      <c r="R78" s="11">
        <f t="shared" si="4"/>
        <v>1.3688251471036195E-2</v>
      </c>
      <c r="S78" s="11">
        <f t="shared" si="4"/>
        <v>-1.263543846958844E-2</v>
      </c>
      <c r="T78" s="11">
        <f t="shared" si="4"/>
        <v>2.6230110821818243E-2</v>
      </c>
      <c r="U78" s="11">
        <f t="shared" si="6"/>
        <v>8.2426555948400832E-3</v>
      </c>
    </row>
    <row r="79" spans="1:21" x14ac:dyDescent="0.2">
      <c r="A79" s="1">
        <v>44330</v>
      </c>
      <c r="B79" s="3">
        <v>83.839995999999999</v>
      </c>
      <c r="C79" s="3">
        <v>17.850000000000001</v>
      </c>
      <c r="D79" s="3">
        <v>26.9</v>
      </c>
      <c r="E79" s="3">
        <v>58.790000999999997</v>
      </c>
      <c r="F79" s="3">
        <v>19.440000999999999</v>
      </c>
      <c r="G79" s="3">
        <v>24.209999</v>
      </c>
      <c r="H79" s="3">
        <v>26.299999</v>
      </c>
      <c r="I79" s="3">
        <v>33.240001999999997</v>
      </c>
      <c r="J79" s="3">
        <v>110.55999799999999</v>
      </c>
      <c r="L79" s="11">
        <f t="shared" si="5"/>
        <v>3.2766642030056567E-2</v>
      </c>
      <c r="M79" s="11">
        <f t="shared" si="5"/>
        <v>3.4782608695652258E-2</v>
      </c>
      <c r="N79" s="11">
        <f t="shared" si="5"/>
        <v>-1.4651978558680574E-2</v>
      </c>
      <c r="O79" s="11">
        <f t="shared" si="5"/>
        <v>0</v>
      </c>
      <c r="P79" s="11">
        <f t="shared" si="5"/>
        <v>5.1471950591863301E-4</v>
      </c>
      <c r="Q79" s="11">
        <f t="shared" si="5"/>
        <v>2.1518902045615927E-2</v>
      </c>
      <c r="R79" s="11">
        <f t="shared" si="4"/>
        <v>5.2420928371348589E-2</v>
      </c>
      <c r="S79" s="11">
        <f t="shared" si="4"/>
        <v>5.1406713032959373E-3</v>
      </c>
      <c r="T79" s="11">
        <f t="shared" si="4"/>
        <v>-1.7157080934431225E-2</v>
      </c>
      <c r="U79" s="11">
        <f t="shared" si="6"/>
        <v>1.2815045828752904E-2</v>
      </c>
    </row>
    <row r="80" spans="1:21" x14ac:dyDescent="0.2">
      <c r="A80" s="1">
        <v>44329</v>
      </c>
      <c r="B80" s="3">
        <v>81.180000000000007</v>
      </c>
      <c r="C80" s="3">
        <v>17.25</v>
      </c>
      <c r="D80" s="3">
        <v>27.299999</v>
      </c>
      <c r="E80" s="3">
        <v>58.790000999999997</v>
      </c>
      <c r="F80" s="3">
        <v>19.43</v>
      </c>
      <c r="G80" s="3">
        <v>23.700001</v>
      </c>
      <c r="H80" s="3">
        <v>24.99</v>
      </c>
      <c r="I80" s="3">
        <v>33.07</v>
      </c>
      <c r="J80" s="3">
        <v>112.489998</v>
      </c>
      <c r="L80" s="11">
        <f t="shared" si="5"/>
        <v>9.7014674203615842E-3</v>
      </c>
      <c r="M80" s="11">
        <f t="shared" si="5"/>
        <v>4.8544079555110286E-3</v>
      </c>
      <c r="N80" s="11">
        <f t="shared" si="5"/>
        <v>-1.4084578761842555E-2</v>
      </c>
      <c r="O80" s="11">
        <f t="shared" si="5"/>
        <v>8.4048371939079609E-3</v>
      </c>
      <c r="P80" s="11">
        <f t="shared" si="5"/>
        <v>4.6535677352636945E-3</v>
      </c>
      <c r="Q80" s="11">
        <f t="shared" si="5"/>
        <v>1.8478770949720703E-2</v>
      </c>
      <c r="R80" s="11">
        <f t="shared" si="4"/>
        <v>8.4745355740703902E-3</v>
      </c>
      <c r="S80" s="11">
        <f t="shared" si="4"/>
        <v>2.1212121212121297E-3</v>
      </c>
      <c r="T80" s="11">
        <f t="shared" si="4"/>
        <v>-1.6093798371489519E-2</v>
      </c>
      <c r="U80" s="11">
        <f t="shared" si="6"/>
        <v>2.9456024240794914E-3</v>
      </c>
    </row>
    <row r="81" spans="1:21" x14ac:dyDescent="0.2">
      <c r="A81" s="1">
        <v>44328</v>
      </c>
      <c r="B81" s="3">
        <v>80.400002000000001</v>
      </c>
      <c r="C81" s="3">
        <v>17.166665999999999</v>
      </c>
      <c r="D81" s="3">
        <v>27.690000999999999</v>
      </c>
      <c r="E81" s="3">
        <v>58.299999</v>
      </c>
      <c r="F81" s="3">
        <v>19.34</v>
      </c>
      <c r="G81" s="3">
        <v>23.27</v>
      </c>
      <c r="H81" s="3">
        <v>24.780000999999999</v>
      </c>
      <c r="I81" s="3">
        <v>33</v>
      </c>
      <c r="J81" s="3">
        <v>114.33000199999999</v>
      </c>
      <c r="L81" s="11">
        <f t="shared" si="5"/>
        <v>-1.9512170731707308E-2</v>
      </c>
      <c r="M81" s="11">
        <f t="shared" si="5"/>
        <v>-2.5544048712506193E-2</v>
      </c>
      <c r="N81" s="11">
        <f t="shared" si="5"/>
        <v>-2.1554700408293333E-2</v>
      </c>
      <c r="O81" s="11">
        <f t="shared" si="5"/>
        <v>-7.22469923615532E-2</v>
      </c>
      <c r="P81" s="11">
        <f t="shared" si="5"/>
        <v>-1.3265306122449059E-2</v>
      </c>
      <c r="Q81" s="11">
        <f t="shared" si="5"/>
        <v>-6.2827225130890008E-2</v>
      </c>
      <c r="R81" s="11">
        <f t="shared" si="4"/>
        <v>-1.471168986083499E-2</v>
      </c>
      <c r="S81" s="11">
        <f t="shared" si="4"/>
        <v>-4.5691206148571084E-2</v>
      </c>
      <c r="T81" s="11">
        <f t="shared" si="4"/>
        <v>-3.6977754068583633E-2</v>
      </c>
      <c r="U81" s="11">
        <f t="shared" si="6"/>
        <v>-3.470345483837653E-2</v>
      </c>
    </row>
    <row r="82" spans="1:21" x14ac:dyDescent="0.2">
      <c r="A82" s="1">
        <v>44327</v>
      </c>
      <c r="B82" s="3">
        <v>82</v>
      </c>
      <c r="C82" s="3">
        <v>17.616667</v>
      </c>
      <c r="D82" s="3">
        <v>28.299999</v>
      </c>
      <c r="E82" s="3">
        <v>62.84</v>
      </c>
      <c r="F82" s="3">
        <v>19.600000000000001</v>
      </c>
      <c r="G82" s="3">
        <v>24.83</v>
      </c>
      <c r="H82" s="3">
        <v>25.15</v>
      </c>
      <c r="I82" s="3">
        <v>34.580002</v>
      </c>
      <c r="J82" s="3">
        <v>118.720001</v>
      </c>
      <c r="L82" s="11">
        <f t="shared" si="5"/>
        <v>3.9177277179235203E-3</v>
      </c>
      <c r="M82" s="11">
        <f t="shared" si="5"/>
        <v>-8.4427207670815171E-3</v>
      </c>
      <c r="N82" s="11">
        <f t="shared" si="5"/>
        <v>9.9928265524625304E-3</v>
      </c>
      <c r="O82" s="11">
        <f t="shared" si="5"/>
        <v>-1.7474344440438834E-3</v>
      </c>
      <c r="P82" s="11">
        <f t="shared" si="5"/>
        <v>-4.5708987013254772E-3</v>
      </c>
      <c r="Q82" s="11">
        <f t="shared" si="5"/>
        <v>-8.3866210708219181E-3</v>
      </c>
      <c r="R82" s="11">
        <f t="shared" si="4"/>
        <v>1.8218582258356923E-2</v>
      </c>
      <c r="S82" s="11">
        <f t="shared" si="4"/>
        <v>1.9758242406369916E-2</v>
      </c>
      <c r="T82" s="11">
        <f t="shared" si="4"/>
        <v>3.5138189290466568E-2</v>
      </c>
      <c r="U82" s="11">
        <f t="shared" si="6"/>
        <v>7.0975436935896297E-3</v>
      </c>
    </row>
    <row r="83" spans="1:21" x14ac:dyDescent="0.2">
      <c r="A83" s="1">
        <v>44326</v>
      </c>
      <c r="B83" s="3">
        <v>81.680000000000007</v>
      </c>
      <c r="C83" s="3">
        <v>17.766666000000001</v>
      </c>
      <c r="D83" s="3">
        <v>28.02</v>
      </c>
      <c r="E83" s="3">
        <v>62.950001</v>
      </c>
      <c r="F83" s="3">
        <v>19.690000999999999</v>
      </c>
      <c r="G83" s="3">
        <v>25.040001</v>
      </c>
      <c r="H83" s="3">
        <v>24.700001</v>
      </c>
      <c r="I83" s="3">
        <v>33.909999999999997</v>
      </c>
      <c r="J83" s="3">
        <v>114.69000200000001</v>
      </c>
      <c r="L83" s="11">
        <f t="shared" si="5"/>
        <v>7.2759160081843823E-3</v>
      </c>
      <c r="M83" s="11">
        <f t="shared" si="5"/>
        <v>-7.4999995781765581E-4</v>
      </c>
      <c r="N83" s="11">
        <f t="shared" si="5"/>
        <v>4.3010752688172399E-3</v>
      </c>
      <c r="O83" s="11">
        <f t="shared" si="5"/>
        <v>-4.1132416407727371E-3</v>
      </c>
      <c r="P83" s="11">
        <f t="shared" si="5"/>
        <v>-3.9512146341463474E-2</v>
      </c>
      <c r="Q83" s="11">
        <f t="shared" si="5"/>
        <v>8.8638597904915351E-3</v>
      </c>
      <c r="R83" s="11">
        <f t="shared" si="4"/>
        <v>1.3125595288170387E-2</v>
      </c>
      <c r="S83" s="11">
        <f t="shared" si="4"/>
        <v>-1.9658860942469117E-2</v>
      </c>
      <c r="T83" s="11">
        <f t="shared" si="4"/>
        <v>-6.5828931983427366E-3</v>
      </c>
      <c r="U83" s="11">
        <f t="shared" si="6"/>
        <v>-4.1167439694669086E-3</v>
      </c>
    </row>
    <row r="84" spans="1:21" x14ac:dyDescent="0.2">
      <c r="A84" s="1">
        <v>44323</v>
      </c>
      <c r="B84" s="3">
        <v>81.089995999999999</v>
      </c>
      <c r="C84" s="3">
        <v>17.780000999999999</v>
      </c>
      <c r="D84" s="3">
        <v>27.9</v>
      </c>
      <c r="E84" s="3">
        <v>63.209999000000003</v>
      </c>
      <c r="F84" s="3">
        <v>20.5</v>
      </c>
      <c r="G84" s="3">
        <v>24.82</v>
      </c>
      <c r="H84" s="3">
        <v>24.379999000000002</v>
      </c>
      <c r="I84" s="3">
        <v>34.590000000000003</v>
      </c>
      <c r="J84" s="3">
        <v>115.449997</v>
      </c>
      <c r="L84" s="11">
        <f t="shared" si="5"/>
        <v>1.3624949999999992E-2</v>
      </c>
      <c r="M84" s="11">
        <f t="shared" si="5"/>
        <v>5.0000141732294542E-2</v>
      </c>
      <c r="N84" s="11">
        <f t="shared" si="5"/>
        <v>1.7953321364451403E-3</v>
      </c>
      <c r="O84" s="11">
        <f t="shared" si="5"/>
        <v>2.3312271329124175E-2</v>
      </c>
      <c r="P84" s="11">
        <f t="shared" si="5"/>
        <v>2.4449387557487004E-3</v>
      </c>
      <c r="Q84" s="11">
        <f t="shared" si="5"/>
        <v>4.2419195397698208E-2</v>
      </c>
      <c r="R84" s="11">
        <f t="shared" si="4"/>
        <v>3.7446765957446872E-2</v>
      </c>
      <c r="S84" s="11">
        <f t="shared" si="4"/>
        <v>2.2465207066792461E-2</v>
      </c>
      <c r="T84" s="11">
        <f t="shared" si="4"/>
        <v>3.4766969975654188E-3</v>
      </c>
      <c r="U84" s="11">
        <f t="shared" si="6"/>
        <v>2.1887277708123945E-2</v>
      </c>
    </row>
    <row r="85" spans="1:21" x14ac:dyDescent="0.2">
      <c r="A85" s="1">
        <v>44322</v>
      </c>
      <c r="B85" s="3">
        <v>80</v>
      </c>
      <c r="C85" s="3">
        <v>16.933332</v>
      </c>
      <c r="D85" s="3">
        <v>27.85</v>
      </c>
      <c r="E85" s="3">
        <v>61.77</v>
      </c>
      <c r="F85" s="3">
        <v>20.450001</v>
      </c>
      <c r="G85" s="3">
        <v>23.809999000000001</v>
      </c>
      <c r="H85" s="3">
        <v>23.5</v>
      </c>
      <c r="I85" s="3">
        <v>33.830002</v>
      </c>
      <c r="J85" s="3">
        <v>115.050003</v>
      </c>
      <c r="L85" s="11">
        <f t="shared" si="5"/>
        <v>6.9226308466695573E-3</v>
      </c>
      <c r="M85" s="11">
        <f t="shared" si="5"/>
        <v>-1.3592272372515389E-2</v>
      </c>
      <c r="N85" s="11">
        <f t="shared" si="5"/>
        <v>-1.4341700048106176E-3</v>
      </c>
      <c r="O85" s="11">
        <f t="shared" si="5"/>
        <v>2.759772816875802E-3</v>
      </c>
      <c r="P85" s="11">
        <f t="shared" si="5"/>
        <v>-2.1998995695839303E-2</v>
      </c>
      <c r="Q85" s="11">
        <f t="shared" si="5"/>
        <v>5.9146176594845595E-3</v>
      </c>
      <c r="R85" s="11">
        <f t="shared" si="4"/>
        <v>-1.3848090642047768E-2</v>
      </c>
      <c r="S85" s="11">
        <f t="shared" si="4"/>
        <v>-3.5345801609843832E-3</v>
      </c>
      <c r="T85" s="11">
        <f t="shared" si="4"/>
        <v>3.920155396261911E-2</v>
      </c>
      <c r="U85" s="11">
        <f t="shared" si="6"/>
        <v>4.3385156605729882E-5</v>
      </c>
    </row>
    <row r="86" spans="1:21" x14ac:dyDescent="0.2">
      <c r="A86" s="1">
        <v>44321</v>
      </c>
      <c r="B86" s="3">
        <v>79.449996999999996</v>
      </c>
      <c r="C86" s="3">
        <v>17.166665999999999</v>
      </c>
      <c r="D86" s="3">
        <v>27.889999</v>
      </c>
      <c r="E86" s="3">
        <v>61.599997999999999</v>
      </c>
      <c r="F86" s="3">
        <v>20.91</v>
      </c>
      <c r="G86" s="3">
        <v>23.67</v>
      </c>
      <c r="H86" s="3">
        <v>23.83</v>
      </c>
      <c r="I86" s="3">
        <v>33.950001</v>
      </c>
      <c r="J86" s="3">
        <v>110.709999</v>
      </c>
      <c r="L86" s="11">
        <f t="shared" si="5"/>
        <v>4.5394697368421E-2</v>
      </c>
      <c r="M86" s="11">
        <f t="shared" si="5"/>
        <v>1.6380521988189567E-2</v>
      </c>
      <c r="N86" s="11">
        <f t="shared" si="5"/>
        <v>1.8626735523255424E-2</v>
      </c>
      <c r="O86" s="11">
        <f t="shared" si="5"/>
        <v>-1.8170289506844416E-2</v>
      </c>
      <c r="P86" s="11">
        <f t="shared" si="5"/>
        <v>-4.285714285714279E-3</v>
      </c>
      <c r="Q86" s="11">
        <f t="shared" si="5"/>
        <v>8.4566596194516393E-4</v>
      </c>
      <c r="R86" s="11">
        <f t="shared" si="4"/>
        <v>4.1066013152730972E-2</v>
      </c>
      <c r="S86" s="11">
        <f t="shared" si="4"/>
        <v>3.1288063869262708E-2</v>
      </c>
      <c r="T86" s="11">
        <f t="shared" si="4"/>
        <v>5.540426985293832E-3</v>
      </c>
      <c r="U86" s="11">
        <f t="shared" si="6"/>
        <v>1.5187346784059995E-2</v>
      </c>
    </row>
    <row r="87" spans="1:21" x14ac:dyDescent="0.2">
      <c r="A87" s="1">
        <v>44320</v>
      </c>
      <c r="B87" s="3">
        <v>76</v>
      </c>
      <c r="C87" s="3">
        <v>16.889999</v>
      </c>
      <c r="D87" s="3">
        <v>27.379999000000002</v>
      </c>
      <c r="E87" s="3">
        <v>62.740001999999997</v>
      </c>
      <c r="F87" s="3">
        <v>21</v>
      </c>
      <c r="G87" s="3">
        <v>23.65</v>
      </c>
      <c r="H87" s="3">
        <v>22.889999</v>
      </c>
      <c r="I87" s="3">
        <v>32.919998</v>
      </c>
      <c r="J87" s="3">
        <v>110.099998</v>
      </c>
      <c r="L87" s="11">
        <f t="shared" si="5"/>
        <v>5.0250857567408855E-3</v>
      </c>
      <c r="M87" s="11">
        <f t="shared" si="5"/>
        <v>-1.5925518899766178E-2</v>
      </c>
      <c r="N87" s="11">
        <f t="shared" si="5"/>
        <v>-5.4486739757109741E-3</v>
      </c>
      <c r="O87" s="11">
        <f t="shared" si="5"/>
        <v>-2.1369505204032052E-2</v>
      </c>
      <c r="P87" s="11">
        <f t="shared" si="5"/>
        <v>2.3865869982535887E-3</v>
      </c>
      <c r="Q87" s="11">
        <f t="shared" si="5"/>
        <v>-1.4583333333333393E-2</v>
      </c>
      <c r="R87" s="11">
        <f t="shared" si="4"/>
        <v>-2.3047417840375596E-2</v>
      </c>
      <c r="S87" s="11">
        <f t="shared" si="4"/>
        <v>-6.9382801243873526E-3</v>
      </c>
      <c r="T87" s="11">
        <f t="shared" si="4"/>
        <v>1.5120772774486224E-2</v>
      </c>
      <c r="U87" s="11">
        <f t="shared" si="6"/>
        <v>-7.1978093164583156E-3</v>
      </c>
    </row>
    <row r="88" spans="1:21" x14ac:dyDescent="0.2">
      <c r="A88" s="1">
        <v>44319</v>
      </c>
      <c r="B88" s="3">
        <v>75.620002999999997</v>
      </c>
      <c r="C88" s="3">
        <v>17.163333999999999</v>
      </c>
      <c r="D88" s="3">
        <v>27.530000999999999</v>
      </c>
      <c r="E88" s="3">
        <v>64.110000999999997</v>
      </c>
      <c r="F88" s="3">
        <v>20.950001</v>
      </c>
      <c r="G88" s="3">
        <v>24</v>
      </c>
      <c r="H88" s="3">
        <v>23.43</v>
      </c>
      <c r="I88" s="3">
        <v>33.150002000000001</v>
      </c>
      <c r="J88" s="3">
        <v>108.459999</v>
      </c>
      <c r="L88" s="11">
        <f t="shared" si="5"/>
        <v>-3.9654989037546438E-4</v>
      </c>
      <c r="M88" s="11">
        <f t="shared" si="5"/>
        <v>-1.9409709491641154E-4</v>
      </c>
      <c r="N88" s="11">
        <f t="shared" si="5"/>
        <v>-1.2553730722874233E-2</v>
      </c>
      <c r="O88" s="11">
        <f t="shared" si="5"/>
        <v>-2.9549298776861159E-3</v>
      </c>
      <c r="P88" s="11">
        <f t="shared" si="5"/>
        <v>4.3144772620097123E-3</v>
      </c>
      <c r="Q88" s="11">
        <f t="shared" si="5"/>
        <v>4.2118929999178094E-2</v>
      </c>
      <c r="R88" s="11">
        <f t="shared" si="4"/>
        <v>-8.0440724790823998E-3</v>
      </c>
      <c r="S88" s="11">
        <f t="shared" si="4"/>
        <v>1.8120423276399802E-2</v>
      </c>
      <c r="T88" s="11">
        <f t="shared" si="4"/>
        <v>-5.1366539663361696E-3</v>
      </c>
      <c r="U88" s="11">
        <f t="shared" si="6"/>
        <v>3.9193107229240909E-3</v>
      </c>
    </row>
    <row r="89" spans="1:21" x14ac:dyDescent="0.2">
      <c r="A89" s="1">
        <v>44316</v>
      </c>
      <c r="B89" s="3">
        <v>75.650002000000001</v>
      </c>
      <c r="C89" s="3">
        <v>17.166665999999999</v>
      </c>
      <c r="D89" s="3">
        <v>27.879999000000002</v>
      </c>
      <c r="E89" s="3">
        <v>64.300003000000004</v>
      </c>
      <c r="F89" s="3">
        <v>20.860001</v>
      </c>
      <c r="G89" s="3">
        <v>23.030000999999999</v>
      </c>
      <c r="H89" s="3">
        <v>23.620000999999998</v>
      </c>
      <c r="I89" s="3">
        <v>32.560001</v>
      </c>
      <c r="J89" s="3">
        <v>109.019997</v>
      </c>
      <c r="L89" s="11">
        <f t="shared" si="5"/>
        <v>-6.8267823769669273E-3</v>
      </c>
      <c r="M89" s="11">
        <f t="shared" si="5"/>
        <v>-1.9980971264737329E-2</v>
      </c>
      <c r="N89" s="11">
        <f t="shared" si="5"/>
        <v>-1.1347588250085481E-2</v>
      </c>
      <c r="O89" s="11">
        <f t="shared" si="5"/>
        <v>1.4675777413220471E-2</v>
      </c>
      <c r="P89" s="11">
        <f t="shared" si="5"/>
        <v>-2.7958901582427816E-2</v>
      </c>
      <c r="Q89" s="11">
        <f t="shared" si="5"/>
        <v>-1.7072087067861764E-2</v>
      </c>
      <c r="R89" s="11">
        <f t="shared" si="4"/>
        <v>0</v>
      </c>
      <c r="S89" s="11">
        <f t="shared" si="4"/>
        <v>-2.4857682685165798E-2</v>
      </c>
      <c r="T89" s="11">
        <f t="shared" si="4"/>
        <v>-2.6172399093498794E-2</v>
      </c>
      <c r="U89" s="11">
        <f t="shared" si="6"/>
        <v>-1.3282292767502604E-2</v>
      </c>
    </row>
    <row r="90" spans="1:21" x14ac:dyDescent="0.2">
      <c r="A90" s="1">
        <v>44315</v>
      </c>
      <c r="B90" s="3">
        <v>76.169998000000007</v>
      </c>
      <c r="C90" s="3">
        <v>17.516666000000001</v>
      </c>
      <c r="D90" s="3">
        <v>28.200001</v>
      </c>
      <c r="E90" s="3">
        <v>63.369999</v>
      </c>
      <c r="F90" s="3">
        <v>21.459999</v>
      </c>
      <c r="G90" s="3">
        <v>23.43</v>
      </c>
      <c r="H90" s="3">
        <v>23.620000999999998</v>
      </c>
      <c r="I90" s="3">
        <v>33.389999000000003</v>
      </c>
      <c r="J90" s="3">
        <v>111.949997</v>
      </c>
      <c r="L90" s="11">
        <f t="shared" si="5"/>
        <v>-8.4613642280654319E-3</v>
      </c>
      <c r="M90" s="11">
        <f t="shared" si="5"/>
        <v>-1.9589607843477404E-2</v>
      </c>
      <c r="N90" s="11">
        <f t="shared" si="5"/>
        <v>0</v>
      </c>
      <c r="O90" s="11">
        <f t="shared" si="5"/>
        <v>3.9607098219377346E-3</v>
      </c>
      <c r="P90" s="11">
        <f t="shared" si="5"/>
        <v>-5.1701283769389546E-2</v>
      </c>
      <c r="Q90" s="11">
        <f t="shared" si="5"/>
        <v>-2.1711940638332358E-2</v>
      </c>
      <c r="R90" s="11">
        <f t="shared" si="4"/>
        <v>-1.3366749650511723E-2</v>
      </c>
      <c r="S90" s="11">
        <f t="shared" si="4"/>
        <v>1.4585202066241464E-2</v>
      </c>
      <c r="T90" s="11">
        <f t="shared" si="4"/>
        <v>2.6803967598345961E-4</v>
      </c>
      <c r="U90" s="11">
        <f t="shared" si="6"/>
        <v>-1.0668554951734868E-2</v>
      </c>
    </row>
    <row r="91" spans="1:21" x14ac:dyDescent="0.2">
      <c r="A91" s="1">
        <v>44314</v>
      </c>
      <c r="B91" s="3">
        <v>76.819999999999993</v>
      </c>
      <c r="C91" s="3">
        <v>17.866667</v>
      </c>
      <c r="D91" s="3">
        <v>28.200001</v>
      </c>
      <c r="E91" s="3">
        <v>63.119999</v>
      </c>
      <c r="F91" s="3">
        <v>22.629999000000002</v>
      </c>
      <c r="G91" s="3">
        <v>23.950001</v>
      </c>
      <c r="H91" s="3">
        <v>23.940000999999999</v>
      </c>
      <c r="I91" s="3">
        <v>32.909999999999997</v>
      </c>
      <c r="J91" s="3">
        <v>111.91999800000001</v>
      </c>
      <c r="L91" s="11">
        <f t="shared" si="5"/>
        <v>4.5769451474179639E-3</v>
      </c>
      <c r="M91" s="11">
        <f t="shared" si="5"/>
        <v>1.2275750708215358E-2</v>
      </c>
      <c r="N91" s="11">
        <f t="shared" si="5"/>
        <v>-3.6885244641897325E-2</v>
      </c>
      <c r="O91" s="11">
        <f t="shared" ref="O91:T143" si="7">(E91-E92)/E92</f>
        <v>3.4075982403735598E-2</v>
      </c>
      <c r="P91" s="11">
        <f t="shared" si="7"/>
        <v>3.6646770499313024E-2</v>
      </c>
      <c r="Q91" s="11">
        <f t="shared" si="7"/>
        <v>1.3542192701743186E-2</v>
      </c>
      <c r="R91" s="11">
        <f t="shared" si="4"/>
        <v>3.6363679653679537E-2</v>
      </c>
      <c r="S91" s="11">
        <f t="shared" si="4"/>
        <v>7.9631848108308225E-3</v>
      </c>
      <c r="T91" s="11">
        <f t="shared" si="4"/>
        <v>1.6345758726505028E-2</v>
      </c>
      <c r="U91" s="11">
        <f t="shared" si="6"/>
        <v>1.3878335556615908E-2</v>
      </c>
    </row>
    <row r="92" spans="1:21" x14ac:dyDescent="0.2">
      <c r="A92" s="1">
        <v>44313</v>
      </c>
      <c r="B92" s="3">
        <v>76.470000999999996</v>
      </c>
      <c r="C92" s="3">
        <v>17.649999999999999</v>
      </c>
      <c r="D92" s="3">
        <v>29.280000999999999</v>
      </c>
      <c r="E92" s="3">
        <v>61.040000999999997</v>
      </c>
      <c r="F92" s="3">
        <v>21.83</v>
      </c>
      <c r="G92" s="3">
        <v>23.629999000000002</v>
      </c>
      <c r="H92" s="3">
        <v>23.1</v>
      </c>
      <c r="I92" s="3">
        <v>32.650002000000001</v>
      </c>
      <c r="J92" s="3">
        <v>110.120003</v>
      </c>
      <c r="L92" s="11">
        <f t="shared" ref="L92:T154" si="8">(B92-B93)/B93</f>
        <v>-5.7210112744241221E-3</v>
      </c>
      <c r="M92" s="11">
        <f t="shared" si="8"/>
        <v>-1.1318619128468095E-3</v>
      </c>
      <c r="N92" s="11">
        <f t="shared" si="8"/>
        <v>1.0700794294124663E-2</v>
      </c>
      <c r="O92" s="11">
        <f t="shared" si="7"/>
        <v>-1.4211838314335912E-2</v>
      </c>
      <c r="P92" s="11">
        <f t="shared" si="7"/>
        <v>-2.3266219239373741E-2</v>
      </c>
      <c r="Q92" s="11">
        <f t="shared" si="7"/>
        <v>-1.541670833333327E-2</v>
      </c>
      <c r="R92" s="11">
        <f t="shared" si="4"/>
        <v>-2.8595499218019259E-2</v>
      </c>
      <c r="S92" s="11">
        <f t="shared" si="4"/>
        <v>-2.2455088475743203E-2</v>
      </c>
      <c r="T92" s="11">
        <f t="shared" si="4"/>
        <v>1.4276531270148328E-2</v>
      </c>
      <c r="U92" s="11">
        <f t="shared" si="6"/>
        <v>-9.5356556893114799E-3</v>
      </c>
    </row>
    <row r="93" spans="1:21" x14ac:dyDescent="0.2">
      <c r="A93" s="1">
        <v>44312</v>
      </c>
      <c r="B93" s="3">
        <v>76.910004000000001</v>
      </c>
      <c r="C93" s="3">
        <v>17.670000000000002</v>
      </c>
      <c r="D93" s="3">
        <v>28.969999000000001</v>
      </c>
      <c r="E93" s="3">
        <v>61.919998</v>
      </c>
      <c r="F93" s="3">
        <v>22.35</v>
      </c>
      <c r="G93" s="3">
        <v>24</v>
      </c>
      <c r="H93" s="3">
        <v>23.780000999999999</v>
      </c>
      <c r="I93" s="3">
        <v>33.400002000000001</v>
      </c>
      <c r="J93" s="3">
        <v>108.57</v>
      </c>
      <c r="L93" s="11">
        <f t="shared" si="8"/>
        <v>-3.2578566037735839E-2</v>
      </c>
      <c r="M93" s="11">
        <f t="shared" si="8"/>
        <v>-1.3216642338668715E-2</v>
      </c>
      <c r="N93" s="11">
        <f t="shared" si="8"/>
        <v>-5.4926194813806938E-3</v>
      </c>
      <c r="O93" s="11">
        <f t="shared" si="7"/>
        <v>3.5655915143340002E-3</v>
      </c>
      <c r="P93" s="11">
        <f t="shared" si="7"/>
        <v>-1.9736799111263043E-2</v>
      </c>
      <c r="Q93" s="11">
        <f t="shared" si="7"/>
        <v>1.824352991090368E-2</v>
      </c>
      <c r="R93" s="11">
        <f t="shared" si="4"/>
        <v>3.7990711777513165E-3</v>
      </c>
      <c r="S93" s="11">
        <f t="shared" si="4"/>
        <v>4.8134774480459936E-3</v>
      </c>
      <c r="T93" s="11">
        <f t="shared" si="4"/>
        <v>5.3708862926360387E-3</v>
      </c>
      <c r="U93" s="11">
        <f t="shared" si="6"/>
        <v>-3.9146745139308076E-3</v>
      </c>
    </row>
    <row r="94" spans="1:21" x14ac:dyDescent="0.2">
      <c r="A94" s="1">
        <v>44309</v>
      </c>
      <c r="B94" s="3">
        <v>79.5</v>
      </c>
      <c r="C94" s="3">
        <v>17.906666000000001</v>
      </c>
      <c r="D94" s="3">
        <v>29.129999000000002</v>
      </c>
      <c r="E94" s="3">
        <v>61.700001</v>
      </c>
      <c r="F94" s="3">
        <v>22.799999</v>
      </c>
      <c r="G94" s="3">
        <v>23.57</v>
      </c>
      <c r="H94" s="3">
        <v>23.690000999999999</v>
      </c>
      <c r="I94" s="3">
        <v>33.240001999999997</v>
      </c>
      <c r="J94" s="3">
        <v>107.989998</v>
      </c>
      <c r="L94" s="11">
        <f t="shared" si="8"/>
        <v>7.3492399226871901E-3</v>
      </c>
      <c r="M94" s="11">
        <f t="shared" si="8"/>
        <v>6.9353140943827774E-3</v>
      </c>
      <c r="N94" s="11">
        <f t="shared" si="8"/>
        <v>-5.802047979592018E-3</v>
      </c>
      <c r="O94" s="11">
        <f t="shared" si="7"/>
        <v>1.3635649969371617E-2</v>
      </c>
      <c r="P94" s="11">
        <f t="shared" si="7"/>
        <v>3.0741318682580586E-2</v>
      </c>
      <c r="Q94" s="11">
        <f t="shared" si="7"/>
        <v>2.0346320346320296E-2</v>
      </c>
      <c r="R94" s="11">
        <f t="shared" si="4"/>
        <v>-8.4344162140205362E-4</v>
      </c>
      <c r="S94" s="11">
        <f t="shared" si="4"/>
        <v>3.4547182242540136E-2</v>
      </c>
      <c r="T94" s="11">
        <f t="shared" si="4"/>
        <v>1.6567776996109129E-2</v>
      </c>
      <c r="U94" s="11">
        <f t="shared" si="6"/>
        <v>1.3719701405888629E-2</v>
      </c>
    </row>
    <row r="95" spans="1:21" x14ac:dyDescent="0.2">
      <c r="A95" s="1">
        <v>44308</v>
      </c>
      <c r="B95" s="3">
        <v>78.919998000000007</v>
      </c>
      <c r="C95" s="3">
        <v>17.783332999999999</v>
      </c>
      <c r="D95" s="3">
        <v>29.299999</v>
      </c>
      <c r="E95" s="3">
        <v>60.869999</v>
      </c>
      <c r="F95" s="3">
        <v>22.120000999999998</v>
      </c>
      <c r="G95" s="3">
        <v>23.1</v>
      </c>
      <c r="H95" s="3">
        <v>23.709999</v>
      </c>
      <c r="I95" s="3">
        <v>32.130001</v>
      </c>
      <c r="J95" s="3">
        <v>106.230003</v>
      </c>
      <c r="L95" s="11">
        <f t="shared" si="8"/>
        <v>1.1416465522861908E-3</v>
      </c>
      <c r="M95" s="11">
        <f t="shared" si="8"/>
        <v>-6.8875467940264449E-3</v>
      </c>
      <c r="N95" s="11">
        <f t="shared" si="8"/>
        <v>-2.6254602858092394E-2</v>
      </c>
      <c r="O95" s="11">
        <f t="shared" si="7"/>
        <v>-1.4729686220940156E-2</v>
      </c>
      <c r="P95" s="11">
        <f t="shared" si="7"/>
        <v>-3.1947439824945426E-2</v>
      </c>
      <c r="Q95" s="11">
        <f t="shared" si="7"/>
        <v>-3.4684496447973182E-2</v>
      </c>
      <c r="R95" s="11">
        <f t="shared" si="4"/>
        <v>-4.6180100755667695E-3</v>
      </c>
      <c r="S95" s="11">
        <f t="shared" si="4"/>
        <v>-1.5926522761009344E-2</v>
      </c>
      <c r="T95" s="11">
        <f t="shared" si="4"/>
        <v>6.5937262021952925E-4</v>
      </c>
      <c r="U95" s="11">
        <f t="shared" si="6"/>
        <v>-1.4805253978894222E-2</v>
      </c>
    </row>
    <row r="96" spans="1:21" x14ac:dyDescent="0.2">
      <c r="A96" s="1">
        <v>44306</v>
      </c>
      <c r="B96" s="3">
        <v>78.830001999999993</v>
      </c>
      <c r="C96" s="3">
        <v>17.906666000000001</v>
      </c>
      <c r="D96" s="3">
        <v>30.09</v>
      </c>
      <c r="E96" s="3">
        <v>61.779998999999997</v>
      </c>
      <c r="F96" s="3">
        <v>22.85</v>
      </c>
      <c r="G96" s="3">
        <v>23.93</v>
      </c>
      <c r="H96" s="3">
        <v>23.82</v>
      </c>
      <c r="I96" s="3">
        <v>32.650002000000001</v>
      </c>
      <c r="J96" s="3">
        <v>106.160004</v>
      </c>
      <c r="L96" s="11">
        <f t="shared" si="8"/>
        <v>3.4369145477829589E-3</v>
      </c>
      <c r="M96" s="11">
        <f t="shared" si="8"/>
        <v>-1.1773454096387588E-2</v>
      </c>
      <c r="N96" s="11">
        <f t="shared" si="8"/>
        <v>8.3780160857908851E-3</v>
      </c>
      <c r="O96" s="11">
        <f t="shared" si="7"/>
        <v>-1.0570147510732722E-2</v>
      </c>
      <c r="P96" s="11">
        <f t="shared" si="7"/>
        <v>-2.1413276231263382E-2</v>
      </c>
      <c r="Q96" s="11">
        <f t="shared" si="7"/>
        <v>4.180602006688131E-4</v>
      </c>
      <c r="R96" s="11">
        <f t="shared" si="4"/>
        <v>-1.8945674672748092E-2</v>
      </c>
      <c r="S96" s="11">
        <f t="shared" si="4"/>
        <v>4.6154461538461733E-3</v>
      </c>
      <c r="T96" s="11">
        <f t="shared" si="4"/>
        <v>-1.4573461025523185E-2</v>
      </c>
      <c r="U96" s="11">
        <f t="shared" si="6"/>
        <v>-6.714175172062904E-3</v>
      </c>
    </row>
    <row r="97" spans="1:21" x14ac:dyDescent="0.2">
      <c r="A97" s="1">
        <v>44305</v>
      </c>
      <c r="B97" s="3">
        <v>78.559997999999993</v>
      </c>
      <c r="C97" s="3">
        <v>18.120000999999998</v>
      </c>
      <c r="D97" s="3">
        <v>29.84</v>
      </c>
      <c r="E97" s="3">
        <v>62.439999</v>
      </c>
      <c r="F97" s="3">
        <v>23.35</v>
      </c>
      <c r="G97" s="3">
        <v>23.92</v>
      </c>
      <c r="H97" s="3">
        <v>24.280000999999999</v>
      </c>
      <c r="I97" s="3">
        <v>32.5</v>
      </c>
      <c r="J97" s="3">
        <v>107.730003</v>
      </c>
      <c r="L97" s="11">
        <f t="shared" si="8"/>
        <v>-1.2817340718337757E-2</v>
      </c>
      <c r="M97" s="11">
        <f t="shared" si="8"/>
        <v>-1.8772420466824983E-2</v>
      </c>
      <c r="N97" s="11">
        <f t="shared" si="8"/>
        <v>1.0497764629266394E-2</v>
      </c>
      <c r="O97" s="11">
        <f t="shared" si="7"/>
        <v>-2.7111265191648588E-2</v>
      </c>
      <c r="P97" s="11">
        <f t="shared" si="7"/>
        <v>-1.059322033898305E-2</v>
      </c>
      <c r="Q97" s="11">
        <f t="shared" si="7"/>
        <v>2.9350104821803053E-3</v>
      </c>
      <c r="R97" s="11">
        <f t="shared" si="4"/>
        <v>5.7952067191630985E-2</v>
      </c>
      <c r="S97" s="11">
        <f t="shared" si="4"/>
        <v>6.8153967414931911E-3</v>
      </c>
      <c r="T97" s="11">
        <f t="shared" si="4"/>
        <v>-8.6499955581117276E-3</v>
      </c>
      <c r="U97" s="11">
        <f t="shared" si="6"/>
        <v>2.8444085629418833E-5</v>
      </c>
    </row>
    <row r="98" spans="1:21" x14ac:dyDescent="0.2">
      <c r="A98" s="1">
        <v>44302</v>
      </c>
      <c r="B98" s="3">
        <v>79.580001999999993</v>
      </c>
      <c r="C98" s="3">
        <v>18.466664999999999</v>
      </c>
      <c r="D98" s="3">
        <v>29.530000999999999</v>
      </c>
      <c r="E98" s="3">
        <v>64.180000000000007</v>
      </c>
      <c r="F98" s="3">
        <v>23.6</v>
      </c>
      <c r="G98" s="3">
        <v>23.85</v>
      </c>
      <c r="H98" s="3">
        <v>22.950001</v>
      </c>
      <c r="I98" s="3">
        <v>32.279998999999997</v>
      </c>
      <c r="J98" s="3">
        <v>108.66999800000001</v>
      </c>
      <c r="L98" s="11">
        <f t="shared" si="8"/>
        <v>-1.6923966037948129E-2</v>
      </c>
      <c r="M98" s="11">
        <f t="shared" si="8"/>
        <v>1.5395840007178892E-2</v>
      </c>
      <c r="N98" s="11">
        <f t="shared" si="8"/>
        <v>-1.7304426532593266E-2</v>
      </c>
      <c r="O98" s="11">
        <f t="shared" si="7"/>
        <v>9.119528588664539E-3</v>
      </c>
      <c r="P98" s="11">
        <f t="shared" si="7"/>
        <v>1.4617368873602744E-2</v>
      </c>
      <c r="Q98" s="11">
        <f t="shared" si="7"/>
        <v>5.480649472202761E-3</v>
      </c>
      <c r="R98" s="11">
        <f t="shared" si="4"/>
        <v>-6.0631875270679746E-3</v>
      </c>
      <c r="S98" s="11">
        <f t="shared" si="4"/>
        <v>1.0012515957838319E-2</v>
      </c>
      <c r="T98" s="11">
        <f t="shared" si="4"/>
        <v>4.2509842366786317E-3</v>
      </c>
      <c r="U98" s="11">
        <f t="shared" si="6"/>
        <v>2.0650341153951681E-3</v>
      </c>
    </row>
    <row r="99" spans="1:21" x14ac:dyDescent="0.2">
      <c r="A99" s="1">
        <v>44301</v>
      </c>
      <c r="B99" s="3">
        <v>80.949996999999996</v>
      </c>
      <c r="C99" s="3">
        <v>18.186665999999999</v>
      </c>
      <c r="D99" s="3">
        <v>30.049999</v>
      </c>
      <c r="E99" s="3">
        <v>63.599997999999999</v>
      </c>
      <c r="F99" s="3">
        <v>23.26</v>
      </c>
      <c r="G99" s="3">
        <v>23.719999000000001</v>
      </c>
      <c r="H99" s="3">
        <v>23.09</v>
      </c>
      <c r="I99" s="3">
        <v>31.959999</v>
      </c>
      <c r="J99" s="3">
        <v>108.209999</v>
      </c>
      <c r="L99" s="11">
        <f t="shared" si="8"/>
        <v>8.3522929775437418E-2</v>
      </c>
      <c r="M99" s="11">
        <f t="shared" si="8"/>
        <v>-8.5407602064881839E-3</v>
      </c>
      <c r="N99" s="11">
        <f t="shared" si="8"/>
        <v>1.1784444047661794E-2</v>
      </c>
      <c r="O99" s="11">
        <f t="shared" si="7"/>
        <v>-7.8560877342943793E-4</v>
      </c>
      <c r="P99" s="11">
        <f t="shared" si="7"/>
        <v>-2.1449593369780788E-3</v>
      </c>
      <c r="Q99" s="11">
        <f t="shared" si="7"/>
        <v>1.8900256920092177E-2</v>
      </c>
      <c r="R99" s="11">
        <f t="shared" si="4"/>
        <v>-5.1745379876796775E-2</v>
      </c>
      <c r="S99" s="11">
        <f t="shared" si="4"/>
        <v>-1.9631872370053507E-2</v>
      </c>
      <c r="T99" s="11">
        <f t="shared" si="4"/>
        <v>1.1308401869158843E-2</v>
      </c>
      <c r="U99" s="11">
        <f t="shared" si="6"/>
        <v>4.7408280054004734E-3</v>
      </c>
    </row>
    <row r="100" spans="1:21" x14ac:dyDescent="0.2">
      <c r="A100" s="1">
        <v>44300</v>
      </c>
      <c r="B100" s="3">
        <v>74.709998999999996</v>
      </c>
      <c r="C100" s="3">
        <v>18.343332</v>
      </c>
      <c r="D100" s="3">
        <v>29.700001</v>
      </c>
      <c r="E100" s="3">
        <v>63.650002000000001</v>
      </c>
      <c r="F100" s="3">
        <v>23.309999000000001</v>
      </c>
      <c r="G100" s="3">
        <v>23.280000999999999</v>
      </c>
      <c r="H100" s="3">
        <v>24.35</v>
      </c>
      <c r="I100" s="3">
        <v>32.599997999999999</v>
      </c>
      <c r="J100" s="3">
        <v>107</v>
      </c>
      <c r="L100" s="11">
        <f t="shared" si="8"/>
        <v>4.3016535058696959E-3</v>
      </c>
      <c r="M100" s="11">
        <f t="shared" si="8"/>
        <v>-4.8824596660006917E-3</v>
      </c>
      <c r="N100" s="11">
        <f t="shared" si="8"/>
        <v>-8.6781711841846017E-3</v>
      </c>
      <c r="O100" s="11">
        <f t="shared" si="7"/>
        <v>7.120268874679295E-3</v>
      </c>
      <c r="P100" s="11">
        <f t="shared" si="7"/>
        <v>-3.1574615704196056E-2</v>
      </c>
      <c r="Q100" s="11">
        <f t="shared" si="7"/>
        <v>-2.1848656380195692E-2</v>
      </c>
      <c r="R100" s="11">
        <f t="shared" si="4"/>
        <v>1.5853192150738098E-2</v>
      </c>
      <c r="S100" s="11">
        <f t="shared" si="4"/>
        <v>-3.4360191609016197E-2</v>
      </c>
      <c r="T100" s="11">
        <f t="shared" si="4"/>
        <v>3.3017937188300178E-2</v>
      </c>
      <c r="U100" s="11">
        <f t="shared" si="6"/>
        <v>-4.5612269804451095E-3</v>
      </c>
    </row>
    <row r="101" spans="1:21" x14ac:dyDescent="0.2">
      <c r="A101" s="1">
        <v>44299</v>
      </c>
      <c r="B101" s="3">
        <v>74.389999000000003</v>
      </c>
      <c r="C101" s="3">
        <v>18.433332</v>
      </c>
      <c r="D101" s="3">
        <v>29.959999</v>
      </c>
      <c r="E101" s="3">
        <v>63.200001</v>
      </c>
      <c r="F101" s="3">
        <v>24.07</v>
      </c>
      <c r="G101" s="3">
        <v>23.799999</v>
      </c>
      <c r="H101" s="3">
        <v>23.969999000000001</v>
      </c>
      <c r="I101" s="3">
        <v>33.759998000000003</v>
      </c>
      <c r="J101" s="3">
        <v>103.58000199999999</v>
      </c>
      <c r="L101" s="11">
        <f t="shared" si="8"/>
        <v>1.3447163758288489E-4</v>
      </c>
      <c r="M101" s="11">
        <f t="shared" si="8"/>
        <v>-8.4275416890801404E-3</v>
      </c>
      <c r="N101" s="11">
        <f t="shared" si="8"/>
        <v>3.3382302725130149E-4</v>
      </c>
      <c r="O101" s="11">
        <f t="shared" si="7"/>
        <v>3.4931883137504518E-3</v>
      </c>
      <c r="P101" s="11">
        <f t="shared" si="7"/>
        <v>9.3097184377838357E-2</v>
      </c>
      <c r="Q101" s="11">
        <f t="shared" si="7"/>
        <v>1.1474627646637205E-2</v>
      </c>
      <c r="R101" s="11">
        <f t="shared" si="4"/>
        <v>3.3486815968473607E-3</v>
      </c>
      <c r="S101" s="11">
        <f t="shared" si="4"/>
        <v>0</v>
      </c>
      <c r="T101" s="11">
        <f t="shared" si="4"/>
        <v>1.7408123454387614E-3</v>
      </c>
      <c r="U101" s="11">
        <f t="shared" si="6"/>
        <v>1.1688360806251796E-2</v>
      </c>
    </row>
    <row r="102" spans="1:21" x14ac:dyDescent="0.2">
      <c r="A102" s="1">
        <v>44298</v>
      </c>
      <c r="B102" s="3">
        <v>74.379997000000003</v>
      </c>
      <c r="C102" s="3">
        <v>18.59</v>
      </c>
      <c r="D102" s="3">
        <v>29.950001</v>
      </c>
      <c r="E102" s="3">
        <v>62.98</v>
      </c>
      <c r="F102" s="3">
        <v>22.02</v>
      </c>
      <c r="G102" s="3">
        <v>23.530000999999999</v>
      </c>
      <c r="H102" s="3">
        <v>23.889999</v>
      </c>
      <c r="I102" s="3">
        <v>33.759998000000003</v>
      </c>
      <c r="J102" s="3">
        <v>103.400002</v>
      </c>
      <c r="L102" s="11">
        <f t="shared" si="8"/>
        <v>-1.4767217472605773E-3</v>
      </c>
      <c r="M102" s="11">
        <f t="shared" si="8"/>
        <v>9.9601959420569999E-3</v>
      </c>
      <c r="N102" s="11">
        <f t="shared" si="8"/>
        <v>1.7323368976787792E-2</v>
      </c>
      <c r="O102" s="11">
        <f t="shared" si="7"/>
        <v>-1.587871040232713E-4</v>
      </c>
      <c r="P102" s="11">
        <f t="shared" si="7"/>
        <v>5.0205385668644197E-3</v>
      </c>
      <c r="Q102" s="11">
        <f t="shared" si="7"/>
        <v>-7.1729954779327521E-3</v>
      </c>
      <c r="R102" s="11">
        <f t="shared" si="4"/>
        <v>1.0147949260042324E-2</v>
      </c>
      <c r="S102" s="11">
        <f t="shared" si="4"/>
        <v>-1.2287946167349229E-2</v>
      </c>
      <c r="T102" s="11">
        <f t="shared" si="4"/>
        <v>3.8835145631068023E-3</v>
      </c>
      <c r="U102" s="11">
        <f t="shared" si="6"/>
        <v>2.8043463124769459E-3</v>
      </c>
    </row>
    <row r="103" spans="1:21" x14ac:dyDescent="0.2">
      <c r="A103" s="1">
        <v>44295</v>
      </c>
      <c r="B103" s="3">
        <v>74.489998</v>
      </c>
      <c r="C103" s="3">
        <v>18.406666000000001</v>
      </c>
      <c r="D103" s="3">
        <v>29.440000999999999</v>
      </c>
      <c r="E103" s="3">
        <v>62.990001999999997</v>
      </c>
      <c r="F103" s="3">
        <v>21.91</v>
      </c>
      <c r="G103" s="3">
        <v>23.700001</v>
      </c>
      <c r="H103" s="3">
        <v>23.65</v>
      </c>
      <c r="I103" s="3">
        <v>34.18</v>
      </c>
      <c r="J103" s="3">
        <v>103</v>
      </c>
      <c r="L103" s="11">
        <f t="shared" si="8"/>
        <v>1.8597033444429062E-2</v>
      </c>
      <c r="M103" s="11">
        <f t="shared" si="8"/>
        <v>-1.1280268374569859E-2</v>
      </c>
      <c r="N103" s="11">
        <f t="shared" si="8"/>
        <v>8.9102467443454084E-3</v>
      </c>
      <c r="O103" s="11">
        <f t="shared" si="7"/>
        <v>-9.5911323770796735E-3</v>
      </c>
      <c r="P103" s="11">
        <f t="shared" si="7"/>
        <v>-2.1438098322380427E-2</v>
      </c>
      <c r="Q103" s="11">
        <f t="shared" si="7"/>
        <v>1.3686998019118768E-2</v>
      </c>
      <c r="R103" s="11">
        <f t="shared" si="4"/>
        <v>-2.1097467464242614E-3</v>
      </c>
      <c r="S103" s="11">
        <f t="shared" si="4"/>
        <v>-2.6262036766852466E-3</v>
      </c>
      <c r="T103" s="11">
        <f t="shared" si="4"/>
        <v>-1.4354066985645933E-2</v>
      </c>
      <c r="U103" s="11">
        <f t="shared" si="6"/>
        <v>-2.2450264749880179E-3</v>
      </c>
    </row>
    <row r="104" spans="1:21" x14ac:dyDescent="0.2">
      <c r="A104" s="1">
        <v>44294</v>
      </c>
      <c r="B104" s="3">
        <v>73.129997000000003</v>
      </c>
      <c r="C104" s="3">
        <v>18.616667</v>
      </c>
      <c r="D104" s="3">
        <v>29.18</v>
      </c>
      <c r="E104" s="3">
        <v>63.599997999999999</v>
      </c>
      <c r="F104" s="3">
        <v>22.389999</v>
      </c>
      <c r="G104" s="3">
        <v>23.379999000000002</v>
      </c>
      <c r="H104" s="3">
        <v>23.700001</v>
      </c>
      <c r="I104" s="3">
        <v>34.270000000000003</v>
      </c>
      <c r="J104" s="3">
        <v>104.5</v>
      </c>
      <c r="L104" s="11">
        <f t="shared" si="8"/>
        <v>1.9944212828907189E-2</v>
      </c>
      <c r="M104" s="11">
        <f t="shared" si="8"/>
        <v>1.6378581123879105E-2</v>
      </c>
      <c r="N104" s="11">
        <f t="shared" si="8"/>
        <v>1.2140131807145385E-2</v>
      </c>
      <c r="O104" s="11">
        <f t="shared" si="7"/>
        <v>1.9230704511836373E-2</v>
      </c>
      <c r="P104" s="11">
        <f t="shared" si="7"/>
        <v>9.0129784131150244E-3</v>
      </c>
      <c r="Q104" s="11">
        <f t="shared" si="7"/>
        <v>-2.5427303042934429E-2</v>
      </c>
      <c r="R104" s="11">
        <f t="shared" si="4"/>
        <v>-1.249995833333332E-2</v>
      </c>
      <c r="S104" s="11">
        <f t="shared" si="4"/>
        <v>-1.438021282714984E-2</v>
      </c>
      <c r="T104" s="11">
        <f t="shared" si="4"/>
        <v>-5.7381408901703611E-4</v>
      </c>
      <c r="U104" s="11">
        <f t="shared" si="6"/>
        <v>2.6472578213831612E-3</v>
      </c>
    </row>
    <row r="105" spans="1:21" x14ac:dyDescent="0.2">
      <c r="A105" s="1">
        <v>44293</v>
      </c>
      <c r="B105" s="3">
        <v>71.699996999999996</v>
      </c>
      <c r="C105" s="3">
        <v>18.316666000000001</v>
      </c>
      <c r="D105" s="3">
        <v>28.83</v>
      </c>
      <c r="E105" s="3">
        <v>62.400002000000001</v>
      </c>
      <c r="F105" s="3">
        <v>22.190000999999999</v>
      </c>
      <c r="G105" s="3">
        <v>23.99</v>
      </c>
      <c r="H105" s="3">
        <v>24</v>
      </c>
      <c r="I105" s="3">
        <v>34.770000000000003</v>
      </c>
      <c r="J105" s="3">
        <v>104.55999799999999</v>
      </c>
      <c r="L105" s="11">
        <f t="shared" si="8"/>
        <v>-1.7673668109978627E-2</v>
      </c>
      <c r="M105" s="11">
        <f t="shared" si="8"/>
        <v>-2.179099288558221E-3</v>
      </c>
      <c r="N105" s="11">
        <f t="shared" si="8"/>
        <v>8.041958041957932E-3</v>
      </c>
      <c r="O105" s="11">
        <f t="shared" si="7"/>
        <v>6.4145284410761522E-4</v>
      </c>
      <c r="P105" s="11">
        <f t="shared" si="7"/>
        <v>-2.2466959362689082E-2</v>
      </c>
      <c r="Q105" s="11">
        <f t="shared" si="7"/>
        <v>-1.1536876802637047E-2</v>
      </c>
      <c r="R105" s="11">
        <f t="shared" si="4"/>
        <v>-8.3263946711072329E-4</v>
      </c>
      <c r="S105" s="11">
        <f t="shared" si="4"/>
        <v>-4.2954756182974731E-3</v>
      </c>
      <c r="T105" s="11">
        <f t="shared" si="4"/>
        <v>2.4595736660585784E-2</v>
      </c>
      <c r="U105" s="11">
        <f t="shared" si="6"/>
        <v>-2.8561745669577611E-3</v>
      </c>
    </row>
    <row r="106" spans="1:21" x14ac:dyDescent="0.2">
      <c r="A106" s="1">
        <v>44292</v>
      </c>
      <c r="B106" s="3">
        <v>72.989998</v>
      </c>
      <c r="C106" s="3">
        <v>18.356667000000002</v>
      </c>
      <c r="D106" s="3">
        <v>28.6</v>
      </c>
      <c r="E106" s="3">
        <v>62.360000999999997</v>
      </c>
      <c r="F106" s="3">
        <v>22.700001</v>
      </c>
      <c r="G106" s="3">
        <v>24.27</v>
      </c>
      <c r="H106" s="3">
        <v>24.02</v>
      </c>
      <c r="I106" s="3">
        <v>34.919998</v>
      </c>
      <c r="J106" s="3">
        <v>102.050003</v>
      </c>
      <c r="L106" s="11">
        <f t="shared" si="8"/>
        <v>2.7593960686948568E-2</v>
      </c>
      <c r="M106" s="11">
        <f t="shared" si="8"/>
        <v>1.3807068965260143E-2</v>
      </c>
      <c r="N106" s="11">
        <f t="shared" si="8"/>
        <v>1.8518518518518632E-2</v>
      </c>
      <c r="O106" s="11">
        <f t="shared" si="7"/>
        <v>1.3489387509985176E-2</v>
      </c>
      <c r="P106" s="11">
        <f t="shared" si="7"/>
        <v>-6.1295534150612755E-3</v>
      </c>
      <c r="Q106" s="11">
        <f t="shared" si="7"/>
        <v>-1.1405255047057236E-2</v>
      </c>
      <c r="R106" s="11">
        <f t="shared" si="4"/>
        <v>-8.3198831813695025E-4</v>
      </c>
      <c r="S106" s="11">
        <f t="shared" si="4"/>
        <v>4.2699191239224256E-2</v>
      </c>
      <c r="T106" s="11">
        <f t="shared" si="4"/>
        <v>-1.2960595927658334E-2</v>
      </c>
      <c r="U106" s="11">
        <f t="shared" si="6"/>
        <v>9.4200815791136636E-3</v>
      </c>
    </row>
    <row r="107" spans="1:21" x14ac:dyDescent="0.2">
      <c r="A107" s="1">
        <v>44291</v>
      </c>
      <c r="B107" s="3">
        <v>71.029999000000004</v>
      </c>
      <c r="C107" s="3">
        <v>18.106667000000002</v>
      </c>
      <c r="D107" s="3">
        <v>28.08</v>
      </c>
      <c r="E107" s="3">
        <v>61.529998999999997</v>
      </c>
      <c r="F107" s="3">
        <v>22.84</v>
      </c>
      <c r="G107" s="3">
        <v>24.549999</v>
      </c>
      <c r="H107" s="3">
        <v>24.040001</v>
      </c>
      <c r="I107" s="3">
        <v>33.490001999999997</v>
      </c>
      <c r="J107" s="3">
        <v>103.389999</v>
      </c>
      <c r="L107" s="11">
        <f t="shared" si="8"/>
        <v>1.602052547443715E-2</v>
      </c>
      <c r="M107" s="11">
        <f t="shared" si="8"/>
        <v>1.3243759751328675E-2</v>
      </c>
      <c r="N107" s="11">
        <f t="shared" si="8"/>
        <v>1.0695544053316583E-3</v>
      </c>
      <c r="O107" s="11">
        <f t="shared" si="7"/>
        <v>2.481675508299875E-2</v>
      </c>
      <c r="P107" s="11">
        <f t="shared" si="7"/>
        <v>1.9642857142857201E-2</v>
      </c>
      <c r="Q107" s="11">
        <f t="shared" si="7"/>
        <v>1.4882099426122428E-2</v>
      </c>
      <c r="R107" s="11">
        <f t="shared" si="4"/>
        <v>6.2788617111286041E-3</v>
      </c>
      <c r="S107" s="11">
        <f t="shared" si="4"/>
        <v>2.99499859224296E-3</v>
      </c>
      <c r="T107" s="11">
        <f t="shared" si="4"/>
        <v>6.1607968596446946E-2</v>
      </c>
      <c r="U107" s="11">
        <f t="shared" si="6"/>
        <v>1.7839708909210484E-2</v>
      </c>
    </row>
    <row r="108" spans="1:21" x14ac:dyDescent="0.2">
      <c r="A108" s="1">
        <v>44287</v>
      </c>
      <c r="B108" s="3">
        <v>69.910004000000001</v>
      </c>
      <c r="C108" s="3">
        <v>17.870000999999998</v>
      </c>
      <c r="D108" s="3">
        <v>28.049999</v>
      </c>
      <c r="E108" s="3">
        <v>60.040000999999997</v>
      </c>
      <c r="F108" s="3">
        <v>22.4</v>
      </c>
      <c r="G108" s="3">
        <v>24.190000999999999</v>
      </c>
      <c r="H108" s="3">
        <v>23.889999</v>
      </c>
      <c r="I108" s="3">
        <v>33.389999000000003</v>
      </c>
      <c r="J108" s="3">
        <v>97.389999000000003</v>
      </c>
      <c r="L108" s="11">
        <f t="shared" si="8"/>
        <v>-6.2543569652979761E-3</v>
      </c>
      <c r="M108" s="11">
        <f t="shared" si="8"/>
        <v>-1.8491358138202945E-2</v>
      </c>
      <c r="N108" s="11">
        <f t="shared" si="8"/>
        <v>1.5200869171222124E-2</v>
      </c>
      <c r="O108" s="11">
        <f t="shared" si="7"/>
        <v>5.1900385066130884E-3</v>
      </c>
      <c r="P108" s="11">
        <f t="shared" si="7"/>
        <v>1.7888639629308656E-3</v>
      </c>
      <c r="Q108" s="11">
        <f t="shared" si="7"/>
        <v>-1.2249857084524283E-2</v>
      </c>
      <c r="R108" s="11">
        <f t="shared" si="4"/>
        <v>-8.7137344398341022E-3</v>
      </c>
      <c r="S108" s="11">
        <f t="shared" si="4"/>
        <v>-2.2827013334914346E-2</v>
      </c>
      <c r="T108" s="11">
        <f t="shared" si="4"/>
        <v>-5.9202000008144661E-3</v>
      </c>
      <c r="U108" s="11">
        <f t="shared" si="6"/>
        <v>-5.8085275914246705E-3</v>
      </c>
    </row>
    <row r="109" spans="1:21" x14ac:dyDescent="0.2">
      <c r="A109" s="1">
        <v>44286</v>
      </c>
      <c r="B109" s="3">
        <v>70.349997999999999</v>
      </c>
      <c r="C109" s="3">
        <v>18.206666999999999</v>
      </c>
      <c r="D109" s="3">
        <v>27.629999000000002</v>
      </c>
      <c r="E109" s="3">
        <v>59.73</v>
      </c>
      <c r="F109" s="3">
        <v>22.360001</v>
      </c>
      <c r="G109" s="3">
        <v>24.49</v>
      </c>
      <c r="H109" s="3">
        <v>24.1</v>
      </c>
      <c r="I109" s="3">
        <v>34.169998</v>
      </c>
      <c r="J109" s="3">
        <v>97.970000999999996</v>
      </c>
      <c r="L109" s="11">
        <f t="shared" si="8"/>
        <v>-6.3560025555366769E-3</v>
      </c>
      <c r="M109" s="11">
        <f t="shared" si="8"/>
        <v>2.0934674462405618E-2</v>
      </c>
      <c r="N109" s="11">
        <f t="shared" si="8"/>
        <v>-2.4364442090395438E-2</v>
      </c>
      <c r="O109" s="11">
        <f t="shared" si="7"/>
        <v>-1.1705518590393758E-3</v>
      </c>
      <c r="P109" s="11">
        <f t="shared" si="7"/>
        <v>-6.2221777777777577E-3</v>
      </c>
      <c r="Q109" s="11">
        <f t="shared" si="7"/>
        <v>-1.4090177133655452E-2</v>
      </c>
      <c r="R109" s="11">
        <f t="shared" si="4"/>
        <v>1.1330255979857455E-2</v>
      </c>
      <c r="S109" s="11">
        <f t="shared" si="4"/>
        <v>-2.815705346985202E-2</v>
      </c>
      <c r="T109" s="11">
        <f t="shared" si="4"/>
        <v>9.2716699289173091E-3</v>
      </c>
      <c r="U109" s="11">
        <f t="shared" si="6"/>
        <v>-4.3137560572307047E-3</v>
      </c>
    </row>
    <row r="110" spans="1:21" x14ac:dyDescent="0.2">
      <c r="A110" s="1">
        <v>44285</v>
      </c>
      <c r="B110" s="3">
        <v>70.800003000000004</v>
      </c>
      <c r="C110" s="3">
        <v>17.833331999999999</v>
      </c>
      <c r="D110" s="3">
        <v>28.32</v>
      </c>
      <c r="E110" s="3">
        <v>59.799999</v>
      </c>
      <c r="F110" s="3">
        <v>22.5</v>
      </c>
      <c r="G110" s="3">
        <v>24.84</v>
      </c>
      <c r="H110" s="3">
        <v>23.83</v>
      </c>
      <c r="I110" s="3">
        <v>35.159999999999997</v>
      </c>
      <c r="J110" s="3">
        <v>97.07</v>
      </c>
      <c r="L110" s="11">
        <f t="shared" si="8"/>
        <v>2.4453797938738375E-2</v>
      </c>
      <c r="M110" s="11">
        <f t="shared" si="8"/>
        <v>-1.8657648905641439E-3</v>
      </c>
      <c r="N110" s="11">
        <f t="shared" si="8"/>
        <v>-1.0827768453641973E-2</v>
      </c>
      <c r="O110" s="11">
        <f t="shared" si="7"/>
        <v>3.909643855945158E-2</v>
      </c>
      <c r="P110" s="11">
        <f t="shared" si="7"/>
        <v>3.9260969976905383E-2</v>
      </c>
      <c r="Q110" s="11">
        <f t="shared" si="7"/>
        <v>5.612244897959185E-2</v>
      </c>
      <c r="R110" s="11">
        <f t="shared" si="4"/>
        <v>0</v>
      </c>
      <c r="S110" s="11">
        <f t="shared" si="4"/>
        <v>5.5354293181864835E-2</v>
      </c>
      <c r="T110" s="11">
        <f t="shared" si="4"/>
        <v>-9.2876400503886826E-3</v>
      </c>
      <c r="U110" s="11">
        <f t="shared" si="6"/>
        <v>2.1367419471328579E-2</v>
      </c>
    </row>
    <row r="111" spans="1:21" x14ac:dyDescent="0.2">
      <c r="A111" s="1">
        <v>44284</v>
      </c>
      <c r="B111" s="3">
        <v>69.110000999999997</v>
      </c>
      <c r="C111" s="3">
        <v>17.866667</v>
      </c>
      <c r="D111" s="3">
        <v>28.629999000000002</v>
      </c>
      <c r="E111" s="3">
        <v>57.549999</v>
      </c>
      <c r="F111" s="3">
        <v>21.65</v>
      </c>
      <c r="G111" s="3">
        <v>23.52</v>
      </c>
      <c r="H111" s="3">
        <v>23.83</v>
      </c>
      <c r="I111" s="3">
        <v>33.315826000000001</v>
      </c>
      <c r="J111" s="3">
        <v>97.980002999999996</v>
      </c>
      <c r="L111" s="11">
        <f t="shared" si="8"/>
        <v>-1.9716297872340468E-2</v>
      </c>
      <c r="M111" s="11">
        <f t="shared" si="8"/>
        <v>-7.5910948040063195E-3</v>
      </c>
      <c r="N111" s="11">
        <f t="shared" si="8"/>
        <v>4.2090143809189748E-3</v>
      </c>
      <c r="O111" s="11">
        <f t="shared" si="7"/>
        <v>2.0894828486853556E-3</v>
      </c>
      <c r="P111" s="11">
        <f t="shared" si="7"/>
        <v>2.3148148148146833E-3</v>
      </c>
      <c r="Q111" s="11">
        <f t="shared" si="7"/>
        <v>-6.7567567567567632E-3</v>
      </c>
      <c r="R111" s="11">
        <f t="shared" si="4"/>
        <v>1.5771569299725823E-2</v>
      </c>
      <c r="S111" s="11">
        <f t="shared" si="4"/>
        <v>-3.0460931279790947E-2</v>
      </c>
      <c r="T111" s="11">
        <f t="shared" si="4"/>
        <v>2.5646435943121833E-2</v>
      </c>
      <c r="U111" s="11">
        <f t="shared" si="6"/>
        <v>-1.6104181584030925E-3</v>
      </c>
    </row>
    <row r="112" spans="1:21" x14ac:dyDescent="0.2">
      <c r="A112" s="1">
        <v>44281</v>
      </c>
      <c r="B112" s="3">
        <v>70.5</v>
      </c>
      <c r="C112" s="3">
        <v>18.003332</v>
      </c>
      <c r="D112" s="3">
        <v>28.51</v>
      </c>
      <c r="E112" s="3">
        <v>57.43</v>
      </c>
      <c r="F112" s="3">
        <v>21.6</v>
      </c>
      <c r="G112" s="3">
        <v>23.68</v>
      </c>
      <c r="H112" s="3">
        <v>23.459999</v>
      </c>
      <c r="I112" s="3">
        <v>34.362541</v>
      </c>
      <c r="J112" s="3">
        <v>95.529999000000004</v>
      </c>
      <c r="L112" s="11">
        <f t="shared" si="8"/>
        <v>9.5947011429271742E-3</v>
      </c>
      <c r="M112" s="11">
        <f t="shared" si="8"/>
        <v>4.2766457521995144E-3</v>
      </c>
      <c r="N112" s="11">
        <f t="shared" si="8"/>
        <v>-1.4010158108936578E-3</v>
      </c>
      <c r="O112" s="11">
        <f t="shared" si="7"/>
        <v>1.109156709668252E-2</v>
      </c>
      <c r="P112" s="11">
        <f t="shared" si="7"/>
        <v>-7.3529411764705942E-3</v>
      </c>
      <c r="Q112" s="11">
        <f t="shared" si="7"/>
        <v>8.4530853761621188E-4</v>
      </c>
      <c r="R112" s="11">
        <f t="shared" si="7"/>
        <v>1.1206809861775415E-2</v>
      </c>
      <c r="S112" s="11">
        <f t="shared" si="7"/>
        <v>-1.0857796336863635E-2</v>
      </c>
      <c r="T112" s="11">
        <f t="shared" si="7"/>
        <v>3.3427054664061956E-2</v>
      </c>
      <c r="U112" s="11">
        <f t="shared" si="6"/>
        <v>5.6478148590038786E-3</v>
      </c>
    </row>
    <row r="113" spans="1:21" x14ac:dyDescent="0.2">
      <c r="A113" s="1">
        <v>44280</v>
      </c>
      <c r="B113" s="3">
        <v>69.830001999999993</v>
      </c>
      <c r="C113" s="3">
        <v>17.926666000000001</v>
      </c>
      <c r="D113" s="3">
        <v>28.549999</v>
      </c>
      <c r="E113" s="3">
        <v>56.799999</v>
      </c>
      <c r="F113" s="3">
        <v>21.76</v>
      </c>
      <c r="G113" s="3">
        <v>23.66</v>
      </c>
      <c r="H113" s="3">
        <v>23.200001</v>
      </c>
      <c r="I113" s="3">
        <v>34.739738000000003</v>
      </c>
      <c r="J113" s="3">
        <v>92.440002000000007</v>
      </c>
      <c r="L113" s="11">
        <f t="shared" si="8"/>
        <v>1.0856977103156425E-2</v>
      </c>
      <c r="M113" s="11">
        <f t="shared" si="8"/>
        <v>-1.8594534300049291E-4</v>
      </c>
      <c r="N113" s="11">
        <f t="shared" si="8"/>
        <v>-5.2265503405383379E-3</v>
      </c>
      <c r="O113" s="11">
        <f t="shared" si="7"/>
        <v>3.0292000176092862E-2</v>
      </c>
      <c r="P113" s="11">
        <f t="shared" si="7"/>
        <v>1.4925325796393519E-2</v>
      </c>
      <c r="Q113" s="11">
        <f t="shared" si="7"/>
        <v>1.4144877839691464E-2</v>
      </c>
      <c r="R113" s="11">
        <f t="shared" si="7"/>
        <v>1.6652103418054339E-2</v>
      </c>
      <c r="S113" s="11">
        <f t="shared" si="7"/>
        <v>-3.0015820019613552E-2</v>
      </c>
      <c r="T113" s="11">
        <f t="shared" si="7"/>
        <v>-7.622114704839123E-3</v>
      </c>
      <c r="U113" s="11">
        <f t="shared" si="6"/>
        <v>4.868983769488567E-3</v>
      </c>
    </row>
    <row r="114" spans="1:21" x14ac:dyDescent="0.2">
      <c r="A114" s="1">
        <v>44279</v>
      </c>
      <c r="B114" s="3">
        <v>69.080001999999993</v>
      </c>
      <c r="C114" s="3">
        <v>17.93</v>
      </c>
      <c r="D114" s="3">
        <v>28.700001</v>
      </c>
      <c r="E114" s="3">
        <v>55.130001</v>
      </c>
      <c r="F114" s="3">
        <v>21.440000999999999</v>
      </c>
      <c r="G114" s="3">
        <v>23.33</v>
      </c>
      <c r="H114" s="3">
        <v>22.82</v>
      </c>
      <c r="I114" s="3">
        <v>35.814746999999997</v>
      </c>
      <c r="J114" s="3">
        <v>93.150002000000001</v>
      </c>
      <c r="L114" s="11">
        <f t="shared" si="8"/>
        <v>-5.9240065368378225E-2</v>
      </c>
      <c r="M114" s="11">
        <f t="shared" si="8"/>
        <v>-7.0148612714473653E-3</v>
      </c>
      <c r="N114" s="11">
        <f t="shared" si="8"/>
        <v>6.3113955119214844E-3</v>
      </c>
      <c r="O114" s="11">
        <f t="shared" si="7"/>
        <v>-2.5110486739354312E-2</v>
      </c>
      <c r="P114" s="11">
        <f t="shared" si="7"/>
        <v>-2.5011323328785799E-2</v>
      </c>
      <c r="Q114" s="11">
        <f t="shared" si="7"/>
        <v>-8.9210276584101196E-3</v>
      </c>
      <c r="R114" s="11">
        <f t="shared" si="7"/>
        <v>8.7723688058059129E-4</v>
      </c>
      <c r="S114" s="11">
        <f t="shared" si="7"/>
        <v>-3.7750226673687715E-2</v>
      </c>
      <c r="T114" s="11">
        <f t="shared" si="7"/>
        <v>2.2951944277442304E-2</v>
      </c>
      <c r="U114" s="11">
        <f t="shared" si="6"/>
        <v>-1.4767490485568795E-2</v>
      </c>
    </row>
    <row r="115" spans="1:21" x14ac:dyDescent="0.2">
      <c r="A115" s="1">
        <v>44278</v>
      </c>
      <c r="B115" s="3">
        <v>73.430000000000007</v>
      </c>
      <c r="C115" s="3">
        <v>18.056664999999999</v>
      </c>
      <c r="D115" s="3">
        <v>28.52</v>
      </c>
      <c r="E115" s="3">
        <v>56.549999</v>
      </c>
      <c r="F115" s="3">
        <v>21.99</v>
      </c>
      <c r="G115" s="3">
        <v>23.540001</v>
      </c>
      <c r="H115" s="3">
        <v>22.799999</v>
      </c>
      <c r="I115" s="3">
        <v>37.219802999999999</v>
      </c>
      <c r="J115" s="3">
        <v>91.059997999999993</v>
      </c>
      <c r="L115" s="11">
        <f t="shared" si="8"/>
        <v>1.5208046033235471E-2</v>
      </c>
      <c r="M115" s="11">
        <f t="shared" si="8"/>
        <v>-1.5449018538713249E-2</v>
      </c>
      <c r="N115" s="11">
        <f t="shared" si="8"/>
        <v>2.108257277169959E-3</v>
      </c>
      <c r="O115" s="11">
        <f t="shared" si="7"/>
        <v>-2.2302921853388721E-2</v>
      </c>
      <c r="P115" s="11">
        <f t="shared" si="7"/>
        <v>-9.9054034176229086E-3</v>
      </c>
      <c r="Q115" s="11">
        <f t="shared" si="7"/>
        <v>9.0013287612516878E-3</v>
      </c>
      <c r="R115" s="11">
        <f t="shared" si="7"/>
        <v>-3.0612287414965984E-2</v>
      </c>
      <c r="S115" s="11">
        <f t="shared" si="7"/>
        <v>3.8148672942709782E-3</v>
      </c>
      <c r="T115" s="11">
        <f t="shared" si="7"/>
        <v>-2.3066205590239339E-2</v>
      </c>
      <c r="U115" s="11">
        <f t="shared" si="6"/>
        <v>-7.9114819387780134E-3</v>
      </c>
    </row>
    <row r="116" spans="1:21" x14ac:dyDescent="0.2">
      <c r="A116" s="1">
        <v>44277</v>
      </c>
      <c r="B116" s="3">
        <v>72.330001999999993</v>
      </c>
      <c r="C116" s="3">
        <v>18.34</v>
      </c>
      <c r="D116" s="3">
        <v>28.459999</v>
      </c>
      <c r="E116" s="3">
        <v>57.84</v>
      </c>
      <c r="F116" s="3">
        <v>22.209999</v>
      </c>
      <c r="G116" s="3">
        <v>23.33</v>
      </c>
      <c r="H116" s="3">
        <v>23.52</v>
      </c>
      <c r="I116" s="3">
        <v>37.078353999999997</v>
      </c>
      <c r="J116" s="3">
        <v>93.209998999999996</v>
      </c>
      <c r="L116" s="11">
        <f t="shared" si="8"/>
        <v>-6.8653025713221877E-3</v>
      </c>
      <c r="M116" s="11">
        <f t="shared" si="8"/>
        <v>-1.1142973682869723E-2</v>
      </c>
      <c r="N116" s="11">
        <f t="shared" si="8"/>
        <v>6.364851260083096E-3</v>
      </c>
      <c r="O116" s="11">
        <f t="shared" si="7"/>
        <v>-2.4620556907597863E-2</v>
      </c>
      <c r="P116" s="11">
        <f t="shared" si="7"/>
        <v>3.1616984264543229E-3</v>
      </c>
      <c r="Q116" s="11">
        <f t="shared" si="7"/>
        <v>-3.4173430158052904E-3</v>
      </c>
      <c r="R116" s="11">
        <f t="shared" si="7"/>
        <v>-2.0000000000000018E-2</v>
      </c>
      <c r="S116" s="11">
        <f t="shared" si="7"/>
        <v>1.0183411007489828E-3</v>
      </c>
      <c r="T116" s="11">
        <f t="shared" si="7"/>
        <v>-1.6564676266772351E-2</v>
      </c>
      <c r="U116" s="11">
        <f t="shared" si="6"/>
        <v>-8.0073290730090039E-3</v>
      </c>
    </row>
    <row r="117" spans="1:21" x14ac:dyDescent="0.2">
      <c r="A117" s="1">
        <v>44274</v>
      </c>
      <c r="B117" s="3">
        <v>72.830001999999993</v>
      </c>
      <c r="C117" s="3">
        <v>18.546665000000001</v>
      </c>
      <c r="D117" s="3">
        <v>28.280000999999999</v>
      </c>
      <c r="E117" s="3">
        <v>59.299999</v>
      </c>
      <c r="F117" s="3">
        <v>22.139999</v>
      </c>
      <c r="G117" s="3">
        <v>23.41</v>
      </c>
      <c r="H117" s="3">
        <v>24</v>
      </c>
      <c r="I117" s="3">
        <v>37.040633999999997</v>
      </c>
      <c r="J117" s="3">
        <v>94.779999000000004</v>
      </c>
      <c r="L117" s="11">
        <f t="shared" si="8"/>
        <v>-1.9185829530138432E-3</v>
      </c>
      <c r="M117" s="11">
        <f t="shared" si="8"/>
        <v>3.5548017867113382E-2</v>
      </c>
      <c r="N117" s="11">
        <f t="shared" si="8"/>
        <v>-1.0842917103882519E-2</v>
      </c>
      <c r="O117" s="11">
        <f t="shared" si="7"/>
        <v>2.6839809523809519E-2</v>
      </c>
      <c r="P117" s="11">
        <f t="shared" si="7"/>
        <v>2.0276404595557355E-2</v>
      </c>
      <c r="Q117" s="11">
        <f t="shared" si="7"/>
        <v>4.9775831828512661E-2</v>
      </c>
      <c r="R117" s="11">
        <f t="shared" si="7"/>
        <v>3.2702237521514702E-2</v>
      </c>
      <c r="S117" s="11">
        <f t="shared" si="7"/>
        <v>7.9714096367789006E-2</v>
      </c>
      <c r="T117" s="11">
        <f t="shared" si="7"/>
        <v>-1.4351132930485289E-2</v>
      </c>
      <c r="U117" s="11">
        <f t="shared" si="6"/>
        <v>2.4193751635212771E-2</v>
      </c>
    </row>
    <row r="118" spans="1:21" x14ac:dyDescent="0.2">
      <c r="A118" s="1">
        <v>44273</v>
      </c>
      <c r="B118" s="3">
        <v>72.970000999999996</v>
      </c>
      <c r="C118" s="3">
        <v>17.91</v>
      </c>
      <c r="D118" s="3">
        <v>28.59</v>
      </c>
      <c r="E118" s="3">
        <v>57.75</v>
      </c>
      <c r="F118" s="3">
        <v>21.700001</v>
      </c>
      <c r="G118" s="3">
        <v>22.299999</v>
      </c>
      <c r="H118" s="3">
        <v>23.24</v>
      </c>
      <c r="I118" s="3">
        <v>34.305965</v>
      </c>
      <c r="J118" s="3">
        <v>96.160004000000001</v>
      </c>
      <c r="L118" s="11">
        <f t="shared" si="8"/>
        <v>-2.0010717432322286E-2</v>
      </c>
      <c r="M118" s="11">
        <f t="shared" si="8"/>
        <v>1.4730878186968928E-2</v>
      </c>
      <c r="N118" s="11">
        <f t="shared" si="8"/>
        <v>-3.2814581624309301E-2</v>
      </c>
      <c r="O118" s="11">
        <f t="shared" si="7"/>
        <v>-3.3957829273299198E-2</v>
      </c>
      <c r="P118" s="11">
        <f t="shared" si="7"/>
        <v>-4.1942560706401691E-2</v>
      </c>
      <c r="Q118" s="11">
        <f t="shared" si="7"/>
        <v>-2.8322525999018501E-2</v>
      </c>
      <c r="R118" s="11">
        <f t="shared" si="7"/>
        <v>-3.4883720930232558E-2</v>
      </c>
      <c r="S118" s="11">
        <f t="shared" si="7"/>
        <v>2.5655556493001823E-2</v>
      </c>
      <c r="T118" s="11">
        <f t="shared" si="7"/>
        <v>-1.7773217205858689E-2</v>
      </c>
      <c r="U118" s="11">
        <f t="shared" si="6"/>
        <v>-1.881319094349683E-2</v>
      </c>
    </row>
    <row r="119" spans="1:21" x14ac:dyDescent="0.2">
      <c r="A119" s="1">
        <v>44272</v>
      </c>
      <c r="B119" s="3">
        <v>74.459998999999996</v>
      </c>
      <c r="C119" s="3">
        <v>17.649999999999999</v>
      </c>
      <c r="D119" s="3">
        <v>29.559999000000001</v>
      </c>
      <c r="E119" s="3">
        <v>59.779998999999997</v>
      </c>
      <c r="F119" s="3">
        <v>22.65</v>
      </c>
      <c r="G119" s="3">
        <v>22.950001</v>
      </c>
      <c r="H119" s="3">
        <v>24.08</v>
      </c>
      <c r="I119" s="3">
        <v>33.447842000000001</v>
      </c>
      <c r="J119" s="3">
        <v>97.900002000000001</v>
      </c>
      <c r="L119" s="11">
        <f t="shared" si="8"/>
        <v>1.52713807074655E-2</v>
      </c>
      <c r="M119" s="11">
        <f t="shared" si="8"/>
        <v>9.5328499701486762E-3</v>
      </c>
      <c r="N119" s="11">
        <f t="shared" si="8"/>
        <v>-1.6886861976127326E-3</v>
      </c>
      <c r="O119" s="11">
        <f t="shared" si="7"/>
        <v>3.0689637931034422E-2</v>
      </c>
      <c r="P119" s="11">
        <f t="shared" si="7"/>
        <v>1.2969543248231434E-2</v>
      </c>
      <c r="Q119" s="11">
        <f t="shared" si="7"/>
        <v>1.235116894574321E-2</v>
      </c>
      <c r="R119" s="11">
        <f t="shared" si="7"/>
        <v>3.4364216736932261E-2</v>
      </c>
      <c r="S119" s="11">
        <f t="shared" si="7"/>
        <v>8.7703111581182366E-2</v>
      </c>
      <c r="T119" s="11">
        <f t="shared" si="7"/>
        <v>1.4402652276393079E-2</v>
      </c>
      <c r="U119" s="11">
        <f t="shared" si="6"/>
        <v>2.3955097244390915E-2</v>
      </c>
    </row>
    <row r="120" spans="1:21" x14ac:dyDescent="0.2">
      <c r="A120" s="1">
        <v>44271</v>
      </c>
      <c r="B120" s="3">
        <v>73.339995999999999</v>
      </c>
      <c r="C120" s="3">
        <v>17.483333999999999</v>
      </c>
      <c r="D120" s="3">
        <v>29.610001</v>
      </c>
      <c r="E120" s="3">
        <v>58</v>
      </c>
      <c r="F120" s="3">
        <v>22.360001</v>
      </c>
      <c r="G120" s="3">
        <v>22.67</v>
      </c>
      <c r="H120" s="3">
        <v>23.280000999999999</v>
      </c>
      <c r="I120" s="3">
        <v>30.750893000000001</v>
      </c>
      <c r="J120" s="3">
        <v>96.510002</v>
      </c>
      <c r="L120" s="11">
        <f t="shared" si="8"/>
        <v>-3.126328666575967E-3</v>
      </c>
      <c r="M120" s="11">
        <f t="shared" si="8"/>
        <v>-2.509282714444816E-2</v>
      </c>
      <c r="N120" s="11">
        <f t="shared" si="8"/>
        <v>4.3708140863301416E-2</v>
      </c>
      <c r="O120" s="11">
        <f t="shared" si="7"/>
        <v>-2.2581732389619202E-2</v>
      </c>
      <c r="P120" s="11">
        <f t="shared" si="7"/>
        <v>7.6611082622304394E-3</v>
      </c>
      <c r="Q120" s="11">
        <f t="shared" si="7"/>
        <v>-4.0220193047409133E-2</v>
      </c>
      <c r="R120" s="11">
        <f t="shared" si="7"/>
        <v>-1.564477801268499E-2</v>
      </c>
      <c r="S120" s="11">
        <f t="shared" si="7"/>
        <v>-2.752291316815769E-3</v>
      </c>
      <c r="T120" s="11">
        <f t="shared" si="7"/>
        <v>-3.2017971493492371E-3</v>
      </c>
      <c r="U120" s="11">
        <f t="shared" si="6"/>
        <v>-6.8056331779300667E-3</v>
      </c>
    </row>
    <row r="121" spans="1:21" x14ac:dyDescent="0.2">
      <c r="A121" s="1">
        <v>44270</v>
      </c>
      <c r="B121" s="3">
        <v>73.569999999999993</v>
      </c>
      <c r="C121" s="3">
        <v>17.933332</v>
      </c>
      <c r="D121" s="3">
        <v>28.370000999999998</v>
      </c>
      <c r="E121" s="3">
        <v>59.34</v>
      </c>
      <c r="F121" s="3">
        <v>22.190000999999999</v>
      </c>
      <c r="G121" s="3">
        <v>23.620000999999998</v>
      </c>
      <c r="H121" s="3">
        <v>23.65</v>
      </c>
      <c r="I121" s="3">
        <v>30.835761999999999</v>
      </c>
      <c r="J121" s="3">
        <v>96.82</v>
      </c>
      <c r="L121" s="11">
        <f t="shared" si="8"/>
        <v>7.946321631629491E-3</v>
      </c>
      <c r="M121" s="11">
        <f t="shared" si="8"/>
        <v>-2.782806238113375E-2</v>
      </c>
      <c r="N121" s="11">
        <f t="shared" si="8"/>
        <v>-3.5033979591836739E-2</v>
      </c>
      <c r="O121" s="11">
        <f t="shared" si="7"/>
        <v>-2.6890756302520437E-3</v>
      </c>
      <c r="P121" s="11">
        <f t="shared" si="7"/>
        <v>2.3996354407014166E-2</v>
      </c>
      <c r="Q121" s="11">
        <f t="shared" si="7"/>
        <v>1.7664886586164809E-2</v>
      </c>
      <c r="R121" s="11">
        <f t="shared" si="7"/>
        <v>2.0716443677168617E-2</v>
      </c>
      <c r="S121" s="11">
        <f t="shared" si="7"/>
        <v>2.5399858652280404E-2</v>
      </c>
      <c r="T121" s="11">
        <f t="shared" si="7"/>
        <v>-5.954845873617204E-3</v>
      </c>
      <c r="U121" s="11">
        <f t="shared" si="6"/>
        <v>2.6908779419353062E-3</v>
      </c>
    </row>
    <row r="122" spans="1:21" x14ac:dyDescent="0.2">
      <c r="A122" s="1">
        <v>44267</v>
      </c>
      <c r="B122" s="3">
        <v>72.989998</v>
      </c>
      <c r="C122" s="3">
        <v>18.446667000000001</v>
      </c>
      <c r="D122" s="3">
        <v>29.4</v>
      </c>
      <c r="E122" s="3">
        <v>59.5</v>
      </c>
      <c r="F122" s="3">
        <v>21.67</v>
      </c>
      <c r="G122" s="3">
        <v>23.209999</v>
      </c>
      <c r="H122" s="3">
        <v>23.17</v>
      </c>
      <c r="I122" s="3">
        <v>30.071939</v>
      </c>
      <c r="J122" s="3">
        <v>97.400002000000001</v>
      </c>
      <c r="L122" s="11">
        <f t="shared" si="8"/>
        <v>-1.3248654680969876E-2</v>
      </c>
      <c r="M122" s="11">
        <f t="shared" si="8"/>
        <v>-2.3985873015872863E-2</v>
      </c>
      <c r="N122" s="11">
        <f t="shared" si="8"/>
        <v>1.4842976004244845E-2</v>
      </c>
      <c r="O122" s="11">
        <f t="shared" si="7"/>
        <v>-8.3961378404052837E-4</v>
      </c>
      <c r="P122" s="11">
        <f t="shared" si="7"/>
        <v>-3.5602983337916463E-2</v>
      </c>
      <c r="Q122" s="11">
        <f t="shared" si="7"/>
        <v>3.9408822212270558E-2</v>
      </c>
      <c r="R122" s="11">
        <f t="shared" si="7"/>
        <v>-5.1524686495289743E-3</v>
      </c>
      <c r="S122" s="11">
        <f t="shared" si="7"/>
        <v>-1.2527541411212991E-3</v>
      </c>
      <c r="T122" s="11">
        <f t="shared" si="7"/>
        <v>-2.3069158166574424E-2</v>
      </c>
      <c r="U122" s="11">
        <f t="shared" si="6"/>
        <v>-5.4333008399454468E-3</v>
      </c>
    </row>
    <row r="123" spans="1:21" x14ac:dyDescent="0.2">
      <c r="A123" s="1">
        <v>44266</v>
      </c>
      <c r="B123" s="3">
        <v>73.970000999999996</v>
      </c>
      <c r="C123" s="3">
        <v>18.899999999999999</v>
      </c>
      <c r="D123" s="3">
        <v>28.969999000000001</v>
      </c>
      <c r="E123" s="3">
        <v>59.549999</v>
      </c>
      <c r="F123" s="3">
        <v>22.469999000000001</v>
      </c>
      <c r="G123" s="3">
        <v>22.33</v>
      </c>
      <c r="H123" s="3">
        <v>23.290001</v>
      </c>
      <c r="I123" s="3">
        <v>30.109659000000001</v>
      </c>
      <c r="J123" s="3">
        <v>99.699996999999996</v>
      </c>
      <c r="L123" s="11">
        <f t="shared" si="8"/>
        <v>2.2249861494612191E-2</v>
      </c>
      <c r="M123" s="11">
        <f t="shared" si="8"/>
        <v>2.5131116439382248E-2</v>
      </c>
      <c r="N123" s="11">
        <f t="shared" si="8"/>
        <v>-1.4290575511758205E-2</v>
      </c>
      <c r="O123" s="11">
        <f t="shared" si="7"/>
        <v>5.3236610307099273E-2</v>
      </c>
      <c r="P123" s="11">
        <f t="shared" si="7"/>
        <v>2.2758307817856521E-2</v>
      </c>
      <c r="Q123" s="11">
        <f t="shared" si="7"/>
        <v>7.0983213429256439E-2</v>
      </c>
      <c r="R123" s="11">
        <f t="shared" si="7"/>
        <v>4.252466427931962E-2</v>
      </c>
      <c r="S123" s="11">
        <f t="shared" si="7"/>
        <v>2.1971032148224699E-3</v>
      </c>
      <c r="T123" s="11">
        <f t="shared" si="7"/>
        <v>2.6248017987688724E-2</v>
      </c>
      <c r="U123" s="11">
        <f t="shared" si="6"/>
        <v>2.7893146606475478E-2</v>
      </c>
    </row>
    <row r="124" spans="1:21" x14ac:dyDescent="0.2">
      <c r="A124" s="1">
        <v>44265</v>
      </c>
      <c r="B124" s="3">
        <v>72.360000999999997</v>
      </c>
      <c r="C124" s="3">
        <v>18.436665999999999</v>
      </c>
      <c r="D124" s="3">
        <v>29.389999</v>
      </c>
      <c r="E124" s="3">
        <v>56.540000999999997</v>
      </c>
      <c r="F124" s="3">
        <v>21.969999000000001</v>
      </c>
      <c r="G124" s="3">
        <v>20.85</v>
      </c>
      <c r="H124" s="3">
        <v>22.34</v>
      </c>
      <c r="I124" s="3">
        <v>30.04365</v>
      </c>
      <c r="J124" s="3">
        <v>97.150002000000001</v>
      </c>
      <c r="L124" s="11">
        <f t="shared" si="8"/>
        <v>2.3914009449950601E-2</v>
      </c>
      <c r="M124" s="11">
        <f t="shared" si="8"/>
        <v>3.3831815613593705E-2</v>
      </c>
      <c r="N124" s="11">
        <f t="shared" si="8"/>
        <v>-3.5128037922785231E-2</v>
      </c>
      <c r="O124" s="11">
        <f t="shared" si="7"/>
        <v>1.7272381530320857E-2</v>
      </c>
      <c r="P124" s="11">
        <f t="shared" si="7"/>
        <v>4.6190428571428639E-2</v>
      </c>
      <c r="Q124" s="11">
        <f t="shared" si="7"/>
        <v>1.6577279375914179E-2</v>
      </c>
      <c r="R124" s="11">
        <f t="shared" si="7"/>
        <v>3.4738304770727188E-2</v>
      </c>
      <c r="S124" s="11">
        <f t="shared" si="7"/>
        <v>1.2392756353947185E-2</v>
      </c>
      <c r="T124" s="11">
        <f t="shared" si="7"/>
        <v>-1.5404844743181266E-2</v>
      </c>
      <c r="U124" s="11">
        <f t="shared" si="6"/>
        <v>1.493156588887954E-2</v>
      </c>
    </row>
    <row r="125" spans="1:21" x14ac:dyDescent="0.2">
      <c r="A125" s="1">
        <v>44264</v>
      </c>
      <c r="B125" s="3">
        <v>70.669998000000007</v>
      </c>
      <c r="C125" s="3">
        <v>17.833331999999999</v>
      </c>
      <c r="D125" s="3">
        <v>30.459999</v>
      </c>
      <c r="E125" s="3">
        <v>55.580002</v>
      </c>
      <c r="F125" s="3">
        <v>21</v>
      </c>
      <c r="G125" s="3">
        <v>20.51</v>
      </c>
      <c r="H125" s="3">
        <v>21.59</v>
      </c>
      <c r="I125" s="3">
        <v>29.675884</v>
      </c>
      <c r="J125" s="3">
        <v>98.669998000000007</v>
      </c>
      <c r="L125" s="11">
        <f t="shared" si="8"/>
        <v>-2.3355486133837811E-2</v>
      </c>
      <c r="M125" s="11">
        <f t="shared" si="8"/>
        <v>1.5372821583874537E-2</v>
      </c>
      <c r="N125" s="11">
        <f t="shared" si="8"/>
        <v>3.2192443239579746E-2</v>
      </c>
      <c r="O125" s="11">
        <f t="shared" si="7"/>
        <v>8.3454827348599988E-3</v>
      </c>
      <c r="P125" s="11">
        <f t="shared" si="7"/>
        <v>-5.7027391109115387E-2</v>
      </c>
      <c r="Q125" s="11">
        <f t="shared" si="7"/>
        <v>4.8780487804885676E-4</v>
      </c>
      <c r="R125" s="11">
        <f t="shared" si="7"/>
        <v>2.3222748815165801E-2</v>
      </c>
      <c r="S125" s="11">
        <f t="shared" si="7"/>
        <v>-1.2860735846740665E-2</v>
      </c>
      <c r="T125" s="11">
        <f t="shared" si="7"/>
        <v>-1.0033109461886413E-2</v>
      </c>
      <c r="U125" s="11">
        <f t="shared" si="6"/>
        <v>-2.6283801444501485E-3</v>
      </c>
    </row>
    <row r="126" spans="1:21" x14ac:dyDescent="0.2">
      <c r="A126" s="1">
        <v>44263</v>
      </c>
      <c r="B126" s="3">
        <v>72.360000999999997</v>
      </c>
      <c r="C126" s="3">
        <v>17.563334000000001</v>
      </c>
      <c r="D126" s="3">
        <v>29.51</v>
      </c>
      <c r="E126" s="3">
        <v>55.119999</v>
      </c>
      <c r="F126" s="3">
        <v>22.27</v>
      </c>
      <c r="G126" s="3">
        <v>20.5</v>
      </c>
      <c r="H126" s="3">
        <v>21.1</v>
      </c>
      <c r="I126" s="3">
        <v>30.06251</v>
      </c>
      <c r="J126" s="3">
        <v>99.669998000000007</v>
      </c>
      <c r="L126" s="11">
        <f t="shared" si="8"/>
        <v>-7.8099084675731595E-2</v>
      </c>
      <c r="M126" s="11">
        <f t="shared" si="8"/>
        <v>-6.726850770047782E-2</v>
      </c>
      <c r="N126" s="11">
        <f t="shared" si="8"/>
        <v>-4.3745980435969486E-2</v>
      </c>
      <c r="O126" s="11">
        <f t="shared" si="7"/>
        <v>-9.3868203390820207E-2</v>
      </c>
      <c r="P126" s="11">
        <f t="shared" si="7"/>
        <v>-6.8979933110367972E-2</v>
      </c>
      <c r="Q126" s="11">
        <f t="shared" si="7"/>
        <v>-4.1159917734327374E-2</v>
      </c>
      <c r="R126" s="11">
        <f t="shared" si="7"/>
        <v>-5.7614964609868813E-2</v>
      </c>
      <c r="S126" s="11">
        <f t="shared" si="7"/>
        <v>-5.0059576451685454E-2</v>
      </c>
      <c r="T126" s="11">
        <f t="shared" si="7"/>
        <v>-5.3886937969133157E-3</v>
      </c>
      <c r="U126" s="11">
        <f t="shared" si="6"/>
        <v>-5.6242762434017997E-2</v>
      </c>
    </row>
    <row r="127" spans="1:21" x14ac:dyDescent="0.2">
      <c r="A127" s="1">
        <v>44260</v>
      </c>
      <c r="B127" s="3">
        <v>78.489998</v>
      </c>
      <c r="C127" s="3">
        <v>18.829999999999998</v>
      </c>
      <c r="D127" s="3">
        <v>30.860001</v>
      </c>
      <c r="E127" s="3">
        <v>60.830002</v>
      </c>
      <c r="F127" s="3">
        <v>23.92</v>
      </c>
      <c r="G127" s="3">
        <v>21.379999000000002</v>
      </c>
      <c r="H127" s="3">
        <v>22.389999</v>
      </c>
      <c r="I127" s="3">
        <v>31.646732</v>
      </c>
      <c r="J127" s="3">
        <v>100.209999</v>
      </c>
      <c r="L127" s="11">
        <f t="shared" si="8"/>
        <v>7.5205452054794522E-2</v>
      </c>
      <c r="M127" s="11">
        <f t="shared" si="8"/>
        <v>1.8021301784872858E-2</v>
      </c>
      <c r="N127" s="11">
        <f t="shared" si="8"/>
        <v>3.2452393190110208E-2</v>
      </c>
      <c r="O127" s="11">
        <f t="shared" si="7"/>
        <v>-1.4772817293920348E-3</v>
      </c>
      <c r="P127" s="11">
        <f t="shared" si="7"/>
        <v>-2.6058592266229308E-2</v>
      </c>
      <c r="Q127" s="11">
        <f t="shared" si="7"/>
        <v>4.7012683643486763E-2</v>
      </c>
      <c r="R127" s="11">
        <f t="shared" si="7"/>
        <v>7.6507654208264426E-3</v>
      </c>
      <c r="S127" s="11">
        <f t="shared" si="7"/>
        <v>3.7724134670038136E-2</v>
      </c>
      <c r="T127" s="11">
        <f t="shared" si="7"/>
        <v>1.3655654322722487E-2</v>
      </c>
      <c r="U127" s="11">
        <f t="shared" si="6"/>
        <v>2.2687390121247784E-2</v>
      </c>
    </row>
    <row r="128" spans="1:21" x14ac:dyDescent="0.2">
      <c r="A128" s="1">
        <v>44259</v>
      </c>
      <c r="B128" s="3">
        <v>73</v>
      </c>
      <c r="C128" s="3">
        <v>18.496666000000001</v>
      </c>
      <c r="D128" s="3">
        <v>29.889999</v>
      </c>
      <c r="E128" s="3">
        <v>60.919998</v>
      </c>
      <c r="F128" s="3">
        <v>24.559999000000001</v>
      </c>
      <c r="G128" s="3">
        <v>20.420000000000002</v>
      </c>
      <c r="H128" s="3">
        <v>22.219999000000001</v>
      </c>
      <c r="I128" s="3">
        <v>30.496286000000001</v>
      </c>
      <c r="J128" s="3">
        <v>98.860000999999997</v>
      </c>
      <c r="L128" s="11">
        <f t="shared" si="8"/>
        <v>2.9619152902139543E-2</v>
      </c>
      <c r="M128" s="11">
        <f t="shared" si="8"/>
        <v>-1.9438081276516701E-2</v>
      </c>
      <c r="N128" s="11">
        <f t="shared" si="8"/>
        <v>-7.6361883254917207E-3</v>
      </c>
      <c r="O128" s="11">
        <f t="shared" si="7"/>
        <v>3.5702108126487581E-2</v>
      </c>
      <c r="P128" s="11">
        <f t="shared" si="7"/>
        <v>2.7185236302802222E-2</v>
      </c>
      <c r="Q128" s="11">
        <f t="shared" si="7"/>
        <v>2.8715365239294723E-2</v>
      </c>
      <c r="R128" s="11">
        <f t="shared" si="7"/>
        <v>4.8607737205864344E-2</v>
      </c>
      <c r="S128" s="11">
        <f t="shared" si="7"/>
        <v>-7.3664656604779909E-3</v>
      </c>
      <c r="T128" s="11">
        <f t="shared" si="7"/>
        <v>-1.4848002288948749E-2</v>
      </c>
      <c r="U128" s="11">
        <f t="shared" si="6"/>
        <v>1.3393429136128137E-2</v>
      </c>
    </row>
    <row r="129" spans="1:21" x14ac:dyDescent="0.2">
      <c r="A129" s="1">
        <v>44258</v>
      </c>
      <c r="B129" s="3">
        <v>70.900002000000001</v>
      </c>
      <c r="C129" s="3">
        <v>18.863333000000001</v>
      </c>
      <c r="D129" s="3">
        <v>30.120000999999998</v>
      </c>
      <c r="E129" s="3">
        <v>58.82</v>
      </c>
      <c r="F129" s="3">
        <v>23.91</v>
      </c>
      <c r="G129" s="3">
        <v>19.850000000000001</v>
      </c>
      <c r="H129" s="3">
        <v>21.190000999999999</v>
      </c>
      <c r="I129" s="3">
        <v>30.722602999999999</v>
      </c>
      <c r="J129" s="3">
        <v>100.349998</v>
      </c>
      <c r="L129" s="11">
        <f t="shared" si="8"/>
        <v>-1.2947236170200757E-2</v>
      </c>
      <c r="M129" s="11">
        <f t="shared" si="8"/>
        <v>1.0355275843599307E-2</v>
      </c>
      <c r="N129" s="11">
        <f t="shared" si="8"/>
        <v>-1.2135093473269925E-2</v>
      </c>
      <c r="O129" s="11">
        <f t="shared" si="7"/>
        <v>3.7543004694300659E-3</v>
      </c>
      <c r="P129" s="11">
        <f t="shared" si="7"/>
        <v>-1.4020618556701026E-2</v>
      </c>
      <c r="Q129" s="11">
        <f t="shared" si="7"/>
        <v>3.0317835759584473E-3</v>
      </c>
      <c r="R129" s="11">
        <f t="shared" si="7"/>
        <v>-3.6380127330604806E-2</v>
      </c>
      <c r="S129" s="11">
        <f t="shared" si="7"/>
        <v>-1.3325306575475475E-2</v>
      </c>
      <c r="T129" s="11">
        <f t="shared" si="7"/>
        <v>-1.2303149848487202E-2</v>
      </c>
      <c r="U129" s="11">
        <f t="shared" si="6"/>
        <v>-9.3300191184168199E-3</v>
      </c>
    </row>
    <row r="130" spans="1:21" x14ac:dyDescent="0.2">
      <c r="A130" s="1">
        <v>44257</v>
      </c>
      <c r="B130" s="3">
        <v>71.830001999999993</v>
      </c>
      <c r="C130" s="3">
        <v>18.670000000000002</v>
      </c>
      <c r="D130" s="3">
        <v>30.49</v>
      </c>
      <c r="E130" s="3">
        <v>58.599997999999999</v>
      </c>
      <c r="F130" s="3">
        <v>24.25</v>
      </c>
      <c r="G130" s="3">
        <v>19.790001</v>
      </c>
      <c r="H130" s="3">
        <v>21.99</v>
      </c>
      <c r="I130" s="3">
        <v>31.137519999999999</v>
      </c>
      <c r="J130" s="3">
        <v>101.599998</v>
      </c>
      <c r="L130" s="11">
        <f t="shared" si="8"/>
        <v>8.8483852042858524E-3</v>
      </c>
      <c r="M130" s="11">
        <f t="shared" si="8"/>
        <v>3.0542759327640237E-2</v>
      </c>
      <c r="N130" s="11">
        <f t="shared" si="8"/>
        <v>-1.3268608414239488E-2</v>
      </c>
      <c r="O130" s="11">
        <f t="shared" si="7"/>
        <v>-9.4658891142663498E-3</v>
      </c>
      <c r="P130" s="11">
        <f t="shared" si="7"/>
        <v>-1.7423014586709876E-2</v>
      </c>
      <c r="Q130" s="11">
        <f t="shared" si="7"/>
        <v>2.1155935044165824E-2</v>
      </c>
      <c r="R130" s="11">
        <f t="shared" si="7"/>
        <v>-4.5454545454552561E-4</v>
      </c>
      <c r="S130" s="11">
        <f t="shared" si="7"/>
        <v>2.4287492935919771E-3</v>
      </c>
      <c r="T130" s="11">
        <f t="shared" si="7"/>
        <v>3.0739555645734062E-2</v>
      </c>
      <c r="U130" s="11">
        <f t="shared" si="6"/>
        <v>5.9003696606285232E-3</v>
      </c>
    </row>
    <row r="131" spans="1:21" x14ac:dyDescent="0.2">
      <c r="A131" s="1">
        <v>44256</v>
      </c>
      <c r="B131" s="3">
        <v>71.199996999999996</v>
      </c>
      <c r="C131" s="3">
        <v>18.116667</v>
      </c>
      <c r="D131" s="3">
        <v>30.9</v>
      </c>
      <c r="E131" s="3">
        <v>59.16</v>
      </c>
      <c r="F131" s="3">
        <v>24.68</v>
      </c>
      <c r="G131" s="3">
        <v>19.379999000000002</v>
      </c>
      <c r="H131" s="3">
        <v>22</v>
      </c>
      <c r="I131" s="3">
        <v>31.062078</v>
      </c>
      <c r="J131" s="3">
        <v>98.57</v>
      </c>
      <c r="L131" s="11">
        <f t="shared" si="8"/>
        <v>-1.682599551317961E-3</v>
      </c>
      <c r="M131" s="11">
        <f t="shared" si="8"/>
        <v>9.2082872928166907E-4</v>
      </c>
      <c r="N131" s="11">
        <f t="shared" si="8"/>
        <v>3.4482723987856581E-2</v>
      </c>
      <c r="O131" s="11">
        <f t="shared" si="7"/>
        <v>1.9999999999999941E-2</v>
      </c>
      <c r="P131" s="11">
        <f t="shared" si="7"/>
        <v>-9.2332396627860473E-3</v>
      </c>
      <c r="Q131" s="11">
        <f t="shared" si="7"/>
        <v>-1.5243953252032429E-2</v>
      </c>
      <c r="R131" s="11">
        <f t="shared" si="7"/>
        <v>-1.0791366906474751E-2</v>
      </c>
      <c r="S131" s="11">
        <f t="shared" si="7"/>
        <v>-3.3283269921960236E-3</v>
      </c>
      <c r="T131" s="11">
        <f t="shared" si="7"/>
        <v>4.2848107580875074E-2</v>
      </c>
      <c r="U131" s="11">
        <f t="shared" si="6"/>
        <v>6.4413526592451177E-3</v>
      </c>
    </row>
    <row r="132" spans="1:21" x14ac:dyDescent="0.2">
      <c r="A132" s="1">
        <v>44253</v>
      </c>
      <c r="B132" s="3">
        <v>71.319999999999993</v>
      </c>
      <c r="C132" s="3">
        <v>18.100000000000001</v>
      </c>
      <c r="D132" s="3">
        <v>29.870000999999998</v>
      </c>
      <c r="E132" s="3">
        <v>58</v>
      </c>
      <c r="F132" s="3">
        <v>24.91</v>
      </c>
      <c r="G132" s="3">
        <v>19.68</v>
      </c>
      <c r="H132" s="3">
        <v>22.24</v>
      </c>
      <c r="I132" s="3">
        <v>31.165807999999998</v>
      </c>
      <c r="J132" s="3">
        <v>94.519997000000004</v>
      </c>
      <c r="L132" s="11">
        <f t="shared" si="8"/>
        <v>-1.3691025133204955E-2</v>
      </c>
      <c r="M132" s="11">
        <f t="shared" si="8"/>
        <v>-1.0748680155645819E-2</v>
      </c>
      <c r="N132" s="11">
        <f t="shared" si="8"/>
        <v>-3.6690793862575702E-3</v>
      </c>
      <c r="O132" s="11">
        <f t="shared" si="7"/>
        <v>-3.107251869240692E-2</v>
      </c>
      <c r="P132" s="11">
        <f t="shared" si="7"/>
        <v>-4.2291426374471412E-2</v>
      </c>
      <c r="Q132" s="11">
        <f t="shared" si="7"/>
        <v>-1.9920318725099532E-2</v>
      </c>
      <c r="R132" s="11">
        <f t="shared" si="7"/>
        <v>-4.0965974947564703E-2</v>
      </c>
      <c r="S132" s="11">
        <f t="shared" si="7"/>
        <v>-5.3550983733312151E-2</v>
      </c>
      <c r="T132" s="11">
        <f t="shared" si="7"/>
        <v>-1.2433413566329602E-2</v>
      </c>
      <c r="U132" s="11">
        <f t="shared" si="6"/>
        <v>-2.5371491190476964E-2</v>
      </c>
    </row>
    <row r="133" spans="1:21" x14ac:dyDescent="0.2">
      <c r="A133" s="1">
        <v>44252</v>
      </c>
      <c r="B133" s="3">
        <v>72.309997999999993</v>
      </c>
      <c r="C133" s="3">
        <v>18.296665000000001</v>
      </c>
      <c r="D133" s="3">
        <v>29.98</v>
      </c>
      <c r="E133" s="3">
        <v>59.860000999999997</v>
      </c>
      <c r="F133" s="3">
        <v>26.01</v>
      </c>
      <c r="G133" s="3">
        <v>20.079999999999998</v>
      </c>
      <c r="H133" s="3">
        <v>23.190000999999999</v>
      </c>
      <c r="I133" s="3">
        <v>32.929198999999997</v>
      </c>
      <c r="J133" s="3">
        <v>95.709998999999996</v>
      </c>
      <c r="L133" s="11">
        <f t="shared" si="8"/>
        <v>-3.0177039436079387E-2</v>
      </c>
      <c r="M133" s="11">
        <f t="shared" si="8"/>
        <v>-1.3124918385926696E-2</v>
      </c>
      <c r="N133" s="11">
        <f t="shared" si="8"/>
        <v>-4.0332906530089564E-2</v>
      </c>
      <c r="O133" s="11">
        <f t="shared" si="7"/>
        <v>-1.1232242959493835E-2</v>
      </c>
      <c r="P133" s="11">
        <f t="shared" si="7"/>
        <v>-2.2180451127819543E-2</v>
      </c>
      <c r="Q133" s="11">
        <f t="shared" si="7"/>
        <v>1.0568645668412389E-2</v>
      </c>
      <c r="R133" s="11">
        <f t="shared" si="7"/>
        <v>-4.9590122950819666E-2</v>
      </c>
      <c r="S133" s="11">
        <f t="shared" si="7"/>
        <v>-4.0131971218416489E-2</v>
      </c>
      <c r="T133" s="11">
        <f t="shared" si="7"/>
        <v>-2.2669263759828556E-2</v>
      </c>
      <c r="U133" s="11">
        <f t="shared" si="6"/>
        <v>-2.4318918966673483E-2</v>
      </c>
    </row>
    <row r="134" spans="1:21" x14ac:dyDescent="0.2">
      <c r="A134" s="1">
        <v>44251</v>
      </c>
      <c r="B134" s="3">
        <v>74.559997999999993</v>
      </c>
      <c r="C134" s="3">
        <v>18.540001</v>
      </c>
      <c r="D134" s="3">
        <v>31.24</v>
      </c>
      <c r="E134" s="3">
        <v>60.540000999999997</v>
      </c>
      <c r="F134" s="3">
        <v>26.6</v>
      </c>
      <c r="G134" s="3">
        <v>19.870000999999998</v>
      </c>
      <c r="H134" s="3">
        <v>24.4</v>
      </c>
      <c r="I134" s="3">
        <v>34.305965</v>
      </c>
      <c r="J134" s="3">
        <v>97.93</v>
      </c>
      <c r="L134" s="11">
        <f t="shared" si="8"/>
        <v>-1.022174405358439E-2</v>
      </c>
      <c r="M134" s="11">
        <f t="shared" si="8"/>
        <v>5.0596674185097333E-3</v>
      </c>
      <c r="N134" s="11">
        <f t="shared" si="8"/>
        <v>1.3298734998378208E-2</v>
      </c>
      <c r="O134" s="11">
        <f t="shared" si="7"/>
        <v>-1.2398009990179659E-2</v>
      </c>
      <c r="P134" s="11">
        <f t="shared" si="7"/>
        <v>-2.3136246786632352E-2</v>
      </c>
      <c r="Q134" s="11">
        <f t="shared" si="7"/>
        <v>-1.1442736318408106E-2</v>
      </c>
      <c r="R134" s="11">
        <f t="shared" si="7"/>
        <v>1.4131380470963333E-2</v>
      </c>
      <c r="S134" s="11">
        <f t="shared" si="7"/>
        <v>6.6408551708296484E-3</v>
      </c>
      <c r="T134" s="11">
        <f t="shared" si="7"/>
        <v>1.0108334505673174E-2</v>
      </c>
      <c r="U134" s="11">
        <f t="shared" si="6"/>
        <v>-8.8441828716115693E-4</v>
      </c>
    </row>
    <row r="135" spans="1:21" x14ac:dyDescent="0.2">
      <c r="A135" s="1">
        <v>44250</v>
      </c>
      <c r="B135" s="3">
        <v>75.330001999999993</v>
      </c>
      <c r="C135" s="3">
        <v>18.446667000000001</v>
      </c>
      <c r="D135" s="3">
        <v>30.83</v>
      </c>
      <c r="E135" s="3">
        <v>61.299999</v>
      </c>
      <c r="F135" s="3">
        <v>27.23</v>
      </c>
      <c r="G135" s="3">
        <v>20.100000000000001</v>
      </c>
      <c r="H135" s="3">
        <v>24.059999000000001</v>
      </c>
      <c r="I135" s="3">
        <v>34.079647000000001</v>
      </c>
      <c r="J135" s="3">
        <v>96.949996999999996</v>
      </c>
      <c r="L135" s="11">
        <f t="shared" si="8"/>
        <v>-2.5232880761295175E-2</v>
      </c>
      <c r="M135" s="11">
        <f t="shared" si="8"/>
        <v>-7.1761571582344905E-3</v>
      </c>
      <c r="N135" s="11">
        <f t="shared" si="8"/>
        <v>-2.2653721682847992E-3</v>
      </c>
      <c r="O135" s="11">
        <f t="shared" si="7"/>
        <v>3.4375347847437595E-3</v>
      </c>
      <c r="P135" s="11">
        <f t="shared" si="7"/>
        <v>-5.9412813146362237E-2</v>
      </c>
      <c r="Q135" s="11">
        <f t="shared" si="7"/>
        <v>-1.9860477649476607E-3</v>
      </c>
      <c r="R135" s="11">
        <f t="shared" si="7"/>
        <v>0.11029067835717579</v>
      </c>
      <c r="S135" s="11">
        <f t="shared" si="7"/>
        <v>-1.6598591095525323E-2</v>
      </c>
      <c r="T135" s="11">
        <f t="shared" si="7"/>
        <v>1.6780273031573603E-2</v>
      </c>
      <c r="U135" s="11">
        <f t="shared" ref="U135:U198" si="9">AVERAGE(L135:T135)</f>
        <v>1.9818471198714961E-3</v>
      </c>
    </row>
    <row r="136" spans="1:21" x14ac:dyDescent="0.2">
      <c r="A136" s="1">
        <v>44249</v>
      </c>
      <c r="B136" s="3">
        <v>77.279999000000004</v>
      </c>
      <c r="C136" s="3">
        <v>18.579999999999998</v>
      </c>
      <c r="D136" s="3">
        <v>30.9</v>
      </c>
      <c r="E136" s="3">
        <v>61.09</v>
      </c>
      <c r="F136" s="3">
        <v>28.950001</v>
      </c>
      <c r="G136" s="3">
        <v>20.139999</v>
      </c>
      <c r="H136" s="3">
        <v>21.67</v>
      </c>
      <c r="I136" s="3">
        <v>34.654868999999998</v>
      </c>
      <c r="J136" s="3">
        <v>95.349997999999999</v>
      </c>
      <c r="L136" s="11">
        <f t="shared" si="8"/>
        <v>3.6363506493506969E-3</v>
      </c>
      <c r="M136" s="11">
        <f t="shared" si="8"/>
        <v>-3.9793281653746931E-2</v>
      </c>
      <c r="N136" s="11">
        <f t="shared" si="8"/>
        <v>5.7133082449538082E-2</v>
      </c>
      <c r="O136" s="11">
        <f t="shared" si="7"/>
        <v>-6.1597513413133992E-2</v>
      </c>
      <c r="P136" s="11">
        <f t="shared" si="7"/>
        <v>0.19875780538302285</v>
      </c>
      <c r="Q136" s="11">
        <f t="shared" si="7"/>
        <v>-2.5641074020319406E-2</v>
      </c>
      <c r="R136" s="11">
        <f t="shared" si="7"/>
        <v>-0.20709842663739469</v>
      </c>
      <c r="S136" s="11">
        <f t="shared" si="7"/>
        <v>-7.2933776693361691E-3</v>
      </c>
      <c r="T136" s="11">
        <f t="shared" si="7"/>
        <v>-2.4751959438026824E-2</v>
      </c>
      <c r="U136" s="11">
        <f t="shared" si="9"/>
        <v>-1.1849821594449601E-2</v>
      </c>
    </row>
    <row r="137" spans="1:21" x14ac:dyDescent="0.2">
      <c r="A137" s="1">
        <v>44246</v>
      </c>
      <c r="B137" s="3">
        <v>77</v>
      </c>
      <c r="C137" s="3">
        <v>19.350000000000001</v>
      </c>
      <c r="D137" s="3">
        <v>29.23</v>
      </c>
      <c r="E137" s="3">
        <v>65.099997999999999</v>
      </c>
      <c r="F137" s="3">
        <v>24.15</v>
      </c>
      <c r="G137" s="3">
        <v>20.67</v>
      </c>
      <c r="H137" s="3">
        <v>27.33</v>
      </c>
      <c r="I137" s="3">
        <v>34.909477000000003</v>
      </c>
      <c r="J137" s="3">
        <v>97.769997000000004</v>
      </c>
      <c r="L137" s="11">
        <f t="shared" si="8"/>
        <v>1.9867549668874173E-2</v>
      </c>
      <c r="M137" s="11">
        <f t="shared" si="8"/>
        <v>5.1706308169604772E-4</v>
      </c>
      <c r="N137" s="11">
        <f t="shared" si="8"/>
        <v>7.2363886974500637E-3</v>
      </c>
      <c r="O137" s="11">
        <f t="shared" si="7"/>
        <v>7.5839187806234906E-3</v>
      </c>
      <c r="P137" s="11">
        <f t="shared" si="7"/>
        <v>1.3853904282115798E-2</v>
      </c>
      <c r="Q137" s="11">
        <f t="shared" si="7"/>
        <v>-1.242236024844711E-2</v>
      </c>
      <c r="R137" s="11">
        <f t="shared" si="7"/>
        <v>-6.6279467031089903E-2</v>
      </c>
      <c r="S137" s="11">
        <f t="shared" si="7"/>
        <v>-1.3326286608164019E-2</v>
      </c>
      <c r="T137" s="11">
        <f t="shared" si="7"/>
        <v>3.7987165544411689E-3</v>
      </c>
      <c r="U137" s="11">
        <f t="shared" si="9"/>
        <v>-4.3522858691666996E-3</v>
      </c>
    </row>
    <row r="138" spans="1:21" x14ac:dyDescent="0.2">
      <c r="A138" s="1">
        <v>44245</v>
      </c>
      <c r="B138" s="3">
        <v>75.5</v>
      </c>
      <c r="C138" s="3">
        <v>19.34</v>
      </c>
      <c r="D138" s="3">
        <v>29.02</v>
      </c>
      <c r="E138" s="3">
        <v>64.610000999999997</v>
      </c>
      <c r="F138" s="3">
        <v>23.82</v>
      </c>
      <c r="G138" s="3">
        <v>20.93</v>
      </c>
      <c r="H138" s="3">
        <v>29.27</v>
      </c>
      <c r="I138" s="3">
        <v>35.380974000000002</v>
      </c>
      <c r="J138" s="3">
        <v>97.400002000000001</v>
      </c>
      <c r="L138" s="11">
        <f t="shared" si="8"/>
        <v>-6.5789473684210523E-3</v>
      </c>
      <c r="M138" s="11">
        <f t="shared" si="8"/>
        <v>-3.0738373383534509E-2</v>
      </c>
      <c r="N138" s="11">
        <f t="shared" si="8"/>
        <v>3.5688793718772309E-2</v>
      </c>
      <c r="O138" s="11">
        <f t="shared" si="7"/>
        <v>-3.4230208244238974E-2</v>
      </c>
      <c r="P138" s="11">
        <f t="shared" si="7"/>
        <v>-3.2100811373392477E-2</v>
      </c>
      <c r="Q138" s="11">
        <f t="shared" si="7"/>
        <v>-2.1505330598659674E-2</v>
      </c>
      <c r="R138" s="11">
        <f t="shared" si="7"/>
        <v>2.9184211350766157E-2</v>
      </c>
      <c r="S138" s="11">
        <f t="shared" si="7"/>
        <v>-8.4565843732574333E-3</v>
      </c>
      <c r="T138" s="11">
        <f t="shared" si="7"/>
        <v>3.7384205318822056E-2</v>
      </c>
      <c r="U138" s="11">
        <f t="shared" si="9"/>
        <v>-3.4836716614604002E-3</v>
      </c>
    </row>
    <row r="139" spans="1:21" x14ac:dyDescent="0.2">
      <c r="A139" s="1">
        <v>44239</v>
      </c>
      <c r="B139" s="3">
        <v>76</v>
      </c>
      <c r="C139" s="3">
        <v>19.953333000000001</v>
      </c>
      <c r="D139" s="3">
        <v>28.02</v>
      </c>
      <c r="E139" s="3">
        <v>66.900002000000001</v>
      </c>
      <c r="F139" s="3">
        <v>24.610001</v>
      </c>
      <c r="G139" s="3">
        <v>21.389999</v>
      </c>
      <c r="H139" s="3">
        <v>28.440000999999999</v>
      </c>
      <c r="I139" s="3">
        <v>35.682727999999997</v>
      </c>
      <c r="J139" s="3">
        <v>93.889999000000003</v>
      </c>
      <c r="L139" s="11">
        <f t="shared" si="8"/>
        <v>1.9723614916457952E-2</v>
      </c>
      <c r="M139" s="11">
        <f t="shared" si="8"/>
        <v>-7.6260277250327444E-3</v>
      </c>
      <c r="N139" s="11">
        <f t="shared" si="8"/>
        <v>-3.5679627696049809E-4</v>
      </c>
      <c r="O139" s="11">
        <f t="shared" si="7"/>
        <v>-8.9601255818411293E-4</v>
      </c>
      <c r="P139" s="11">
        <f t="shared" si="7"/>
        <v>1.2757284475608447E-2</v>
      </c>
      <c r="Q139" s="11">
        <f t="shared" si="7"/>
        <v>1.8734894613582256E-3</v>
      </c>
      <c r="R139" s="11">
        <f t="shared" si="7"/>
        <v>1.2820548433048451E-2</v>
      </c>
      <c r="S139" s="11">
        <f t="shared" si="7"/>
        <v>-1.3555825099126343E-2</v>
      </c>
      <c r="T139" s="11">
        <f t="shared" si="7"/>
        <v>8.485510386369759E-3</v>
      </c>
      <c r="U139" s="11">
        <f t="shared" si="9"/>
        <v>3.6917540015043485E-3</v>
      </c>
    </row>
    <row r="140" spans="1:21" x14ac:dyDescent="0.2">
      <c r="A140" s="1">
        <v>44238</v>
      </c>
      <c r="B140" s="3">
        <v>74.529999000000004</v>
      </c>
      <c r="C140" s="3">
        <v>20.106667000000002</v>
      </c>
      <c r="D140" s="3">
        <v>28.030000999999999</v>
      </c>
      <c r="E140" s="3">
        <v>66.959998999999996</v>
      </c>
      <c r="F140" s="3">
        <v>24.299999</v>
      </c>
      <c r="G140" s="3">
        <v>21.35</v>
      </c>
      <c r="H140" s="3">
        <v>28.08</v>
      </c>
      <c r="I140" s="3">
        <v>36.173084000000003</v>
      </c>
      <c r="J140" s="3">
        <v>93.099997999999999</v>
      </c>
      <c r="L140" s="11">
        <f t="shared" si="8"/>
        <v>7.1621486486486982E-3</v>
      </c>
      <c r="M140" s="11">
        <f t="shared" si="8"/>
        <v>4.4963032305180535E-3</v>
      </c>
      <c r="N140" s="11">
        <f t="shared" si="8"/>
        <v>3.9398638968480264E-3</v>
      </c>
      <c r="O140" s="11">
        <f t="shared" si="7"/>
        <v>-5.7906312038792209E-3</v>
      </c>
      <c r="P140" s="11">
        <f t="shared" si="7"/>
        <v>2.0151091519731292E-2</v>
      </c>
      <c r="Q140" s="11">
        <f t="shared" si="7"/>
        <v>4.7058823529412437E-3</v>
      </c>
      <c r="R140" s="11">
        <f t="shared" si="7"/>
        <v>1.0071978779567533E-2</v>
      </c>
      <c r="S140" s="11">
        <f t="shared" si="7"/>
        <v>2.6136966641199101E-3</v>
      </c>
      <c r="T140" s="11">
        <f t="shared" si="7"/>
        <v>-1.6895449320869536E-2</v>
      </c>
      <c r="U140" s="11">
        <f t="shared" si="9"/>
        <v>3.3838760630695557E-3</v>
      </c>
    </row>
    <row r="141" spans="1:21" x14ac:dyDescent="0.2">
      <c r="A141" s="1">
        <v>44237</v>
      </c>
      <c r="B141" s="3">
        <v>74</v>
      </c>
      <c r="C141" s="3">
        <v>20.016666000000001</v>
      </c>
      <c r="D141" s="3">
        <v>27.92</v>
      </c>
      <c r="E141" s="3">
        <v>67.349997999999999</v>
      </c>
      <c r="F141" s="3">
        <v>23.82</v>
      </c>
      <c r="G141" s="3">
        <v>21.25</v>
      </c>
      <c r="H141" s="3">
        <v>27.799999</v>
      </c>
      <c r="I141" s="3">
        <v>36.078785000000003</v>
      </c>
      <c r="J141" s="3">
        <v>94.699996999999996</v>
      </c>
      <c r="L141" s="11">
        <f t="shared" si="8"/>
        <v>-1.3990712298838999E-2</v>
      </c>
      <c r="M141" s="11">
        <f t="shared" si="8"/>
        <v>-3.4876277724204326E-2</v>
      </c>
      <c r="N141" s="11">
        <f t="shared" si="8"/>
        <v>-7.1585537881681E-4</v>
      </c>
      <c r="O141" s="11">
        <f t="shared" si="7"/>
        <v>-1.7075292633185669E-2</v>
      </c>
      <c r="P141" s="11">
        <f t="shared" si="7"/>
        <v>-1.854140914709515E-2</v>
      </c>
      <c r="Q141" s="11">
        <f t="shared" si="7"/>
        <v>-6.08040252948569E-3</v>
      </c>
      <c r="R141" s="11">
        <f t="shared" si="7"/>
        <v>9.4407403979396912E-3</v>
      </c>
      <c r="S141" s="11">
        <f t="shared" si="7"/>
        <v>-1.8974322691528996E-2</v>
      </c>
      <c r="T141" s="11">
        <f t="shared" si="7"/>
        <v>4.7745039787798005E-3</v>
      </c>
      <c r="U141" s="11">
        <f t="shared" si="9"/>
        <v>-1.067100311404846E-2</v>
      </c>
    </row>
    <row r="142" spans="1:21" x14ac:dyDescent="0.2">
      <c r="A142" s="1">
        <v>44236</v>
      </c>
      <c r="B142" s="3">
        <v>75.050003000000004</v>
      </c>
      <c r="C142" s="3">
        <v>20.74</v>
      </c>
      <c r="D142" s="3">
        <v>27.940000999999999</v>
      </c>
      <c r="E142" s="3">
        <v>68.519997000000004</v>
      </c>
      <c r="F142" s="3">
        <v>24.27</v>
      </c>
      <c r="G142" s="3">
        <v>21.379999000000002</v>
      </c>
      <c r="H142" s="3">
        <v>27.540001</v>
      </c>
      <c r="I142" s="3">
        <v>36.776595999999998</v>
      </c>
      <c r="J142" s="3">
        <v>94.25</v>
      </c>
      <c r="L142" s="11">
        <f t="shared" si="8"/>
        <v>6.5719556483895122E-3</v>
      </c>
      <c r="M142" s="11">
        <f t="shared" si="8"/>
        <v>-4.6392258723157815E-3</v>
      </c>
      <c r="N142" s="11">
        <f t="shared" si="8"/>
        <v>0</v>
      </c>
      <c r="O142" s="11">
        <f t="shared" si="7"/>
        <v>-1.0684449590399903E-2</v>
      </c>
      <c r="P142" s="11">
        <f t="shared" si="7"/>
        <v>-1.0195758564437194E-2</v>
      </c>
      <c r="Q142" s="11">
        <f t="shared" si="7"/>
        <v>-1.0185231481481476E-2</v>
      </c>
      <c r="R142" s="11">
        <f t="shared" si="7"/>
        <v>-2.0277480602010661E-2</v>
      </c>
      <c r="S142" s="11">
        <f t="shared" si="7"/>
        <v>-1.9854317894716603E-2</v>
      </c>
      <c r="T142" s="11">
        <f t="shared" si="7"/>
        <v>2.5528985734943389E-3</v>
      </c>
      <c r="U142" s="11">
        <f t="shared" si="9"/>
        <v>-7.412401087053086E-3</v>
      </c>
    </row>
    <row r="143" spans="1:21" x14ac:dyDescent="0.2">
      <c r="A143" s="1">
        <v>44235</v>
      </c>
      <c r="B143" s="3">
        <v>74.559997999999993</v>
      </c>
      <c r="C143" s="3">
        <v>20.836666000000001</v>
      </c>
      <c r="D143" s="3">
        <v>27.940000999999999</v>
      </c>
      <c r="E143" s="3">
        <v>69.260002</v>
      </c>
      <c r="F143" s="3">
        <v>24.52</v>
      </c>
      <c r="G143" s="3">
        <v>21.6</v>
      </c>
      <c r="H143" s="3">
        <v>28.110001</v>
      </c>
      <c r="I143" s="3">
        <v>37.521560999999998</v>
      </c>
      <c r="J143" s="3">
        <v>94.010002</v>
      </c>
      <c r="L143" s="11">
        <f t="shared" si="8"/>
        <v>7.5675405405404477E-3</v>
      </c>
      <c r="M143" s="11">
        <f t="shared" si="8"/>
        <v>-1.4814846335697286E-2</v>
      </c>
      <c r="N143" s="11">
        <f t="shared" si="8"/>
        <v>-1.7926185661645552E-2</v>
      </c>
      <c r="O143" s="11">
        <f t="shared" si="7"/>
        <v>5.6628282708221043E-3</v>
      </c>
      <c r="P143" s="11">
        <f t="shared" si="7"/>
        <v>-1.1290282713317857E-2</v>
      </c>
      <c r="Q143" s="11">
        <f t="shared" si="7"/>
        <v>-1.0989010989010917E-2</v>
      </c>
      <c r="R143" s="11">
        <f t="shared" si="7"/>
        <v>-2.5312031900138674E-2</v>
      </c>
      <c r="S143" s="11">
        <f t="shared" si="7"/>
        <v>-7.9779892375906897E-3</v>
      </c>
      <c r="T143" s="11">
        <f t="shared" si="7"/>
        <v>1.4241018141309276E-2</v>
      </c>
      <c r="U143" s="11">
        <f t="shared" si="9"/>
        <v>-6.759884431636571E-3</v>
      </c>
    </row>
    <row r="144" spans="1:21" x14ac:dyDescent="0.2">
      <c r="A144" s="1">
        <v>44232</v>
      </c>
      <c r="B144" s="3">
        <v>74</v>
      </c>
      <c r="C144" s="3">
        <v>21.15</v>
      </c>
      <c r="D144" s="3">
        <v>28.450001</v>
      </c>
      <c r="E144" s="3">
        <v>68.870002999999997</v>
      </c>
      <c r="F144" s="3">
        <v>24.799999</v>
      </c>
      <c r="G144" s="3">
        <v>21.84</v>
      </c>
      <c r="H144" s="3">
        <v>28.84</v>
      </c>
      <c r="I144" s="3">
        <v>37.823315000000001</v>
      </c>
      <c r="J144" s="3">
        <v>92.690002000000007</v>
      </c>
      <c r="L144" s="11">
        <f t="shared" si="8"/>
        <v>-6.8447454879950222E-3</v>
      </c>
      <c r="M144" s="11">
        <f t="shared" si="8"/>
        <v>1.617549595850417E-2</v>
      </c>
      <c r="N144" s="11">
        <f t="shared" si="8"/>
        <v>1.1016418301933869E-2</v>
      </c>
      <c r="O144" s="11">
        <f t="shared" si="8"/>
        <v>-1.0488434209437798E-2</v>
      </c>
      <c r="P144" s="11">
        <f t="shared" si="8"/>
        <v>-4.0306329718117127E-4</v>
      </c>
      <c r="Q144" s="11">
        <f t="shared" si="8"/>
        <v>-1.3104338594863997E-2</v>
      </c>
      <c r="R144" s="11">
        <f t="shared" si="8"/>
        <v>6.9396252602357995E-4</v>
      </c>
      <c r="S144" s="11">
        <f t="shared" si="8"/>
        <v>1.3390560143129025E-2</v>
      </c>
      <c r="T144" s="11">
        <f t="shared" si="8"/>
        <v>3.8078183020739391E-2</v>
      </c>
      <c r="U144" s="11">
        <f t="shared" si="9"/>
        <v>5.3904487067613395E-3</v>
      </c>
    </row>
    <row r="145" spans="1:21" x14ac:dyDescent="0.2">
      <c r="A145" s="1">
        <v>44231</v>
      </c>
      <c r="B145" s="3">
        <v>74.510002</v>
      </c>
      <c r="C145" s="3">
        <v>20.813334000000001</v>
      </c>
      <c r="D145" s="3">
        <v>28.139999</v>
      </c>
      <c r="E145" s="3">
        <v>69.599997999999999</v>
      </c>
      <c r="F145" s="3">
        <v>24.809999000000001</v>
      </c>
      <c r="G145" s="3">
        <v>22.129999000000002</v>
      </c>
      <c r="H145" s="3">
        <v>28.82</v>
      </c>
      <c r="I145" s="3">
        <v>37.323532</v>
      </c>
      <c r="J145" s="3">
        <v>89.290001000000004</v>
      </c>
      <c r="L145" s="11">
        <f t="shared" si="8"/>
        <v>2.772416551724138E-2</v>
      </c>
      <c r="M145" s="11">
        <f t="shared" si="8"/>
        <v>-8.2591489281812792E-3</v>
      </c>
      <c r="N145" s="11">
        <f t="shared" si="8"/>
        <v>-1.0200527611677812E-2</v>
      </c>
      <c r="O145" s="11">
        <f t="shared" si="8"/>
        <v>1.162783379529788E-2</v>
      </c>
      <c r="P145" s="11">
        <f t="shared" si="8"/>
        <v>-1.7425782178217771E-2</v>
      </c>
      <c r="Q145" s="11">
        <f t="shared" si="8"/>
        <v>-1.644448888888882E-2</v>
      </c>
      <c r="R145" s="11">
        <f t="shared" si="8"/>
        <v>-4.1465444317019366E-3</v>
      </c>
      <c r="S145" s="11">
        <f t="shared" si="8"/>
        <v>-2.1991577555436796E-2</v>
      </c>
      <c r="T145" s="11">
        <f t="shared" si="8"/>
        <v>-1.2606424859007001E-2</v>
      </c>
      <c r="U145" s="11">
        <f t="shared" si="9"/>
        <v>-5.746943904508018E-3</v>
      </c>
    </row>
    <row r="146" spans="1:21" x14ac:dyDescent="0.2">
      <c r="A146" s="1">
        <v>44230</v>
      </c>
      <c r="B146" s="3">
        <v>72.5</v>
      </c>
      <c r="C146" s="3">
        <v>20.986666</v>
      </c>
      <c r="D146" s="3">
        <v>28.43</v>
      </c>
      <c r="E146" s="3">
        <v>68.800003000000004</v>
      </c>
      <c r="F146" s="3">
        <v>25.25</v>
      </c>
      <c r="G146" s="3">
        <v>22.5</v>
      </c>
      <c r="H146" s="3">
        <v>28.940000999999999</v>
      </c>
      <c r="I146" s="3">
        <v>38.162792000000003</v>
      </c>
      <c r="J146" s="3">
        <v>90.43</v>
      </c>
      <c r="L146" s="11">
        <f t="shared" si="8"/>
        <v>0</v>
      </c>
      <c r="M146" s="11">
        <f t="shared" si="8"/>
        <v>4.3069071401150719E-3</v>
      </c>
      <c r="N146" s="11">
        <f t="shared" si="8"/>
        <v>1.3908665695126029E-2</v>
      </c>
      <c r="O146" s="11">
        <f t="shared" si="8"/>
        <v>1.9108294501309655E-2</v>
      </c>
      <c r="P146" s="11">
        <f t="shared" si="8"/>
        <v>0</v>
      </c>
      <c r="Q146" s="11">
        <f t="shared" si="8"/>
        <v>5.6338077762351085E-2</v>
      </c>
      <c r="R146" s="11">
        <f t="shared" si="8"/>
        <v>9.7697487787857164E-3</v>
      </c>
      <c r="S146" s="11">
        <f t="shared" si="8"/>
        <v>2.8201204685603484E-2</v>
      </c>
      <c r="T146" s="11">
        <f t="shared" si="8"/>
        <v>3.1599314095399837E-2</v>
      </c>
      <c r="U146" s="11">
        <f t="shared" si="9"/>
        <v>1.8136912517632317E-2</v>
      </c>
    </row>
    <row r="147" spans="1:21" x14ac:dyDescent="0.2">
      <c r="A147" s="1">
        <v>44229</v>
      </c>
      <c r="B147" s="3">
        <v>72.5</v>
      </c>
      <c r="C147" s="3">
        <v>20.896666</v>
      </c>
      <c r="D147" s="3">
        <v>28.040001</v>
      </c>
      <c r="E147" s="3">
        <v>67.510002</v>
      </c>
      <c r="F147" s="3">
        <v>25.25</v>
      </c>
      <c r="G147" s="3">
        <v>21.299999</v>
      </c>
      <c r="H147" s="3">
        <v>28.66</v>
      </c>
      <c r="I147" s="3">
        <v>37.116073999999998</v>
      </c>
      <c r="J147" s="3">
        <v>87.660004000000001</v>
      </c>
      <c r="L147" s="11">
        <f t="shared" si="8"/>
        <v>8.3448954563311323E-3</v>
      </c>
      <c r="M147" s="11">
        <f t="shared" si="8"/>
        <v>2.3510204849312832E-2</v>
      </c>
      <c r="N147" s="11">
        <f t="shared" si="8"/>
        <v>-8.4865626419178154E-3</v>
      </c>
      <c r="O147" s="11">
        <f t="shared" si="8"/>
        <v>5.5668505775316561E-2</v>
      </c>
      <c r="P147" s="11">
        <f t="shared" si="8"/>
        <v>5.5160885917258685E-2</v>
      </c>
      <c r="Q147" s="11">
        <f t="shared" si="8"/>
        <v>-4.6926327870787615E-4</v>
      </c>
      <c r="R147" s="11">
        <f t="shared" si="8"/>
        <v>4.1046093677947981E-2</v>
      </c>
      <c r="S147" s="11">
        <f t="shared" si="8"/>
        <v>-5.3070552253944303E-3</v>
      </c>
      <c r="T147" s="11">
        <f t="shared" si="8"/>
        <v>-3.955289929504438E-2</v>
      </c>
      <c r="U147" s="11">
        <f t="shared" si="9"/>
        <v>1.4434978359455853E-2</v>
      </c>
    </row>
    <row r="148" spans="1:21" x14ac:dyDescent="0.2">
      <c r="A148" s="1">
        <v>44228</v>
      </c>
      <c r="B148" s="3">
        <v>71.900002000000001</v>
      </c>
      <c r="C148" s="3">
        <v>20.416665999999999</v>
      </c>
      <c r="D148" s="3">
        <v>28.280000999999999</v>
      </c>
      <c r="E148" s="3">
        <v>63.950001</v>
      </c>
      <c r="F148" s="3">
        <v>23.93</v>
      </c>
      <c r="G148" s="3">
        <v>21.309999000000001</v>
      </c>
      <c r="H148" s="3">
        <v>27.530000999999999</v>
      </c>
      <c r="I148" s="3">
        <v>37.314101999999998</v>
      </c>
      <c r="J148" s="3">
        <v>91.269997000000004</v>
      </c>
      <c r="L148" s="11">
        <f t="shared" si="8"/>
        <v>1.8846563695621477E-2</v>
      </c>
      <c r="M148" s="11">
        <f t="shared" si="8"/>
        <v>2.4247526705520144E-2</v>
      </c>
      <c r="N148" s="11">
        <f t="shared" si="8"/>
        <v>1.3620107526881722E-2</v>
      </c>
      <c r="O148" s="11">
        <f t="shared" si="8"/>
        <v>1.0958046165340588E-3</v>
      </c>
      <c r="P148" s="11">
        <f t="shared" si="8"/>
        <v>-6.6417600664176067E-3</v>
      </c>
      <c r="Q148" s="11">
        <f t="shared" si="8"/>
        <v>5.1885846609158615E-3</v>
      </c>
      <c r="R148" s="11">
        <f t="shared" si="8"/>
        <v>3.1472460416917925E-2</v>
      </c>
      <c r="S148" s="11">
        <f t="shared" si="8"/>
        <v>-2.2721646512309141E-2</v>
      </c>
      <c r="T148" s="11">
        <f t="shared" si="8"/>
        <v>3.7748722151747287E-2</v>
      </c>
      <c r="U148" s="11">
        <f t="shared" si="9"/>
        <v>1.1428484799490192E-2</v>
      </c>
    </row>
    <row r="149" spans="1:21" x14ac:dyDescent="0.2">
      <c r="A149" s="1">
        <v>44225</v>
      </c>
      <c r="B149" s="3">
        <v>70.569999999999993</v>
      </c>
      <c r="C149" s="3">
        <v>19.933332</v>
      </c>
      <c r="D149" s="3">
        <v>27.9</v>
      </c>
      <c r="E149" s="3">
        <v>63.880001</v>
      </c>
      <c r="F149" s="3">
        <v>24.09</v>
      </c>
      <c r="G149" s="3">
        <v>21.200001</v>
      </c>
      <c r="H149" s="3">
        <v>26.690000999999999</v>
      </c>
      <c r="I149" s="3">
        <v>38.181652</v>
      </c>
      <c r="J149" s="3">
        <v>87.949996999999996</v>
      </c>
      <c r="L149" s="11">
        <f t="shared" si="8"/>
        <v>-2.7827470881800383E-2</v>
      </c>
      <c r="M149" s="11">
        <f t="shared" si="8"/>
        <v>-2.4310719530102776E-2</v>
      </c>
      <c r="N149" s="11">
        <f t="shared" si="8"/>
        <v>-1.3785824892689173E-2</v>
      </c>
      <c r="O149" s="11">
        <f t="shared" si="8"/>
        <v>-4.9970212670143149E-2</v>
      </c>
      <c r="P149" s="11">
        <f t="shared" si="8"/>
        <v>-3.0583501006036278E-2</v>
      </c>
      <c r="Q149" s="11">
        <f t="shared" si="8"/>
        <v>-2.7522845299213058E-2</v>
      </c>
      <c r="R149" s="11">
        <f t="shared" si="8"/>
        <v>-3.8544632564841599E-2</v>
      </c>
      <c r="S149" s="11">
        <f t="shared" si="8"/>
        <v>-1.2920487567227038E-2</v>
      </c>
      <c r="T149" s="11">
        <f t="shared" si="8"/>
        <v>-3.4577399222335915E-2</v>
      </c>
      <c r="U149" s="11">
        <f t="shared" si="9"/>
        <v>-2.8893677070487709E-2</v>
      </c>
    </row>
    <row r="150" spans="1:21" x14ac:dyDescent="0.2">
      <c r="A150" s="1">
        <v>44224</v>
      </c>
      <c r="B150" s="3">
        <v>72.589995999999999</v>
      </c>
      <c r="C150" s="3">
        <v>20.43</v>
      </c>
      <c r="D150" s="3">
        <v>28.290001</v>
      </c>
      <c r="E150" s="3">
        <v>67.239998</v>
      </c>
      <c r="F150" s="3">
        <v>24.85</v>
      </c>
      <c r="G150" s="3">
        <v>21.799999</v>
      </c>
      <c r="H150" s="3">
        <v>27.76</v>
      </c>
      <c r="I150" s="3">
        <v>38.681435</v>
      </c>
      <c r="J150" s="3">
        <v>91.099997999999999</v>
      </c>
      <c r="L150" s="11">
        <f t="shared" si="8"/>
        <v>2.1962509108299375E-2</v>
      </c>
      <c r="M150" s="11">
        <f t="shared" si="8"/>
        <v>3.8637519064565223E-2</v>
      </c>
      <c r="N150" s="11">
        <f t="shared" si="8"/>
        <v>-1.4285713787954228E-2</v>
      </c>
      <c r="O150" s="11">
        <f t="shared" si="8"/>
        <v>3.477985373438662E-2</v>
      </c>
      <c r="P150" s="11">
        <f t="shared" si="8"/>
        <v>1.6359876631497933E-2</v>
      </c>
      <c r="Q150" s="11">
        <f t="shared" si="8"/>
        <v>6.7058198727361726E-2</v>
      </c>
      <c r="R150" s="11">
        <f t="shared" si="8"/>
        <v>1.3138686131386971E-2</v>
      </c>
      <c r="S150" s="11">
        <f t="shared" si="8"/>
        <v>1.7361091111379172E-2</v>
      </c>
      <c r="T150" s="11">
        <f t="shared" si="8"/>
        <v>2.1300460357638839E-2</v>
      </c>
      <c r="U150" s="11">
        <f t="shared" si="9"/>
        <v>2.4034720119840178E-2</v>
      </c>
    </row>
    <row r="151" spans="1:21" x14ac:dyDescent="0.2">
      <c r="A151" s="1">
        <v>44223</v>
      </c>
      <c r="B151" s="3">
        <v>71.029999000000004</v>
      </c>
      <c r="C151" s="3">
        <v>19.670000000000002</v>
      </c>
      <c r="D151" s="3">
        <v>28.700001</v>
      </c>
      <c r="E151" s="3">
        <v>64.980002999999996</v>
      </c>
      <c r="F151" s="3">
        <v>24.450001</v>
      </c>
      <c r="G151" s="3">
        <v>20.43</v>
      </c>
      <c r="H151" s="3">
        <v>27.4</v>
      </c>
      <c r="I151" s="3">
        <v>38.021343000000002</v>
      </c>
      <c r="J151" s="3">
        <v>89.199996999999996</v>
      </c>
      <c r="L151" s="11">
        <f t="shared" si="8"/>
        <v>2.9271075807243183E-2</v>
      </c>
      <c r="M151" s="11">
        <f t="shared" si="8"/>
        <v>-4.8903542964705846E-3</v>
      </c>
      <c r="N151" s="11">
        <f t="shared" si="8"/>
        <v>-2.014339296198726E-2</v>
      </c>
      <c r="O151" s="11">
        <f t="shared" si="8"/>
        <v>-1.4857428969942828E-2</v>
      </c>
      <c r="P151" s="11">
        <f t="shared" si="8"/>
        <v>4.1068172484599137E-3</v>
      </c>
      <c r="Q151" s="11">
        <f t="shared" si="8"/>
        <v>-3.9005363237446045E-3</v>
      </c>
      <c r="R151" s="11">
        <f t="shared" si="8"/>
        <v>1.4814814814814762E-2</v>
      </c>
      <c r="S151" s="11">
        <f t="shared" si="8"/>
        <v>5.7371016193727541E-3</v>
      </c>
      <c r="T151" s="11">
        <f t="shared" si="8"/>
        <v>-2.7792948228882876E-2</v>
      </c>
      <c r="U151" s="11">
        <f t="shared" si="9"/>
        <v>-1.9616501434597268E-3</v>
      </c>
    </row>
    <row r="152" spans="1:21" x14ac:dyDescent="0.2">
      <c r="A152" s="1">
        <v>44222</v>
      </c>
      <c r="B152" s="3">
        <v>69.010002</v>
      </c>
      <c r="C152" s="3">
        <v>19.766666000000001</v>
      </c>
      <c r="D152" s="3">
        <v>29.290001</v>
      </c>
      <c r="E152" s="3">
        <v>65.959998999999996</v>
      </c>
      <c r="F152" s="3">
        <v>24.35</v>
      </c>
      <c r="G152" s="3">
        <v>20.51</v>
      </c>
      <c r="H152" s="3">
        <v>27</v>
      </c>
      <c r="I152" s="3">
        <v>37.804454999999997</v>
      </c>
      <c r="J152" s="3">
        <v>91.75</v>
      </c>
      <c r="L152" s="11">
        <f t="shared" si="8"/>
        <v>-6.7645506578345475E-3</v>
      </c>
      <c r="M152" s="11">
        <f t="shared" si="8"/>
        <v>1.2809564912367717E-2</v>
      </c>
      <c r="N152" s="11">
        <f t="shared" si="8"/>
        <v>2.7358856541564312E-2</v>
      </c>
      <c r="O152" s="11">
        <f t="shared" si="8"/>
        <v>-2.2959605304114845E-2</v>
      </c>
      <c r="P152" s="11">
        <f t="shared" si="8"/>
        <v>-1.6955995155429882E-2</v>
      </c>
      <c r="Q152" s="11">
        <f t="shared" si="8"/>
        <v>6.3788521285010873E-3</v>
      </c>
      <c r="R152" s="11">
        <f t="shared" si="8"/>
        <v>-3.3222591362126195E-3</v>
      </c>
      <c r="S152" s="11">
        <f t="shared" si="8"/>
        <v>9.9876253533698897E-4</v>
      </c>
      <c r="T152" s="11">
        <f t="shared" si="8"/>
        <v>-1.5240936250744651E-2</v>
      </c>
      <c r="U152" s="11">
        <f t="shared" si="9"/>
        <v>-1.9663678207296042E-3</v>
      </c>
    </row>
    <row r="153" spans="1:21" x14ac:dyDescent="0.2">
      <c r="A153" s="1">
        <v>44218</v>
      </c>
      <c r="B153" s="3">
        <v>69.480002999999996</v>
      </c>
      <c r="C153" s="3">
        <v>19.516666000000001</v>
      </c>
      <c r="D153" s="3">
        <v>28.51</v>
      </c>
      <c r="E153" s="3">
        <v>67.510002</v>
      </c>
      <c r="F153" s="3">
        <v>24.77</v>
      </c>
      <c r="G153" s="3">
        <v>20.379999000000002</v>
      </c>
      <c r="H153" s="3">
        <v>27.09</v>
      </c>
      <c r="I153" s="3">
        <v>37.766734999999997</v>
      </c>
      <c r="J153" s="3">
        <v>93.169998000000007</v>
      </c>
      <c r="L153" s="11">
        <f t="shared" si="8"/>
        <v>-7.4285285714286225E-3</v>
      </c>
      <c r="M153" s="11">
        <f t="shared" si="8"/>
        <v>7.7452150129911929E-3</v>
      </c>
      <c r="N153" s="11">
        <f t="shared" si="8"/>
        <v>-1.9938123066345764E-2</v>
      </c>
      <c r="O153" s="11">
        <f t="shared" si="8"/>
        <v>-5.8901778300587439E-3</v>
      </c>
      <c r="P153" s="11">
        <f t="shared" si="8"/>
        <v>-2.0561525481948402E-2</v>
      </c>
      <c r="Q153" s="11">
        <f t="shared" si="8"/>
        <v>-1.0199174356483648E-2</v>
      </c>
      <c r="R153" s="11">
        <f t="shared" si="8"/>
        <v>-1.6696879008961118E-2</v>
      </c>
      <c r="S153" s="11">
        <f t="shared" si="8"/>
        <v>-1.2086881508868748E-2</v>
      </c>
      <c r="T153" s="11">
        <f t="shared" si="8"/>
        <v>-2.0351649310713926E-3</v>
      </c>
      <c r="U153" s="11">
        <f t="shared" si="9"/>
        <v>-9.676804415797248E-3</v>
      </c>
    </row>
    <row r="154" spans="1:21" x14ac:dyDescent="0.2">
      <c r="A154" s="1">
        <v>44217</v>
      </c>
      <c r="B154" s="3">
        <v>70</v>
      </c>
      <c r="C154" s="3">
        <v>19.366667</v>
      </c>
      <c r="D154" s="3">
        <v>29.09</v>
      </c>
      <c r="E154" s="3">
        <v>67.910004000000001</v>
      </c>
      <c r="F154" s="3">
        <v>25.290001</v>
      </c>
      <c r="G154" s="3">
        <v>20.59</v>
      </c>
      <c r="H154" s="3">
        <v>27.549999</v>
      </c>
      <c r="I154" s="3">
        <v>38.228802000000002</v>
      </c>
      <c r="J154" s="3">
        <v>93.360000999999997</v>
      </c>
      <c r="L154" s="11">
        <f t="shared" si="8"/>
        <v>0</v>
      </c>
      <c r="M154" s="11">
        <f t="shared" si="8"/>
        <v>-3.1666650000000018E-2</v>
      </c>
      <c r="N154" s="11">
        <f t="shared" si="8"/>
        <v>-4.1081480351984941E-3</v>
      </c>
      <c r="O154" s="11">
        <f t="shared" si="8"/>
        <v>-2.3860802069857592E-2</v>
      </c>
      <c r="P154" s="11">
        <f t="shared" si="8"/>
        <v>-1.4035048732943409E-2</v>
      </c>
      <c r="Q154" s="11">
        <f t="shared" si="8"/>
        <v>-1.765262488800691E-2</v>
      </c>
      <c r="R154" s="11">
        <f t="shared" si="8"/>
        <v>-2.3395959709179719E-2</v>
      </c>
      <c r="S154" s="11">
        <f t="shared" si="8"/>
        <v>-8.8018714863446219E-3</v>
      </c>
      <c r="T154" s="11">
        <f t="shared" si="8"/>
        <v>1.126517547660316E-2</v>
      </c>
      <c r="U154" s="11">
        <f t="shared" si="9"/>
        <v>-1.2472881049436399E-2</v>
      </c>
    </row>
    <row r="155" spans="1:21" x14ac:dyDescent="0.2">
      <c r="A155" s="1">
        <v>44216</v>
      </c>
      <c r="B155" s="3">
        <v>70</v>
      </c>
      <c r="C155" s="3">
        <v>20</v>
      </c>
      <c r="D155" s="3">
        <v>29.209999</v>
      </c>
      <c r="E155" s="3">
        <v>69.569999999999993</v>
      </c>
      <c r="F155" s="3">
        <v>25.65</v>
      </c>
      <c r="G155" s="3">
        <v>20.959999</v>
      </c>
      <c r="H155" s="3">
        <v>28.209999</v>
      </c>
      <c r="I155" s="3">
        <v>38.568275</v>
      </c>
      <c r="J155" s="3">
        <v>92.32</v>
      </c>
      <c r="L155" s="11">
        <f t="shared" ref="L155:T183" si="10">(B155-B156)/B156</f>
        <v>-3.5587188612099642E-3</v>
      </c>
      <c r="M155" s="11">
        <f t="shared" si="10"/>
        <v>-9.7375968024823838E-3</v>
      </c>
      <c r="N155" s="11">
        <f t="shared" si="10"/>
        <v>6.850976127065248E-4</v>
      </c>
      <c r="O155" s="11">
        <f t="shared" si="10"/>
        <v>1.1191816372449712E-2</v>
      </c>
      <c r="P155" s="11">
        <f t="shared" si="10"/>
        <v>4.0567951318458417E-2</v>
      </c>
      <c r="Q155" s="11">
        <f t="shared" si="10"/>
        <v>-1.0854270370256186E-2</v>
      </c>
      <c r="R155" s="11">
        <f t="shared" si="10"/>
        <v>-1.6730637269758163E-2</v>
      </c>
      <c r="S155" s="11">
        <f t="shared" si="10"/>
        <v>-4.8662077338849233E-3</v>
      </c>
      <c r="T155" s="11">
        <f t="shared" si="10"/>
        <v>-1.8498809664018918E-2</v>
      </c>
      <c r="U155" s="11">
        <f t="shared" si="9"/>
        <v>-1.3112639331106536E-3</v>
      </c>
    </row>
    <row r="156" spans="1:21" x14ac:dyDescent="0.2">
      <c r="A156" s="1">
        <v>44215</v>
      </c>
      <c r="B156" s="3">
        <v>70.25</v>
      </c>
      <c r="C156" s="3">
        <v>20.196667000000001</v>
      </c>
      <c r="D156" s="3">
        <v>29.190000999999999</v>
      </c>
      <c r="E156" s="3">
        <v>68.800003000000004</v>
      </c>
      <c r="F156" s="3">
        <v>24.65</v>
      </c>
      <c r="G156" s="3">
        <v>21.190000999999999</v>
      </c>
      <c r="H156" s="3">
        <v>28.690000999999999</v>
      </c>
      <c r="I156" s="3">
        <v>38.756874000000003</v>
      </c>
      <c r="J156" s="3">
        <v>94.059997999999993</v>
      </c>
      <c r="L156" s="11">
        <f t="shared" si="10"/>
        <v>2.2413055194484922E-2</v>
      </c>
      <c r="M156" s="11">
        <f t="shared" si="10"/>
        <v>-3.453898139930823E-3</v>
      </c>
      <c r="N156" s="11">
        <f t="shared" si="10"/>
        <v>-3.4141344003368736E-3</v>
      </c>
      <c r="O156" s="11">
        <f t="shared" si="10"/>
        <v>-2.6736440041407877E-2</v>
      </c>
      <c r="P156" s="11">
        <f t="shared" si="10"/>
        <v>1.1489494809622705E-2</v>
      </c>
      <c r="Q156" s="11">
        <f t="shared" si="10"/>
        <v>-1.0737581699346542E-2</v>
      </c>
      <c r="R156" s="11">
        <f t="shared" si="10"/>
        <v>2.2087673672960401E-2</v>
      </c>
      <c r="S156" s="11">
        <f t="shared" si="10"/>
        <v>-1.5097115800986742E-2</v>
      </c>
      <c r="T156" s="11">
        <f t="shared" si="10"/>
        <v>-2.6508324175767667E-3</v>
      </c>
      <c r="U156" s="11">
        <f t="shared" si="9"/>
        <v>-6.7775320250195532E-4</v>
      </c>
    </row>
    <row r="157" spans="1:21" x14ac:dyDescent="0.2">
      <c r="A157" s="1">
        <v>44214</v>
      </c>
      <c r="B157" s="3">
        <v>68.709998999999996</v>
      </c>
      <c r="C157" s="3">
        <v>20.266666000000001</v>
      </c>
      <c r="D157" s="3">
        <v>29.290001</v>
      </c>
      <c r="E157" s="3">
        <v>70.690002000000007</v>
      </c>
      <c r="F157" s="3">
        <v>24.370000999999998</v>
      </c>
      <c r="G157" s="3">
        <v>21.42</v>
      </c>
      <c r="H157" s="3">
        <v>28.07</v>
      </c>
      <c r="I157" s="3">
        <v>39.350960000000001</v>
      </c>
      <c r="J157" s="3">
        <v>94.309997999999993</v>
      </c>
      <c r="L157" s="11">
        <f t="shared" si="10"/>
        <v>1.9284897238694653E-2</v>
      </c>
      <c r="M157" s="11">
        <f t="shared" si="10"/>
        <v>1.6382396369990251E-2</v>
      </c>
      <c r="N157" s="11">
        <f t="shared" si="10"/>
        <v>1.3845691029618957E-2</v>
      </c>
      <c r="O157" s="11">
        <f t="shared" si="10"/>
        <v>-2.8280300216083139E-4</v>
      </c>
      <c r="P157" s="11">
        <f t="shared" si="10"/>
        <v>2.8807408592896972E-3</v>
      </c>
      <c r="Q157" s="11">
        <f t="shared" si="10"/>
        <v>3.2786885245901769E-3</v>
      </c>
      <c r="R157" s="11">
        <f t="shared" si="10"/>
        <v>-1.7781293820010244E-3</v>
      </c>
      <c r="S157" s="11">
        <f t="shared" si="10"/>
        <v>-1.0433896421687978E-2</v>
      </c>
      <c r="T157" s="11">
        <f t="shared" si="10"/>
        <v>8.1239441542293629E-3</v>
      </c>
      <c r="U157" s="11">
        <f t="shared" si="9"/>
        <v>5.700169930062584E-3</v>
      </c>
    </row>
    <row r="158" spans="1:21" x14ac:dyDescent="0.2">
      <c r="A158" s="1">
        <v>44211</v>
      </c>
      <c r="B158" s="3">
        <v>67.410004000000001</v>
      </c>
      <c r="C158" s="3">
        <v>19.940000999999999</v>
      </c>
      <c r="D158" s="3">
        <v>28.889999</v>
      </c>
      <c r="E158" s="3">
        <v>70.709998999999996</v>
      </c>
      <c r="F158" s="3">
        <v>24.299999</v>
      </c>
      <c r="G158" s="3">
        <v>21.35</v>
      </c>
      <c r="H158" s="3">
        <v>28.120000999999998</v>
      </c>
      <c r="I158" s="3">
        <v>39.765872999999999</v>
      </c>
      <c r="J158" s="3">
        <v>93.550003000000004</v>
      </c>
      <c r="L158" s="11">
        <f t="shared" si="10"/>
        <v>1.8124226221480601E-2</v>
      </c>
      <c r="M158" s="11">
        <f t="shared" si="10"/>
        <v>-2.9840999510882239E-2</v>
      </c>
      <c r="N158" s="11">
        <f t="shared" si="10"/>
        <v>1.6537614356087187E-2</v>
      </c>
      <c r="O158" s="11">
        <f t="shared" si="10"/>
        <v>-4.3554727444880433E-2</v>
      </c>
      <c r="P158" s="11">
        <f t="shared" si="10"/>
        <v>1.3344412010008308E-2</v>
      </c>
      <c r="Q158" s="11">
        <f t="shared" si="10"/>
        <v>-2.6891566686801763E-2</v>
      </c>
      <c r="R158" s="11">
        <f t="shared" si="10"/>
        <v>-4.5161288789090426E-2</v>
      </c>
      <c r="S158" s="11">
        <f t="shared" si="10"/>
        <v>-1.5639636515742315E-2</v>
      </c>
      <c r="T158" s="11">
        <f t="shared" si="10"/>
        <v>-4.3456031386829304E-2</v>
      </c>
      <c r="U158" s="11">
        <f t="shared" si="9"/>
        <v>-1.7393110860738931E-2</v>
      </c>
    </row>
    <row r="159" spans="1:21" x14ac:dyDescent="0.2">
      <c r="A159" s="1">
        <v>44210</v>
      </c>
      <c r="B159" s="3">
        <v>66.209998999999996</v>
      </c>
      <c r="C159" s="3">
        <v>20.553332999999999</v>
      </c>
      <c r="D159" s="3">
        <v>28.42</v>
      </c>
      <c r="E159" s="3">
        <v>73.930000000000007</v>
      </c>
      <c r="F159" s="3">
        <v>23.98</v>
      </c>
      <c r="G159" s="3">
        <v>21.940000999999999</v>
      </c>
      <c r="H159" s="3">
        <v>29.450001</v>
      </c>
      <c r="I159" s="3">
        <v>40.397677999999999</v>
      </c>
      <c r="J159" s="3">
        <v>97.800003000000004</v>
      </c>
      <c r="L159" s="11">
        <f t="shared" si="10"/>
        <v>3.7774295262919935E-2</v>
      </c>
      <c r="M159" s="11">
        <f t="shared" si="10"/>
        <v>-7.0854102857290588E-3</v>
      </c>
      <c r="N159" s="11">
        <f t="shared" si="10"/>
        <v>-1.592794376481799E-2</v>
      </c>
      <c r="O159" s="11">
        <f t="shared" si="10"/>
        <v>4.0534790688186217E-2</v>
      </c>
      <c r="P159" s="11">
        <f t="shared" si="10"/>
        <v>1.6101694915254195E-2</v>
      </c>
      <c r="Q159" s="11">
        <f t="shared" si="10"/>
        <v>2.141531657355672E-2</v>
      </c>
      <c r="R159" s="11">
        <f t="shared" si="10"/>
        <v>1.0291629502572959E-2</v>
      </c>
      <c r="S159" s="11">
        <f t="shared" si="10"/>
        <v>4.4548641906424951E-3</v>
      </c>
      <c r="T159" s="11">
        <f t="shared" si="10"/>
        <v>1.6420723171682441E-2</v>
      </c>
      <c r="U159" s="11">
        <f t="shared" si="9"/>
        <v>1.37755511393631E-2</v>
      </c>
    </row>
    <row r="160" spans="1:21" x14ac:dyDescent="0.2">
      <c r="A160" s="1">
        <v>44209</v>
      </c>
      <c r="B160" s="3">
        <v>63.799999</v>
      </c>
      <c r="C160" s="3">
        <v>20.700001</v>
      </c>
      <c r="D160" s="3">
        <v>28.879999000000002</v>
      </c>
      <c r="E160" s="3">
        <v>71.050003000000004</v>
      </c>
      <c r="F160" s="3">
        <v>23.6</v>
      </c>
      <c r="G160" s="3">
        <v>21.48</v>
      </c>
      <c r="H160" s="3">
        <v>29.15</v>
      </c>
      <c r="I160" s="3">
        <v>40.218510000000002</v>
      </c>
      <c r="J160" s="3">
        <v>96.220000999999996</v>
      </c>
      <c r="L160" s="11">
        <f t="shared" si="10"/>
        <v>-1.5674658898689041E-4</v>
      </c>
      <c r="M160" s="11">
        <f t="shared" si="10"/>
        <v>4.0420694576868647E-3</v>
      </c>
      <c r="N160" s="11">
        <f t="shared" si="10"/>
        <v>-2.7281979545908309E-2</v>
      </c>
      <c r="O160" s="11">
        <f t="shared" si="10"/>
        <v>-4.2204557056694305E-4</v>
      </c>
      <c r="P160" s="11">
        <f t="shared" si="10"/>
        <v>-2.5359256128486356E-3</v>
      </c>
      <c r="Q160" s="11">
        <f t="shared" si="10"/>
        <v>-7.3936694729052031E-3</v>
      </c>
      <c r="R160" s="11">
        <f t="shared" si="10"/>
        <v>-4.831861078415324E-2</v>
      </c>
      <c r="S160" s="11">
        <f t="shared" si="10"/>
        <v>5.4220052732363491E-3</v>
      </c>
      <c r="T160" s="11">
        <f t="shared" si="10"/>
        <v>-2.9942544007610872E-2</v>
      </c>
      <c r="U160" s="11">
        <f t="shared" si="9"/>
        <v>-1.1843049650228542E-2</v>
      </c>
    </row>
    <row r="161" spans="1:21" x14ac:dyDescent="0.2">
      <c r="A161" s="1">
        <v>44208</v>
      </c>
      <c r="B161" s="3">
        <v>63.810001</v>
      </c>
      <c r="C161" s="3">
        <v>20.616667</v>
      </c>
      <c r="D161" s="3">
        <v>29.690000999999999</v>
      </c>
      <c r="E161" s="3">
        <v>71.080001999999993</v>
      </c>
      <c r="F161" s="3">
        <v>23.66</v>
      </c>
      <c r="G161" s="3">
        <v>21.639999</v>
      </c>
      <c r="H161" s="3">
        <v>30.629999000000002</v>
      </c>
      <c r="I161" s="3">
        <v>40.001621</v>
      </c>
      <c r="J161" s="3">
        <v>99.190002000000007</v>
      </c>
      <c r="L161" s="11">
        <f t="shared" si="10"/>
        <v>1.1252028882790146E-2</v>
      </c>
      <c r="M161" s="11">
        <f t="shared" si="10"/>
        <v>2.8946930145617444E-2</v>
      </c>
      <c r="N161" s="11">
        <f t="shared" si="10"/>
        <v>6.4407118644067372E-3</v>
      </c>
      <c r="O161" s="11">
        <f t="shared" si="10"/>
        <v>2.0970970081687534E-2</v>
      </c>
      <c r="P161" s="11">
        <f t="shared" si="10"/>
        <v>1.1976091188027792E-2</v>
      </c>
      <c r="Q161" s="11">
        <f t="shared" si="10"/>
        <v>1.0270728291316424E-2</v>
      </c>
      <c r="R161" s="11">
        <f t="shared" si="10"/>
        <v>-7.4530781771523251E-3</v>
      </c>
      <c r="S161" s="11">
        <f t="shared" si="10"/>
        <v>2.3579603328064287E-4</v>
      </c>
      <c r="T161" s="11">
        <f t="shared" si="10"/>
        <v>-2.7358314551137929E-2</v>
      </c>
      <c r="U161" s="11">
        <f t="shared" si="9"/>
        <v>6.1424293065373845E-3</v>
      </c>
    </row>
    <row r="162" spans="1:21" x14ac:dyDescent="0.2">
      <c r="A162" s="1">
        <v>44207</v>
      </c>
      <c r="B162" s="3">
        <v>63.099997999999999</v>
      </c>
      <c r="C162" s="3">
        <v>20.036667000000001</v>
      </c>
      <c r="D162" s="3">
        <v>29.5</v>
      </c>
      <c r="E162" s="3">
        <v>69.620002999999997</v>
      </c>
      <c r="F162" s="3">
        <v>23.379999000000002</v>
      </c>
      <c r="G162" s="3">
        <v>21.42</v>
      </c>
      <c r="H162" s="3">
        <v>30.860001</v>
      </c>
      <c r="I162" s="3">
        <v>39.992190999999998</v>
      </c>
      <c r="J162" s="3">
        <v>101.980003</v>
      </c>
      <c r="L162" s="11">
        <f t="shared" si="10"/>
        <v>-1.5600624511719953E-2</v>
      </c>
      <c r="M162" s="11">
        <f t="shared" si="10"/>
        <v>-4.1154842595464675E-2</v>
      </c>
      <c r="N162" s="11">
        <f t="shared" si="10"/>
        <v>2.111460786135716E-2</v>
      </c>
      <c r="O162" s="11">
        <f t="shared" si="10"/>
        <v>-1.9436577464788773E-2</v>
      </c>
      <c r="P162" s="11">
        <f t="shared" si="10"/>
        <v>-1.9295343959731474E-2</v>
      </c>
      <c r="Q162" s="11">
        <f t="shared" si="10"/>
        <v>-4.289539959318138E-2</v>
      </c>
      <c r="R162" s="11">
        <f t="shared" si="10"/>
        <v>-8.3547555155926261E-3</v>
      </c>
      <c r="S162" s="11">
        <f t="shared" si="10"/>
        <v>-7.4889160156528601E-3</v>
      </c>
      <c r="T162" s="11">
        <f t="shared" si="10"/>
        <v>-1.960490196078784E-4</v>
      </c>
      <c r="U162" s="11">
        <f t="shared" si="9"/>
        <v>-1.4811988979375829E-2</v>
      </c>
    </row>
    <row r="163" spans="1:21" x14ac:dyDescent="0.2">
      <c r="A163" s="1">
        <v>44204</v>
      </c>
      <c r="B163" s="3">
        <v>64.099997999999999</v>
      </c>
      <c r="C163" s="3">
        <v>20.896666</v>
      </c>
      <c r="D163" s="3">
        <v>28.889999</v>
      </c>
      <c r="E163" s="3">
        <v>71</v>
      </c>
      <c r="F163" s="3">
        <v>23.84</v>
      </c>
      <c r="G163" s="3">
        <v>22.379999000000002</v>
      </c>
      <c r="H163" s="3">
        <v>31.120000999999998</v>
      </c>
      <c r="I163" s="3">
        <v>40.293948999999998</v>
      </c>
      <c r="J163" s="3">
        <v>102</v>
      </c>
      <c r="L163" s="11">
        <f t="shared" si="10"/>
        <v>1.8753973895549069E-2</v>
      </c>
      <c r="M163" s="11">
        <f t="shared" si="10"/>
        <v>1.4729719309143345E-2</v>
      </c>
      <c r="N163" s="11">
        <f t="shared" si="10"/>
        <v>4.0706015850144016E-2</v>
      </c>
      <c r="O163" s="11">
        <f t="shared" si="10"/>
        <v>6.7508613215798735E-2</v>
      </c>
      <c r="P163" s="11">
        <f t="shared" si="10"/>
        <v>2.8472821397756694E-2</v>
      </c>
      <c r="Q163" s="11">
        <f t="shared" si="10"/>
        <v>3.6111064814814818E-2</v>
      </c>
      <c r="R163" s="11">
        <f t="shared" si="10"/>
        <v>3.8709999999999504E-3</v>
      </c>
      <c r="S163" s="11">
        <f t="shared" si="10"/>
        <v>4.0925763252664796E-2</v>
      </c>
      <c r="T163" s="11">
        <f t="shared" si="10"/>
        <v>-3.1274433150898476E-3</v>
      </c>
      <c r="U163" s="11">
        <f t="shared" si="9"/>
        <v>2.755016982453129E-2</v>
      </c>
    </row>
    <row r="164" spans="1:21" x14ac:dyDescent="0.2">
      <c r="A164" s="1">
        <v>44203</v>
      </c>
      <c r="B164" s="3">
        <v>62.919998</v>
      </c>
      <c r="C164" s="3">
        <v>20.593332</v>
      </c>
      <c r="D164" s="3">
        <v>27.76</v>
      </c>
      <c r="E164" s="3">
        <v>66.510002</v>
      </c>
      <c r="F164" s="3">
        <v>23.18</v>
      </c>
      <c r="G164" s="3">
        <v>21.6</v>
      </c>
      <c r="H164" s="3">
        <v>31</v>
      </c>
      <c r="I164" s="3">
        <v>38.709724000000001</v>
      </c>
      <c r="J164" s="3">
        <v>102.32</v>
      </c>
      <c r="L164" s="11">
        <f t="shared" si="10"/>
        <v>-1.2698730158730214E-3</v>
      </c>
      <c r="M164" s="11">
        <f t="shared" si="10"/>
        <v>2.795336153000608E-2</v>
      </c>
      <c r="N164" s="11">
        <f t="shared" si="10"/>
        <v>5.3110733948758239E-2</v>
      </c>
      <c r="O164" s="11">
        <f t="shared" si="10"/>
        <v>4.7401606299212598E-2</v>
      </c>
      <c r="P164" s="11">
        <f t="shared" si="10"/>
        <v>-1.2356157322375756E-2</v>
      </c>
      <c r="Q164" s="11">
        <f t="shared" si="10"/>
        <v>-9.2511559088258365E-4</v>
      </c>
      <c r="R164" s="11">
        <f t="shared" si="10"/>
        <v>2.9900332225913574E-2</v>
      </c>
      <c r="S164" s="11">
        <f t="shared" si="10"/>
        <v>-1.5351469377746505E-2</v>
      </c>
      <c r="T164" s="11">
        <f t="shared" si="10"/>
        <v>6.5278467508220583E-2</v>
      </c>
      <c r="U164" s="11">
        <f t="shared" si="9"/>
        <v>2.152687624502591E-2</v>
      </c>
    </row>
    <row r="165" spans="1:21" x14ac:dyDescent="0.2">
      <c r="A165" s="1">
        <v>44202</v>
      </c>
      <c r="B165" s="3">
        <v>63</v>
      </c>
      <c r="C165" s="3">
        <v>20.033332999999999</v>
      </c>
      <c r="D165" s="3">
        <v>26.360001</v>
      </c>
      <c r="E165" s="3">
        <v>63.5</v>
      </c>
      <c r="F165" s="3">
        <v>23.469999000000001</v>
      </c>
      <c r="G165" s="3">
        <v>21.620000999999998</v>
      </c>
      <c r="H165" s="3">
        <v>30.1</v>
      </c>
      <c r="I165" s="3">
        <v>39.31324</v>
      </c>
      <c r="J165" s="3">
        <v>96.050003000000004</v>
      </c>
      <c r="L165" s="11">
        <f t="shared" si="10"/>
        <v>-5.9139770895157817E-2</v>
      </c>
      <c r="M165" s="11">
        <f t="shared" si="10"/>
        <v>-1.6366644576650696E-2</v>
      </c>
      <c r="N165" s="11">
        <f t="shared" si="10"/>
        <v>1.8940857404682824E-2</v>
      </c>
      <c r="O165" s="11">
        <f t="shared" si="10"/>
        <v>-5.7583810815545193E-2</v>
      </c>
      <c r="P165" s="11">
        <f t="shared" si="10"/>
        <v>-5.8564019253910887E-2</v>
      </c>
      <c r="Q165" s="11">
        <f t="shared" si="10"/>
        <v>-4.2515456155890162E-2</v>
      </c>
      <c r="R165" s="11">
        <f t="shared" si="10"/>
        <v>1.9973035287182994E-3</v>
      </c>
      <c r="S165" s="11">
        <f t="shared" si="10"/>
        <v>-2.113170358097825E-2</v>
      </c>
      <c r="T165" s="11">
        <f t="shared" si="10"/>
        <v>3.2795731182795738E-2</v>
      </c>
      <c r="U165" s="11">
        <f t="shared" si="9"/>
        <v>-2.2396390351326238E-2</v>
      </c>
    </row>
    <row r="166" spans="1:21" x14ac:dyDescent="0.2">
      <c r="A166" s="1">
        <v>44201</v>
      </c>
      <c r="B166" s="3">
        <v>66.959998999999996</v>
      </c>
      <c r="C166" s="3">
        <v>20.366667</v>
      </c>
      <c r="D166" s="3">
        <v>25.870000999999998</v>
      </c>
      <c r="E166" s="3">
        <v>67.379997000000003</v>
      </c>
      <c r="F166" s="3">
        <v>24.93</v>
      </c>
      <c r="G166" s="3">
        <v>22.58</v>
      </c>
      <c r="H166" s="3">
        <v>30.040001</v>
      </c>
      <c r="I166" s="3">
        <v>40.161929999999998</v>
      </c>
      <c r="J166" s="3">
        <v>93</v>
      </c>
      <c r="L166" s="11">
        <f t="shared" si="10"/>
        <v>-1.5294132352941232E-2</v>
      </c>
      <c r="M166" s="11">
        <f t="shared" si="10"/>
        <v>1.9679075752019625E-3</v>
      </c>
      <c r="N166" s="11">
        <f t="shared" si="10"/>
        <v>-6.9097123573786398E-3</v>
      </c>
      <c r="O166" s="11">
        <f t="shared" si="10"/>
        <v>-5.9014754485316621E-3</v>
      </c>
      <c r="P166" s="11">
        <f t="shared" si="10"/>
        <v>-2.0157171034572506E-2</v>
      </c>
      <c r="Q166" s="11">
        <f t="shared" si="10"/>
        <v>1.3304213450297099E-3</v>
      </c>
      <c r="R166" s="11">
        <f t="shared" si="10"/>
        <v>3.9086855759252852E-2</v>
      </c>
      <c r="S166" s="11">
        <f t="shared" si="10"/>
        <v>-3.2763976546453582E-3</v>
      </c>
      <c r="T166" s="11">
        <f t="shared" si="10"/>
        <v>1.6837973068423103E-2</v>
      </c>
      <c r="U166" s="11">
        <f t="shared" si="9"/>
        <v>8.5380765553758108E-4</v>
      </c>
    </row>
    <row r="167" spans="1:21" x14ac:dyDescent="0.2">
      <c r="A167" s="1">
        <v>44200</v>
      </c>
      <c r="B167" s="3">
        <v>68</v>
      </c>
      <c r="C167" s="3">
        <v>20.326665999999999</v>
      </c>
      <c r="D167" s="3">
        <v>26.049999</v>
      </c>
      <c r="E167" s="3">
        <v>67.779999000000004</v>
      </c>
      <c r="F167" s="3">
        <v>25.442855999999999</v>
      </c>
      <c r="G167" s="3">
        <v>22.549999</v>
      </c>
      <c r="H167" s="3">
        <v>28.91</v>
      </c>
      <c r="I167" s="3">
        <v>40.293948999999998</v>
      </c>
      <c r="J167" s="3">
        <v>91.459998999999996</v>
      </c>
      <c r="L167" s="11">
        <f t="shared" si="10"/>
        <v>-2.6400704018774831E-3</v>
      </c>
      <c r="M167" s="11">
        <f t="shared" si="10"/>
        <v>-1.6134269119070701E-2</v>
      </c>
      <c r="N167" s="11">
        <f t="shared" si="10"/>
        <v>-1.8832392423065628E-2</v>
      </c>
      <c r="O167" s="11">
        <f t="shared" si="10"/>
        <v>-1.6968789715828308E-2</v>
      </c>
      <c r="P167" s="11">
        <f t="shared" si="10"/>
        <v>-3.0049424185084269E-2</v>
      </c>
      <c r="Q167" s="11">
        <f t="shared" si="10"/>
        <v>-4.1649042003865572E-2</v>
      </c>
      <c r="R167" s="11">
        <f t="shared" si="10"/>
        <v>2.0112914608327464E-2</v>
      </c>
      <c r="S167" s="11">
        <f t="shared" si="10"/>
        <v>-3.1065692982722382E-2</v>
      </c>
      <c r="T167" s="11">
        <f t="shared" si="10"/>
        <v>4.5854798599935916E-2</v>
      </c>
      <c r="U167" s="11">
        <f t="shared" si="9"/>
        <v>-1.0152440847027884E-2</v>
      </c>
    </row>
    <row r="168" spans="1:21" x14ac:dyDescent="0.2">
      <c r="A168" s="1">
        <v>44195</v>
      </c>
      <c r="B168" s="3">
        <v>68.180000000000007</v>
      </c>
      <c r="C168" s="3">
        <v>20.66</v>
      </c>
      <c r="D168" s="3">
        <v>26.549999</v>
      </c>
      <c r="E168" s="3">
        <v>68.949996999999996</v>
      </c>
      <c r="F168" s="3">
        <v>26.231085</v>
      </c>
      <c r="G168" s="3">
        <v>23.530000999999999</v>
      </c>
      <c r="H168" s="3">
        <v>28.34</v>
      </c>
      <c r="I168" s="3">
        <v>41.585842</v>
      </c>
      <c r="J168" s="3">
        <v>87.449996999999996</v>
      </c>
      <c r="L168" s="11">
        <f t="shared" si="10"/>
        <v>5.8704139399831407E-4</v>
      </c>
      <c r="M168" s="11">
        <f t="shared" si="10"/>
        <v>2.5881429539283823E-3</v>
      </c>
      <c r="N168" s="11">
        <f t="shared" si="10"/>
        <v>3.8326124364489615E-2</v>
      </c>
      <c r="O168" s="11">
        <f t="shared" si="10"/>
        <v>2.8183702003689342E-2</v>
      </c>
      <c r="P168" s="11">
        <f t="shared" si="10"/>
        <v>3.0522807616488071E-3</v>
      </c>
      <c r="Q168" s="11">
        <f t="shared" si="10"/>
        <v>7.2773969487414901E-3</v>
      </c>
      <c r="R168" s="11">
        <f t="shared" si="10"/>
        <v>2.4761230986912021E-3</v>
      </c>
      <c r="S168" s="11">
        <f t="shared" si="10"/>
        <v>-1.5405274872754121E-2</v>
      </c>
      <c r="T168" s="11">
        <f t="shared" si="10"/>
        <v>4.3642701274836685E-3</v>
      </c>
      <c r="U168" s="11">
        <f t="shared" si="9"/>
        <v>7.9388674199907458E-3</v>
      </c>
    </row>
    <row r="169" spans="1:21" x14ac:dyDescent="0.2">
      <c r="A169" s="1">
        <v>44194</v>
      </c>
      <c r="B169" s="3">
        <v>68.139999000000003</v>
      </c>
      <c r="C169" s="3">
        <v>20.606667000000002</v>
      </c>
      <c r="D169" s="3">
        <v>25.57</v>
      </c>
      <c r="E169" s="3">
        <v>67.059997999999993</v>
      </c>
      <c r="F169" s="3">
        <v>26.151264000000001</v>
      </c>
      <c r="G169" s="3">
        <v>23.360001</v>
      </c>
      <c r="H169" s="3">
        <v>28.27</v>
      </c>
      <c r="I169" s="3">
        <v>42.236507000000003</v>
      </c>
      <c r="J169" s="3">
        <v>87.07</v>
      </c>
      <c r="L169" s="11">
        <f t="shared" si="10"/>
        <v>-6.7055249768374087E-3</v>
      </c>
      <c r="M169" s="11">
        <f t="shared" si="10"/>
        <v>5.2032682926830059E-3</v>
      </c>
      <c r="N169" s="11">
        <f t="shared" si="10"/>
        <v>5.110023384040022E-3</v>
      </c>
      <c r="O169" s="11">
        <f t="shared" si="10"/>
        <v>5.3973165845869068E-3</v>
      </c>
      <c r="P169" s="11">
        <f t="shared" si="10"/>
        <v>5.7559534797859109E-3</v>
      </c>
      <c r="Q169" s="11">
        <f t="shared" si="10"/>
        <v>-3.7098062654575478E-2</v>
      </c>
      <c r="R169" s="11">
        <f t="shared" si="10"/>
        <v>3.1937544357700447E-3</v>
      </c>
      <c r="S169" s="11">
        <f t="shared" si="10"/>
        <v>3.5367565781919748E-2</v>
      </c>
      <c r="T169" s="11">
        <f t="shared" si="10"/>
        <v>-2.7488031783026723E-3</v>
      </c>
      <c r="U169" s="11">
        <f t="shared" si="9"/>
        <v>1.4972767943411199E-3</v>
      </c>
    </row>
    <row r="170" spans="1:21" x14ac:dyDescent="0.2">
      <c r="A170" s="1">
        <v>44193</v>
      </c>
      <c r="B170" s="3">
        <v>68.599997999999999</v>
      </c>
      <c r="C170" s="3">
        <v>20.5</v>
      </c>
      <c r="D170" s="3">
        <v>25.440000999999999</v>
      </c>
      <c r="E170" s="3">
        <v>66.699996999999996</v>
      </c>
      <c r="F170" s="3">
        <v>26.0016</v>
      </c>
      <c r="G170" s="3">
        <v>24.26</v>
      </c>
      <c r="H170" s="3">
        <v>28.18</v>
      </c>
      <c r="I170" s="3">
        <v>40.793731999999999</v>
      </c>
      <c r="J170" s="3">
        <v>87.309997999999993</v>
      </c>
      <c r="L170" s="11">
        <f t="shared" si="10"/>
        <v>1.6898888480564655E-2</v>
      </c>
      <c r="M170" s="11">
        <f t="shared" si="10"/>
        <v>2.5170895988361201E-2</v>
      </c>
      <c r="N170" s="11">
        <f t="shared" si="10"/>
        <v>1.1933254253510481E-2</v>
      </c>
      <c r="O170" s="11">
        <f t="shared" si="10"/>
        <v>1.5014865315761247E-3</v>
      </c>
      <c r="P170" s="11">
        <f t="shared" si="10"/>
        <v>3.5771060401375628E-2</v>
      </c>
      <c r="Q170" s="11">
        <f t="shared" si="10"/>
        <v>2.1903959561920941E-2</v>
      </c>
      <c r="R170" s="11">
        <f t="shared" si="10"/>
        <v>8.2289442494116339E-3</v>
      </c>
      <c r="S170" s="11">
        <f t="shared" si="10"/>
        <v>4.1781954641242156E-3</v>
      </c>
      <c r="T170" s="11">
        <f t="shared" si="10"/>
        <v>-5.72378656451753E-4</v>
      </c>
      <c r="U170" s="11">
        <f t="shared" si="9"/>
        <v>1.3890478474932568E-2</v>
      </c>
    </row>
    <row r="171" spans="1:21" x14ac:dyDescent="0.2">
      <c r="A171" s="1">
        <v>44188</v>
      </c>
      <c r="B171" s="3">
        <v>67.459998999999996</v>
      </c>
      <c r="C171" s="3">
        <v>19.996666000000001</v>
      </c>
      <c r="D171" s="3">
        <v>25.139999</v>
      </c>
      <c r="E171" s="3">
        <v>66.599997999999999</v>
      </c>
      <c r="F171" s="3">
        <v>25.103617</v>
      </c>
      <c r="G171" s="3">
        <v>23.74</v>
      </c>
      <c r="H171" s="3">
        <v>27.950001</v>
      </c>
      <c r="I171" s="3">
        <v>40.623997000000003</v>
      </c>
      <c r="J171" s="3">
        <v>87.360000999999997</v>
      </c>
      <c r="L171" s="11">
        <f t="shared" si="10"/>
        <v>-6.480161812071881E-3</v>
      </c>
      <c r="M171" s="11">
        <f t="shared" si="10"/>
        <v>-4.8108496888420015E-3</v>
      </c>
      <c r="N171" s="11">
        <f t="shared" si="10"/>
        <v>-2.1028076323987545E-2</v>
      </c>
      <c r="O171" s="11">
        <f t="shared" si="10"/>
        <v>2.6510497526687559E-2</v>
      </c>
      <c r="P171" s="11">
        <f t="shared" si="10"/>
        <v>1.1254038592272926E-2</v>
      </c>
      <c r="Q171" s="11">
        <f t="shared" si="10"/>
        <v>2.151462994836489E-2</v>
      </c>
      <c r="R171" s="11">
        <f t="shared" si="10"/>
        <v>2.4560116401755327E-2</v>
      </c>
      <c r="S171" s="11">
        <f t="shared" si="10"/>
        <v>4.429960735647131E-3</v>
      </c>
      <c r="T171" s="11">
        <f t="shared" si="10"/>
        <v>4.8309062610786459E-3</v>
      </c>
      <c r="U171" s="11">
        <f t="shared" si="9"/>
        <v>6.7534512934338941E-3</v>
      </c>
    </row>
    <row r="172" spans="1:21" x14ac:dyDescent="0.2">
      <c r="A172" s="1">
        <v>44187</v>
      </c>
      <c r="B172" s="3">
        <v>67.900002000000001</v>
      </c>
      <c r="C172" s="3">
        <v>20.093332</v>
      </c>
      <c r="D172" s="3">
        <v>25.68</v>
      </c>
      <c r="E172" s="3">
        <v>64.879997000000003</v>
      </c>
      <c r="F172" s="3">
        <v>24.824244</v>
      </c>
      <c r="G172" s="3">
        <v>23.24</v>
      </c>
      <c r="H172" s="3">
        <v>27.280000999999999</v>
      </c>
      <c r="I172" s="3">
        <v>40.444828000000001</v>
      </c>
      <c r="J172" s="3">
        <v>86.940002000000007</v>
      </c>
      <c r="L172" s="11">
        <f t="shared" si="10"/>
        <v>-8.8282814718693039E-4</v>
      </c>
      <c r="M172" s="11">
        <f t="shared" si="10"/>
        <v>2.169488209135198E-2</v>
      </c>
      <c r="N172" s="11">
        <f t="shared" si="10"/>
        <v>3.0497592295345023E-2</v>
      </c>
      <c r="O172" s="11">
        <f t="shared" si="10"/>
        <v>-1.3081853151258035E-2</v>
      </c>
      <c r="P172" s="11">
        <f t="shared" si="10"/>
        <v>-2.0056177236656646E-3</v>
      </c>
      <c r="Q172" s="11">
        <f t="shared" si="10"/>
        <v>-2.3529370736528235E-2</v>
      </c>
      <c r="R172" s="11">
        <f t="shared" si="10"/>
        <v>9.6225388601035907E-3</v>
      </c>
      <c r="S172" s="11">
        <f t="shared" si="10"/>
        <v>-1.8759996068715427E-2</v>
      </c>
      <c r="T172" s="11">
        <f t="shared" si="10"/>
        <v>9.2103383696725931E-4</v>
      </c>
      <c r="U172" s="11">
        <f t="shared" si="9"/>
        <v>4.9737569515706298E-4</v>
      </c>
    </row>
    <row r="173" spans="1:21" x14ac:dyDescent="0.2">
      <c r="A173" s="1">
        <v>44186</v>
      </c>
      <c r="B173" s="3">
        <v>67.959998999999996</v>
      </c>
      <c r="C173" s="3">
        <v>19.666665999999999</v>
      </c>
      <c r="D173" s="3">
        <v>24.92</v>
      </c>
      <c r="E173" s="3">
        <v>65.739998</v>
      </c>
      <c r="F173" s="3">
        <v>24.874131999999999</v>
      </c>
      <c r="G173" s="3">
        <v>23.799999</v>
      </c>
      <c r="H173" s="3">
        <v>27.02</v>
      </c>
      <c r="I173" s="3">
        <v>41.218079000000003</v>
      </c>
      <c r="J173" s="3">
        <v>86.860000999999997</v>
      </c>
      <c r="L173" s="11">
        <f t="shared" si="10"/>
        <v>-7.0134860603892233E-3</v>
      </c>
      <c r="M173" s="11">
        <f t="shared" si="10"/>
        <v>-1.3377893871431065E-2</v>
      </c>
      <c r="N173" s="11">
        <f t="shared" si="10"/>
        <v>-2.8081085338575788E-2</v>
      </c>
      <c r="O173" s="11">
        <f t="shared" si="10"/>
        <v>-1.4540563851604861E-2</v>
      </c>
      <c r="P173" s="11">
        <f t="shared" si="10"/>
        <v>-2.3501785513230896E-2</v>
      </c>
      <c r="Q173" s="11">
        <f t="shared" si="10"/>
        <v>-2.3389494321317379E-2</v>
      </c>
      <c r="R173" s="11">
        <f t="shared" si="10"/>
        <v>-3.8434163701067676E-2</v>
      </c>
      <c r="S173" s="11">
        <f t="shared" si="10"/>
        <v>-1.1756663778601366E-2</v>
      </c>
      <c r="T173" s="11">
        <f t="shared" si="10"/>
        <v>-1.0706172754914449E-2</v>
      </c>
      <c r="U173" s="11">
        <f t="shared" si="9"/>
        <v>-1.8977923243459191E-2</v>
      </c>
    </row>
    <row r="174" spans="1:21" x14ac:dyDescent="0.2">
      <c r="A174" s="1">
        <v>44183</v>
      </c>
      <c r="B174" s="3">
        <v>68.440002000000007</v>
      </c>
      <c r="C174" s="3">
        <v>19.933332</v>
      </c>
      <c r="D174" s="3">
        <v>25.639999</v>
      </c>
      <c r="E174" s="3">
        <v>66.709998999999996</v>
      </c>
      <c r="F174" s="3">
        <v>25.472788000000001</v>
      </c>
      <c r="G174" s="3">
        <v>24.370000999999998</v>
      </c>
      <c r="H174" s="3">
        <v>28.1</v>
      </c>
      <c r="I174" s="3">
        <v>41.708430999999997</v>
      </c>
      <c r="J174" s="3">
        <v>87.800003000000004</v>
      </c>
      <c r="L174" s="11">
        <f t="shared" si="10"/>
        <v>-2.5348888844362014E-2</v>
      </c>
      <c r="M174" s="11">
        <f t="shared" si="10"/>
        <v>-1.0752754342431689E-2</v>
      </c>
      <c r="N174" s="11">
        <f t="shared" si="10"/>
        <v>2.5189884046381367E-2</v>
      </c>
      <c r="O174" s="11">
        <f t="shared" si="10"/>
        <v>-6.2564876920820764E-3</v>
      </c>
      <c r="P174" s="11">
        <f t="shared" si="10"/>
        <v>-2.5572535889300214E-2</v>
      </c>
      <c r="Q174" s="11">
        <f t="shared" si="10"/>
        <v>-2.1678000802890472E-2</v>
      </c>
      <c r="R174" s="11">
        <f t="shared" si="10"/>
        <v>-4.9575070821528695E-3</v>
      </c>
      <c r="S174" s="11">
        <f t="shared" si="10"/>
        <v>-1.1399249071294264E-2</v>
      </c>
      <c r="T174" s="11">
        <f t="shared" si="10"/>
        <v>6.880802989018539E-3</v>
      </c>
      <c r="U174" s="11">
        <f t="shared" si="9"/>
        <v>-8.2105262987904118E-3</v>
      </c>
    </row>
    <row r="175" spans="1:21" x14ac:dyDescent="0.2">
      <c r="A175" s="1">
        <v>44182</v>
      </c>
      <c r="B175" s="3">
        <v>70.220000999999996</v>
      </c>
      <c r="C175" s="3">
        <v>20.149999999999999</v>
      </c>
      <c r="D175" s="3">
        <v>25.01</v>
      </c>
      <c r="E175" s="3">
        <v>67.129997000000003</v>
      </c>
      <c r="F175" s="3">
        <v>26.141286999999998</v>
      </c>
      <c r="G175" s="3">
        <v>24.91</v>
      </c>
      <c r="H175" s="3">
        <v>28.24</v>
      </c>
      <c r="I175" s="3">
        <v>42.189357999999999</v>
      </c>
      <c r="J175" s="3">
        <v>87.199996999999996</v>
      </c>
      <c r="L175" s="11">
        <f t="shared" si="10"/>
        <v>-8.7520473603640934E-3</v>
      </c>
      <c r="M175" s="11">
        <f t="shared" si="10"/>
        <v>-1.6514617110792941E-3</v>
      </c>
      <c r="N175" s="11">
        <f t="shared" si="10"/>
        <v>1.0505050505050567E-2</v>
      </c>
      <c r="O175" s="11">
        <f t="shared" si="10"/>
        <v>1.7737992991782896E-2</v>
      </c>
      <c r="P175" s="11">
        <f t="shared" si="10"/>
        <v>2.2638593763557365E-2</v>
      </c>
      <c r="Q175" s="11">
        <f t="shared" si="10"/>
        <v>-1.5414980846441913E-2</v>
      </c>
      <c r="R175" s="11">
        <f t="shared" si="10"/>
        <v>1.7736430729463147E-3</v>
      </c>
      <c r="S175" s="11">
        <f t="shared" si="10"/>
        <v>-9.0807772579567844E-3</v>
      </c>
      <c r="T175" s="11">
        <f t="shared" si="10"/>
        <v>1.1366225801829902E-2</v>
      </c>
      <c r="U175" s="11">
        <f t="shared" si="9"/>
        <v>3.2358043288138847E-3</v>
      </c>
    </row>
    <row r="176" spans="1:21" x14ac:dyDescent="0.2">
      <c r="A176" s="1">
        <v>44181</v>
      </c>
      <c r="B176" s="3">
        <v>70.839995999999999</v>
      </c>
      <c r="C176" s="3">
        <v>20.183332</v>
      </c>
      <c r="D176" s="3">
        <v>24.75</v>
      </c>
      <c r="E176" s="3">
        <v>65.959998999999996</v>
      </c>
      <c r="F176" s="3">
        <v>25.562586</v>
      </c>
      <c r="G176" s="3">
        <v>25.299999</v>
      </c>
      <c r="H176" s="3">
        <v>28.190000999999999</v>
      </c>
      <c r="I176" s="3">
        <v>42.575980999999999</v>
      </c>
      <c r="J176" s="3">
        <v>86.220000999999996</v>
      </c>
      <c r="L176" s="11">
        <f t="shared" si="10"/>
        <v>5.9641864800960729E-3</v>
      </c>
      <c r="M176" s="11">
        <f t="shared" si="10"/>
        <v>2.8362791131351196E-2</v>
      </c>
      <c r="N176" s="11">
        <f t="shared" si="10"/>
        <v>1.4344262295082027E-2</v>
      </c>
      <c r="O176" s="11">
        <f t="shared" si="10"/>
        <v>1.9474529496500598E-2</v>
      </c>
      <c r="P176" s="11">
        <f t="shared" si="10"/>
        <v>1.3850469566363759E-2</v>
      </c>
      <c r="Q176" s="11">
        <f t="shared" si="10"/>
        <v>9.5770155457707094E-3</v>
      </c>
      <c r="R176" s="11">
        <f t="shared" si="10"/>
        <v>1.2208294434470281E-2</v>
      </c>
      <c r="S176" s="11">
        <f t="shared" si="10"/>
        <v>1.3240529382239283E-2</v>
      </c>
      <c r="T176" s="11">
        <f t="shared" si="10"/>
        <v>2.0355041420118299E-2</v>
      </c>
      <c r="U176" s="11">
        <f t="shared" si="9"/>
        <v>1.5264124416888026E-2</v>
      </c>
    </row>
    <row r="177" spans="1:21" x14ac:dyDescent="0.2">
      <c r="A177" s="1">
        <v>44180</v>
      </c>
      <c r="B177" s="3">
        <v>70.419998000000007</v>
      </c>
      <c r="C177" s="3">
        <v>19.626664999999999</v>
      </c>
      <c r="D177" s="3">
        <v>24.4</v>
      </c>
      <c r="E177" s="3">
        <v>64.699996999999996</v>
      </c>
      <c r="F177" s="3">
        <v>25.213369</v>
      </c>
      <c r="G177" s="3">
        <v>25.059999000000001</v>
      </c>
      <c r="H177" s="3">
        <v>27.85</v>
      </c>
      <c r="I177" s="3">
        <v>42.019618999999999</v>
      </c>
      <c r="J177" s="3">
        <v>84.5</v>
      </c>
      <c r="L177" s="11">
        <f t="shared" si="10"/>
        <v>3.4197492163009391E-3</v>
      </c>
      <c r="M177" s="11">
        <f t="shared" si="10"/>
        <v>1.0295075850894758E-2</v>
      </c>
      <c r="N177" s="11">
        <f t="shared" si="10"/>
        <v>1.8789101511937235E-2</v>
      </c>
      <c r="O177" s="11">
        <f t="shared" si="10"/>
        <v>2.227833745807651E-2</v>
      </c>
      <c r="P177" s="11">
        <f t="shared" si="10"/>
        <v>7.4861725430285839E-2</v>
      </c>
      <c r="Q177" s="11">
        <f t="shared" si="10"/>
        <v>0</v>
      </c>
      <c r="R177" s="11">
        <f t="shared" si="10"/>
        <v>8.3272625515112379E-3</v>
      </c>
      <c r="S177" s="11">
        <f t="shared" si="10"/>
        <v>-6.4660212672581962E-3</v>
      </c>
      <c r="T177" s="11">
        <f t="shared" si="10"/>
        <v>1.1370400549237516E-2</v>
      </c>
      <c r="U177" s="11">
        <f t="shared" si="9"/>
        <v>1.5875070144553981E-2</v>
      </c>
    </row>
    <row r="178" spans="1:21" x14ac:dyDescent="0.2">
      <c r="A178" s="1">
        <v>44179</v>
      </c>
      <c r="B178" s="3">
        <v>70.180000000000007</v>
      </c>
      <c r="C178" s="3">
        <v>19.426666000000001</v>
      </c>
      <c r="D178" s="3">
        <v>23.950001</v>
      </c>
      <c r="E178" s="3">
        <v>63.290000999999997</v>
      </c>
      <c r="F178" s="3">
        <v>23.457314</v>
      </c>
      <c r="G178" s="3">
        <v>25.059999000000001</v>
      </c>
      <c r="H178" s="3">
        <v>27.620000999999998</v>
      </c>
      <c r="I178" s="3">
        <v>42.293087</v>
      </c>
      <c r="J178" s="3">
        <v>83.550003000000004</v>
      </c>
      <c r="L178" s="11">
        <f t="shared" si="10"/>
        <v>8.1884641834728596E-3</v>
      </c>
      <c r="M178" s="11">
        <f t="shared" si="10"/>
        <v>-9.517352303150102E-3</v>
      </c>
      <c r="N178" s="11">
        <f t="shared" si="10"/>
        <v>5.457640638119229E-3</v>
      </c>
      <c r="O178" s="11">
        <f t="shared" si="10"/>
        <v>-6.4364206210923555E-3</v>
      </c>
      <c r="P178" s="11">
        <f t="shared" si="10"/>
        <v>-4.2355399484596615E-3</v>
      </c>
      <c r="Q178" s="11">
        <f t="shared" si="10"/>
        <v>1.5986810551559421E-3</v>
      </c>
      <c r="R178" s="11">
        <f t="shared" si="10"/>
        <v>1.8136017410227852E-3</v>
      </c>
      <c r="S178" s="11">
        <f t="shared" si="10"/>
        <v>-4.218495010013164E-3</v>
      </c>
      <c r="T178" s="11">
        <f t="shared" si="10"/>
        <v>-1.5437166916837454E-2</v>
      </c>
      <c r="U178" s="11">
        <f t="shared" si="9"/>
        <v>-2.5318430201979911E-3</v>
      </c>
    </row>
    <row r="179" spans="1:21" x14ac:dyDescent="0.2">
      <c r="A179" s="1">
        <v>44176</v>
      </c>
      <c r="B179" s="3">
        <v>69.610000999999997</v>
      </c>
      <c r="C179" s="3">
        <v>19.613333000000001</v>
      </c>
      <c r="D179" s="3">
        <v>23.82</v>
      </c>
      <c r="E179" s="3">
        <v>63.700001</v>
      </c>
      <c r="F179" s="3">
        <v>23.557091</v>
      </c>
      <c r="G179" s="3">
        <v>25.02</v>
      </c>
      <c r="H179" s="3">
        <v>27.57</v>
      </c>
      <c r="I179" s="3">
        <v>42.472256000000002</v>
      </c>
      <c r="J179" s="3">
        <v>84.860000999999997</v>
      </c>
      <c r="L179" s="11">
        <f t="shared" si="10"/>
        <v>1.4372126849770229E-4</v>
      </c>
      <c r="M179" s="11">
        <f t="shared" si="10"/>
        <v>1.082283075681735E-2</v>
      </c>
      <c r="N179" s="11">
        <f t="shared" si="10"/>
        <v>4.2003361696903212E-4</v>
      </c>
      <c r="O179" s="11">
        <f t="shared" si="10"/>
        <v>2.6759326723742555E-3</v>
      </c>
      <c r="P179" s="11">
        <f t="shared" si="10"/>
        <v>-5.4843879324287199E-2</v>
      </c>
      <c r="Q179" s="11">
        <f t="shared" si="10"/>
        <v>-3.5838187443615159E-2</v>
      </c>
      <c r="R179" s="11">
        <f t="shared" si="10"/>
        <v>-8.986340762041696E-3</v>
      </c>
      <c r="S179" s="11">
        <f t="shared" si="10"/>
        <v>1.3273391069592085E-2</v>
      </c>
      <c r="T179" s="11">
        <f t="shared" si="10"/>
        <v>-1.6470470588235658E-3</v>
      </c>
      <c r="U179" s="11">
        <f t="shared" si="9"/>
        <v>-8.2199494671685771E-3</v>
      </c>
    </row>
    <row r="180" spans="1:21" x14ac:dyDescent="0.2">
      <c r="A180" s="1">
        <v>44175</v>
      </c>
      <c r="B180" s="3">
        <v>69.599997999999999</v>
      </c>
      <c r="C180" s="3">
        <v>19.403334000000001</v>
      </c>
      <c r="D180" s="3">
        <v>23.809999000000001</v>
      </c>
      <c r="E180" s="3">
        <v>63.529998999999997</v>
      </c>
      <c r="F180" s="3">
        <v>24.924021</v>
      </c>
      <c r="G180" s="3">
        <v>25.950001</v>
      </c>
      <c r="H180" s="3">
        <v>27.82</v>
      </c>
      <c r="I180" s="3">
        <v>41.915889999999997</v>
      </c>
      <c r="J180" s="3">
        <v>85</v>
      </c>
      <c r="L180" s="11">
        <f t="shared" si="10"/>
        <v>-5.0035599000811514E-3</v>
      </c>
      <c r="M180" s="11">
        <f t="shared" si="10"/>
        <v>2.7537564475508671E-2</v>
      </c>
      <c r="N180" s="11">
        <f t="shared" si="10"/>
        <v>3.7942666017818909E-3</v>
      </c>
      <c r="O180" s="11">
        <f t="shared" si="10"/>
        <v>-5.323313062835705E-3</v>
      </c>
      <c r="P180" s="11">
        <f t="shared" si="10"/>
        <v>2.629421710625621E-2</v>
      </c>
      <c r="Q180" s="11">
        <f t="shared" si="10"/>
        <v>4.4686030595813227E-2</v>
      </c>
      <c r="R180" s="11">
        <f t="shared" si="10"/>
        <v>3.2665143553632446E-2</v>
      </c>
      <c r="S180" s="11">
        <f t="shared" si="10"/>
        <v>4.8843779068420301E-2</v>
      </c>
      <c r="T180" s="11">
        <f t="shared" si="10"/>
        <v>2.7811403669095708E-2</v>
      </c>
      <c r="U180" s="11">
        <f t="shared" si="9"/>
        <v>2.2367281345287957E-2</v>
      </c>
    </row>
    <row r="181" spans="1:21" x14ac:dyDescent="0.2">
      <c r="A181" s="1">
        <v>44174</v>
      </c>
      <c r="B181" s="3">
        <v>69.949996999999996</v>
      </c>
      <c r="C181" s="3">
        <v>18.883333</v>
      </c>
      <c r="D181" s="3">
        <v>23.719999000000001</v>
      </c>
      <c r="E181" s="3">
        <v>63.869999</v>
      </c>
      <c r="F181" s="3">
        <v>24.285454000000001</v>
      </c>
      <c r="G181" s="3">
        <v>24.84</v>
      </c>
      <c r="H181" s="3">
        <v>26.940000999999999</v>
      </c>
      <c r="I181" s="3">
        <v>39.963901999999997</v>
      </c>
      <c r="J181" s="3">
        <v>82.699996999999996</v>
      </c>
      <c r="L181" s="11">
        <f t="shared" si="10"/>
        <v>-2.7088965313502053E-3</v>
      </c>
      <c r="M181" s="11">
        <f t="shared" si="10"/>
        <v>-2.5292498714599005E-2</v>
      </c>
      <c r="N181" s="11">
        <f t="shared" si="10"/>
        <v>-6.2841220660190622E-3</v>
      </c>
      <c r="O181" s="11">
        <f t="shared" si="10"/>
        <v>-3.1685870704758444E-2</v>
      </c>
      <c r="P181" s="11">
        <f t="shared" si="10"/>
        <v>-4.3239035275197998E-2</v>
      </c>
      <c r="Q181" s="11">
        <f t="shared" si="10"/>
        <v>1.4291547570436972E-2</v>
      </c>
      <c r="R181" s="11">
        <f t="shared" si="10"/>
        <v>1.0502663165791395E-2</v>
      </c>
      <c r="S181" s="11">
        <f t="shared" si="10"/>
        <v>-1.0968515737379758E-2</v>
      </c>
      <c r="T181" s="11">
        <f t="shared" si="10"/>
        <v>-2.4126054906488956E-3</v>
      </c>
      <c r="U181" s="11">
        <f t="shared" si="9"/>
        <v>-1.086637042041389E-2</v>
      </c>
    </row>
    <row r="182" spans="1:21" x14ac:dyDescent="0.2">
      <c r="A182" s="1">
        <v>44173</v>
      </c>
      <c r="B182" s="3">
        <v>70.139999000000003</v>
      </c>
      <c r="C182" s="3">
        <v>19.373332999999999</v>
      </c>
      <c r="D182" s="3">
        <v>23.870000999999998</v>
      </c>
      <c r="E182" s="3">
        <v>65.959998999999996</v>
      </c>
      <c r="F182" s="3">
        <v>25.382989999999999</v>
      </c>
      <c r="G182" s="3">
        <v>24.49</v>
      </c>
      <c r="H182" s="3">
        <v>26.66</v>
      </c>
      <c r="I182" s="3">
        <v>40.407108000000001</v>
      </c>
      <c r="J182" s="3">
        <v>82.900002000000001</v>
      </c>
      <c r="L182" s="11">
        <f t="shared" si="10"/>
        <v>-7.1239490775344032E-4</v>
      </c>
      <c r="M182" s="11">
        <f t="shared" si="10"/>
        <v>-5.8159256180611296E-3</v>
      </c>
      <c r="N182" s="11">
        <f t="shared" si="10"/>
        <v>-1.8099465985169427E-2</v>
      </c>
      <c r="O182" s="11">
        <f t="shared" si="10"/>
        <v>1.5394088906928709E-2</v>
      </c>
      <c r="P182" s="11">
        <f t="shared" si="10"/>
        <v>0</v>
      </c>
      <c r="Q182" s="11">
        <f t="shared" si="10"/>
        <v>-1.6465863453815267E-2</v>
      </c>
      <c r="R182" s="11">
        <f t="shared" si="10"/>
        <v>-1.2592592592592588E-2</v>
      </c>
      <c r="S182" s="11">
        <f t="shared" si="10"/>
        <v>-5.8004048091801381E-3</v>
      </c>
      <c r="T182" s="11">
        <f t="shared" si="10"/>
        <v>-6.0271249919388874E-4</v>
      </c>
      <c r="U182" s="11">
        <f t="shared" si="9"/>
        <v>-4.9661412176485748E-3</v>
      </c>
    </row>
    <row r="183" spans="1:21" x14ac:dyDescent="0.2">
      <c r="A183" s="1">
        <v>44172</v>
      </c>
      <c r="B183" s="3">
        <v>70.190002000000007</v>
      </c>
      <c r="C183" s="3">
        <v>19.486666</v>
      </c>
      <c r="D183" s="3">
        <v>24.309999000000001</v>
      </c>
      <c r="E183" s="3">
        <v>64.959998999999996</v>
      </c>
      <c r="F183" s="3">
        <v>25.382989999999999</v>
      </c>
      <c r="G183" s="3">
        <v>24.9</v>
      </c>
      <c r="H183" s="3">
        <v>27</v>
      </c>
      <c r="I183" s="3">
        <v>40.642853000000002</v>
      </c>
      <c r="J183" s="3">
        <v>82.949996999999996</v>
      </c>
      <c r="L183" s="11">
        <f t="shared" si="10"/>
        <v>-1.0014104089870036E-2</v>
      </c>
      <c r="M183" s="11">
        <f t="shared" si="10"/>
        <v>-5.2748340990301304E-3</v>
      </c>
      <c r="N183" s="11">
        <f t="shared" si="10"/>
        <v>5.3763027295285993E-3</v>
      </c>
      <c r="O183" s="11">
        <f t="shared" ref="O183:T225" si="11">(E183-E184)/E184</f>
        <v>-3.0737064938991376E-2</v>
      </c>
      <c r="P183" s="11">
        <f t="shared" si="11"/>
        <v>5.1363226821892292E-3</v>
      </c>
      <c r="Q183" s="11">
        <f t="shared" si="11"/>
        <v>5.6542810985459211E-3</v>
      </c>
      <c r="R183" s="11">
        <f t="shared" si="11"/>
        <v>-1.9251761015192069E-2</v>
      </c>
      <c r="S183" s="11">
        <f t="shared" si="11"/>
        <v>-2.1788539873013792E-2</v>
      </c>
      <c r="T183" s="11">
        <f t="shared" si="11"/>
        <v>1.1832080562378118E-2</v>
      </c>
      <c r="U183" s="11">
        <f t="shared" si="9"/>
        <v>-6.5630352159395042E-3</v>
      </c>
    </row>
    <row r="184" spans="1:21" x14ac:dyDescent="0.2">
      <c r="A184" s="1">
        <v>44169</v>
      </c>
      <c r="B184" s="3">
        <v>70.900002000000001</v>
      </c>
      <c r="C184" s="3">
        <v>19.59</v>
      </c>
      <c r="D184" s="3">
        <v>24.18</v>
      </c>
      <c r="E184" s="3">
        <v>67.019997000000004</v>
      </c>
      <c r="F184" s="3">
        <v>25.253281000000001</v>
      </c>
      <c r="G184" s="3">
        <v>24.76</v>
      </c>
      <c r="H184" s="3">
        <v>27.530000999999999</v>
      </c>
      <c r="I184" s="3">
        <v>41.548126000000003</v>
      </c>
      <c r="J184" s="3">
        <v>81.980002999999996</v>
      </c>
      <c r="L184" s="11">
        <f t="shared" ref="L184:Q247" si="12">(B184-B185)/B185</f>
        <v>2.1466617405756092E-2</v>
      </c>
      <c r="M184" s="11">
        <f t="shared" si="12"/>
        <v>-2.0376465633035268E-3</v>
      </c>
      <c r="N184" s="11">
        <f t="shared" si="12"/>
        <v>-2.0635575732563232E-3</v>
      </c>
      <c r="O184" s="11">
        <f t="shared" si="11"/>
        <v>-1.5714481757349432E-2</v>
      </c>
      <c r="P184" s="11">
        <f t="shared" si="11"/>
        <v>7.0190320803491954E-2</v>
      </c>
      <c r="Q184" s="11">
        <f t="shared" si="11"/>
        <v>-1.5506958250496901E-2</v>
      </c>
      <c r="R184" s="11">
        <f t="shared" si="11"/>
        <v>3.3408484737555699E-2</v>
      </c>
      <c r="S184" s="11">
        <f t="shared" si="11"/>
        <v>-5.417547059456752E-3</v>
      </c>
      <c r="T184" s="11">
        <f t="shared" si="11"/>
        <v>3.8247264922077827E-2</v>
      </c>
      <c r="U184" s="11">
        <f t="shared" si="9"/>
        <v>1.3619166296113181E-2</v>
      </c>
    </row>
    <row r="185" spans="1:21" x14ac:dyDescent="0.2">
      <c r="A185" s="1">
        <v>44168</v>
      </c>
      <c r="B185" s="3">
        <v>69.410004000000001</v>
      </c>
      <c r="C185" s="3">
        <v>19.629999000000002</v>
      </c>
      <c r="D185" s="3">
        <v>24.23</v>
      </c>
      <c r="E185" s="3">
        <v>68.089995999999999</v>
      </c>
      <c r="F185" s="3">
        <v>23.597000000000001</v>
      </c>
      <c r="G185" s="3">
        <v>25.15</v>
      </c>
      <c r="H185" s="3">
        <v>26.639999</v>
      </c>
      <c r="I185" s="3">
        <v>41.774441000000003</v>
      </c>
      <c r="J185" s="3">
        <v>78.959998999999996</v>
      </c>
      <c r="L185" s="11">
        <f t="shared" si="12"/>
        <v>-2.032454538671968E-2</v>
      </c>
      <c r="M185" s="11">
        <f t="shared" si="12"/>
        <v>-1.1912818592066707E-2</v>
      </c>
      <c r="N185" s="11">
        <f t="shared" si="12"/>
        <v>-2.7298273785628251E-2</v>
      </c>
      <c r="O185" s="11">
        <f t="shared" si="11"/>
        <v>3.8432148848558889E-2</v>
      </c>
      <c r="P185" s="11">
        <f t="shared" si="11"/>
        <v>2.7367499329078587E-2</v>
      </c>
      <c r="Q185" s="11">
        <f t="shared" si="11"/>
        <v>3.073770491803279E-2</v>
      </c>
      <c r="R185" s="11">
        <f t="shared" si="11"/>
        <v>2.8174411424160533E-2</v>
      </c>
      <c r="S185" s="11">
        <f t="shared" si="11"/>
        <v>7.7342436923858969E-3</v>
      </c>
      <c r="T185" s="11">
        <f t="shared" si="11"/>
        <v>-1.1022007065230852E-2</v>
      </c>
      <c r="U185" s="11">
        <f t="shared" si="9"/>
        <v>6.8764848202856905E-3</v>
      </c>
    </row>
    <row r="186" spans="1:21" x14ac:dyDescent="0.2">
      <c r="A186" s="1">
        <v>44167</v>
      </c>
      <c r="B186" s="3">
        <v>70.849997999999999</v>
      </c>
      <c r="C186" s="3">
        <v>19.866667</v>
      </c>
      <c r="D186" s="3">
        <v>24.91</v>
      </c>
      <c r="E186" s="3">
        <v>65.569999999999993</v>
      </c>
      <c r="F186" s="3">
        <v>22.968412000000001</v>
      </c>
      <c r="G186" s="3">
        <v>24.4</v>
      </c>
      <c r="H186" s="3">
        <v>25.91</v>
      </c>
      <c r="I186" s="3">
        <v>41.453826999999997</v>
      </c>
      <c r="J186" s="3">
        <v>79.839995999999999</v>
      </c>
      <c r="L186" s="11">
        <f t="shared" si="12"/>
        <v>2.443600205691137E-2</v>
      </c>
      <c r="M186" s="11">
        <f t="shared" si="12"/>
        <v>4.9665429716992879E-2</v>
      </c>
      <c r="N186" s="11">
        <f t="shared" si="12"/>
        <v>-2.543032180869808E-2</v>
      </c>
      <c r="O186" s="11">
        <f t="shared" si="11"/>
        <v>1.8335065775480018E-3</v>
      </c>
      <c r="P186" s="11">
        <f t="shared" si="11"/>
        <v>1.3048815789015789E-3</v>
      </c>
      <c r="Q186" s="11">
        <f t="shared" si="11"/>
        <v>1.4974999377079827E-2</v>
      </c>
      <c r="R186" s="11">
        <f t="shared" si="11"/>
        <v>1.210937499999995E-2</v>
      </c>
      <c r="S186" s="11">
        <f t="shared" si="11"/>
        <v>1.4539641844523617E-2</v>
      </c>
      <c r="T186" s="11">
        <f t="shared" si="11"/>
        <v>-1.7353895384615393E-2</v>
      </c>
      <c r="U186" s="11">
        <f t="shared" si="9"/>
        <v>8.4532909954048614E-3</v>
      </c>
    </row>
    <row r="187" spans="1:21" x14ac:dyDescent="0.2">
      <c r="A187" s="1">
        <v>44166</v>
      </c>
      <c r="B187" s="3">
        <v>69.160004000000001</v>
      </c>
      <c r="C187" s="3">
        <v>18.926666000000001</v>
      </c>
      <c r="D187" s="3">
        <v>25.559999000000001</v>
      </c>
      <c r="E187" s="3">
        <v>65.449996999999996</v>
      </c>
      <c r="F187" s="3">
        <v>22.938479999999998</v>
      </c>
      <c r="G187" s="3">
        <v>24.040001</v>
      </c>
      <c r="H187" s="3">
        <v>25.6</v>
      </c>
      <c r="I187" s="3">
        <v>40.859741</v>
      </c>
      <c r="J187" s="3">
        <v>81.25</v>
      </c>
      <c r="L187" s="11">
        <f t="shared" si="12"/>
        <v>-4.175565335157545E-3</v>
      </c>
      <c r="M187" s="11">
        <f t="shared" si="12"/>
        <v>1.1580278545177958E-2</v>
      </c>
      <c r="N187" s="11">
        <f t="shared" si="12"/>
        <v>2.1991163534586151E-2</v>
      </c>
      <c r="O187" s="11">
        <f t="shared" si="11"/>
        <v>-2.6331508087897831E-2</v>
      </c>
      <c r="P187" s="11">
        <f t="shared" si="11"/>
        <v>2.6166794894131058E-3</v>
      </c>
      <c r="Q187" s="11">
        <f t="shared" si="11"/>
        <v>6.0432333480370463E-2</v>
      </c>
      <c r="R187" s="11">
        <f t="shared" si="11"/>
        <v>2.8112449799196904E-2</v>
      </c>
      <c r="S187" s="11">
        <f t="shared" si="11"/>
        <v>1.5467487064885233E-2</v>
      </c>
      <c r="T187" s="11">
        <f t="shared" si="11"/>
        <v>4.1666666666666664E-2</v>
      </c>
      <c r="U187" s="11">
        <f t="shared" si="9"/>
        <v>1.6817776128582346E-2</v>
      </c>
    </row>
    <row r="188" spans="1:21" x14ac:dyDescent="0.2">
      <c r="A188" s="1">
        <v>44165</v>
      </c>
      <c r="B188" s="3">
        <v>69.449996999999996</v>
      </c>
      <c r="C188" s="3">
        <v>18.709999</v>
      </c>
      <c r="D188" s="3">
        <v>25.01</v>
      </c>
      <c r="E188" s="3">
        <v>67.220000999999996</v>
      </c>
      <c r="F188" s="3">
        <v>22.878613999999999</v>
      </c>
      <c r="G188" s="3">
        <v>22.67</v>
      </c>
      <c r="H188" s="3">
        <v>24.9</v>
      </c>
      <c r="I188" s="3">
        <v>40.237369999999999</v>
      </c>
      <c r="J188" s="3">
        <v>78</v>
      </c>
      <c r="L188" s="11">
        <f t="shared" si="12"/>
        <v>-2.1831028169014138E-2</v>
      </c>
      <c r="M188" s="11">
        <f t="shared" si="12"/>
        <v>-1.3532479220780205E-2</v>
      </c>
      <c r="N188" s="11">
        <f t="shared" si="12"/>
        <v>0</v>
      </c>
      <c r="O188" s="11">
        <f t="shared" si="11"/>
        <v>1.1739900308852932E-2</v>
      </c>
      <c r="P188" s="11">
        <f t="shared" si="11"/>
        <v>-3.0033845305530913E-2</v>
      </c>
      <c r="Q188" s="11">
        <f t="shared" si="11"/>
        <v>-3.5319148936170143E-2</v>
      </c>
      <c r="R188" s="11">
        <f t="shared" si="11"/>
        <v>-2.3529411764705938E-2</v>
      </c>
      <c r="S188" s="11">
        <f t="shared" si="11"/>
        <v>-2.1778971827848447E-2</v>
      </c>
      <c r="T188" s="11">
        <f t="shared" si="11"/>
        <v>-5.60940832204475E-3</v>
      </c>
      <c r="U188" s="11">
        <f t="shared" si="9"/>
        <v>-1.5543821470804622E-2</v>
      </c>
    </row>
    <row r="189" spans="1:21" x14ac:dyDescent="0.2">
      <c r="A189" s="1">
        <v>44162</v>
      </c>
      <c r="B189" s="3">
        <v>71</v>
      </c>
      <c r="C189" s="3">
        <v>18.966664999999999</v>
      </c>
      <c r="D189" s="3">
        <v>25.01</v>
      </c>
      <c r="E189" s="3">
        <v>66.440002000000007</v>
      </c>
      <c r="F189" s="3">
        <v>23.587022999999999</v>
      </c>
      <c r="G189" s="3">
        <v>23.5</v>
      </c>
      <c r="H189" s="3">
        <v>25.5</v>
      </c>
      <c r="I189" s="3">
        <v>41.133209000000001</v>
      </c>
      <c r="J189" s="3">
        <v>78.440002000000007</v>
      </c>
      <c r="L189" s="11">
        <f t="shared" si="12"/>
        <v>-2.8089467475679278E-3</v>
      </c>
      <c r="M189" s="11">
        <f t="shared" si="12"/>
        <v>-1.7544736842105791E-3</v>
      </c>
      <c r="N189" s="11">
        <f t="shared" si="12"/>
        <v>3.8190120381901276E-2</v>
      </c>
      <c r="O189" s="11">
        <f t="shared" si="11"/>
        <v>1.5281173127103509E-2</v>
      </c>
      <c r="P189" s="11">
        <f t="shared" si="11"/>
        <v>-2.5316649475541192E-3</v>
      </c>
      <c r="Q189" s="11">
        <f t="shared" si="11"/>
        <v>2.5596841911398062E-3</v>
      </c>
      <c r="R189" s="11">
        <f t="shared" si="11"/>
        <v>-1.2393493415956634E-2</v>
      </c>
      <c r="S189" s="11">
        <f t="shared" si="11"/>
        <v>4.5289659082189673E-3</v>
      </c>
      <c r="T189" s="11">
        <f t="shared" si="11"/>
        <v>2.4422123547081283E-2</v>
      </c>
      <c r="U189" s="11">
        <f t="shared" si="9"/>
        <v>7.2770542622395086E-3</v>
      </c>
    </row>
    <row r="190" spans="1:21" x14ac:dyDescent="0.2">
      <c r="A190" s="1">
        <v>44161</v>
      </c>
      <c r="B190" s="3">
        <v>71.199996999999996</v>
      </c>
      <c r="C190" s="3">
        <v>19</v>
      </c>
      <c r="D190" s="3">
        <v>24.09</v>
      </c>
      <c r="E190" s="3">
        <v>65.440002000000007</v>
      </c>
      <c r="F190" s="3">
        <v>23.646889000000002</v>
      </c>
      <c r="G190" s="3">
        <v>23.440000999999999</v>
      </c>
      <c r="H190" s="3">
        <v>25.82</v>
      </c>
      <c r="I190" s="3">
        <v>40.947758</v>
      </c>
      <c r="J190" s="3">
        <v>76.569999999999993</v>
      </c>
      <c r="L190" s="11">
        <f t="shared" si="12"/>
        <v>-4.4742731183281146E-3</v>
      </c>
      <c r="M190" s="11">
        <f t="shared" si="12"/>
        <v>6.8891888241024227E-3</v>
      </c>
      <c r="N190" s="11">
        <f t="shared" si="12"/>
        <v>3.2133676092544985E-2</v>
      </c>
      <c r="O190" s="11">
        <f t="shared" si="11"/>
        <v>-4.714798479087348E-3</v>
      </c>
      <c r="P190" s="11">
        <f t="shared" si="11"/>
        <v>2.1142094334025635E-3</v>
      </c>
      <c r="Q190" s="11">
        <f t="shared" si="11"/>
        <v>-1.2636857624262835E-2</v>
      </c>
      <c r="R190" s="11">
        <f t="shared" si="11"/>
        <v>-1.6380952380952371E-2</v>
      </c>
      <c r="S190" s="11">
        <f t="shared" si="11"/>
        <v>1.0045682464555663E-2</v>
      </c>
      <c r="T190" s="11">
        <f t="shared" si="11"/>
        <v>1.4172185430463486E-2</v>
      </c>
      <c r="U190" s="11">
        <f t="shared" si="9"/>
        <v>3.0164511824931615E-3</v>
      </c>
    </row>
    <row r="191" spans="1:21" x14ac:dyDescent="0.2">
      <c r="A191" s="1">
        <v>44160</v>
      </c>
      <c r="B191" s="3">
        <v>71.519997000000004</v>
      </c>
      <c r="C191" s="3">
        <v>18.870000999999998</v>
      </c>
      <c r="D191" s="3">
        <v>23.34</v>
      </c>
      <c r="E191" s="3">
        <v>65.75</v>
      </c>
      <c r="F191" s="3">
        <v>23.597000000000001</v>
      </c>
      <c r="G191" s="3">
        <v>23.74</v>
      </c>
      <c r="H191" s="3">
        <v>26.25</v>
      </c>
      <c r="I191" s="3">
        <v>40.540500999999999</v>
      </c>
      <c r="J191" s="3">
        <v>75.5</v>
      </c>
      <c r="L191" s="11">
        <f t="shared" si="12"/>
        <v>-5.7000278048102765E-3</v>
      </c>
      <c r="M191" s="11">
        <f t="shared" si="12"/>
        <v>1.6337612794887192E-2</v>
      </c>
      <c r="N191" s="11">
        <f t="shared" si="12"/>
        <v>-8.0748402858120908E-3</v>
      </c>
      <c r="O191" s="11">
        <f t="shared" si="11"/>
        <v>2.2866159233724463E-3</v>
      </c>
      <c r="P191" s="11">
        <f t="shared" si="11"/>
        <v>-2.5305972481730896E-3</v>
      </c>
      <c r="Q191" s="11">
        <f t="shared" si="11"/>
        <v>1.0212765957446742E-2</v>
      </c>
      <c r="R191" s="11">
        <f t="shared" si="11"/>
        <v>1.1442029421892279E-3</v>
      </c>
      <c r="S191" s="11">
        <f t="shared" si="11"/>
        <v>1.8367797146455148E-2</v>
      </c>
      <c r="T191" s="11">
        <f t="shared" si="11"/>
        <v>9.3582482877707391E-3</v>
      </c>
      <c r="U191" s="11">
        <f t="shared" si="9"/>
        <v>4.600197523702893E-3</v>
      </c>
    </row>
    <row r="192" spans="1:21" x14ac:dyDescent="0.2">
      <c r="A192" s="1">
        <v>44159</v>
      </c>
      <c r="B192" s="3">
        <v>71.930000000000007</v>
      </c>
      <c r="C192" s="3">
        <v>18.566666000000001</v>
      </c>
      <c r="D192" s="3">
        <v>23.530000999999999</v>
      </c>
      <c r="E192" s="3">
        <v>65.599997999999999</v>
      </c>
      <c r="F192" s="3">
        <v>23.656866000000001</v>
      </c>
      <c r="G192" s="3">
        <v>23.5</v>
      </c>
      <c r="H192" s="3">
        <v>26.219999000000001</v>
      </c>
      <c r="I192" s="3">
        <v>39.809291999999999</v>
      </c>
      <c r="J192" s="3">
        <v>74.800003000000004</v>
      </c>
      <c r="L192" s="11">
        <f t="shared" si="12"/>
        <v>6.9564554934530389E-4</v>
      </c>
      <c r="M192" s="11">
        <f t="shared" si="12"/>
        <v>2.9765112048524171E-2</v>
      </c>
      <c r="N192" s="11">
        <f t="shared" si="12"/>
        <v>4.2680751173708453E-3</v>
      </c>
      <c r="O192" s="11">
        <f t="shared" si="11"/>
        <v>3.6719246684222429E-3</v>
      </c>
      <c r="P192" s="11">
        <f t="shared" si="11"/>
        <v>4.2191596535168902E-4</v>
      </c>
      <c r="Q192" s="11">
        <f t="shared" si="11"/>
        <v>7.1591427268581864E-2</v>
      </c>
      <c r="R192" s="11">
        <f t="shared" si="11"/>
        <v>4.4621474103585655E-2</v>
      </c>
      <c r="S192" s="11">
        <f t="shared" si="11"/>
        <v>2.3560172202856125E-2</v>
      </c>
      <c r="T192" s="11">
        <f t="shared" si="11"/>
        <v>4.9235544266579542E-2</v>
      </c>
      <c r="U192" s="11">
        <f t="shared" si="9"/>
        <v>2.5314587910068607E-2</v>
      </c>
    </row>
    <row r="193" spans="1:21" x14ac:dyDescent="0.2">
      <c r="A193" s="1">
        <v>44158</v>
      </c>
      <c r="B193" s="3">
        <v>71.879997000000003</v>
      </c>
      <c r="C193" s="3">
        <v>18.030000999999999</v>
      </c>
      <c r="D193" s="3">
        <v>23.43</v>
      </c>
      <c r="E193" s="3">
        <v>65.360000999999997</v>
      </c>
      <c r="F193" s="3">
        <v>23.646889000000002</v>
      </c>
      <c r="G193" s="3">
        <v>21.93</v>
      </c>
      <c r="H193" s="3">
        <v>25.1</v>
      </c>
      <c r="I193" s="3">
        <v>38.892966999999999</v>
      </c>
      <c r="J193" s="3">
        <v>71.290001000000004</v>
      </c>
      <c r="L193" s="11">
        <f t="shared" si="12"/>
        <v>3.8578211798558283E-2</v>
      </c>
      <c r="M193" s="11">
        <f t="shared" si="12"/>
        <v>-2.2234272113108897E-2</v>
      </c>
      <c r="N193" s="11">
        <f t="shared" si="12"/>
        <v>2.9965324059703273E-3</v>
      </c>
      <c r="O193" s="11">
        <f t="shared" si="11"/>
        <v>-1.8326511072395569E-3</v>
      </c>
      <c r="P193" s="11">
        <f t="shared" si="11"/>
        <v>-2.3083221992170055E-2</v>
      </c>
      <c r="Q193" s="11">
        <f t="shared" si="11"/>
        <v>-3.1818181818181949E-3</v>
      </c>
      <c r="R193" s="11">
        <f t="shared" si="11"/>
        <v>5.3736356003358569E-2</v>
      </c>
      <c r="S193" s="11">
        <f t="shared" si="11"/>
        <v>7.4323616725914905E-3</v>
      </c>
      <c r="T193" s="11">
        <f t="shared" si="11"/>
        <v>5.2717069510970736E-2</v>
      </c>
      <c r="U193" s="11">
        <f t="shared" si="9"/>
        <v>1.1680951999679189E-2</v>
      </c>
    </row>
    <row r="194" spans="1:21" x14ac:dyDescent="0.2">
      <c r="A194" s="1">
        <v>44154</v>
      </c>
      <c r="B194" s="3">
        <v>69.209998999999996</v>
      </c>
      <c r="C194" s="3">
        <v>18.440000999999999</v>
      </c>
      <c r="D194" s="3">
        <v>23.360001</v>
      </c>
      <c r="E194" s="3">
        <v>65.480002999999996</v>
      </c>
      <c r="F194" s="3">
        <v>24.205632999999999</v>
      </c>
      <c r="G194" s="3">
        <v>22</v>
      </c>
      <c r="H194" s="3">
        <v>23.82</v>
      </c>
      <c r="I194" s="3">
        <v>38.606032999999996</v>
      </c>
      <c r="J194" s="3">
        <v>67.720000999999996</v>
      </c>
      <c r="L194" s="11">
        <f t="shared" si="12"/>
        <v>7.4236102222828351E-3</v>
      </c>
      <c r="M194" s="11">
        <f t="shared" si="12"/>
        <v>2.3496855633556066E-2</v>
      </c>
      <c r="N194" s="11">
        <f t="shared" si="12"/>
        <v>-1.8487311701147518E-2</v>
      </c>
      <c r="O194" s="11">
        <f t="shared" si="11"/>
        <v>1.5351295250466537E-2</v>
      </c>
      <c r="P194" s="11">
        <f t="shared" si="11"/>
        <v>-5.3300668632477758E-3</v>
      </c>
      <c r="Q194" s="11">
        <f t="shared" si="11"/>
        <v>-5.4249997547467779E-3</v>
      </c>
      <c r="R194" s="11">
        <f t="shared" si="11"/>
        <v>1.1465011102548267E-2</v>
      </c>
      <c r="S194" s="11">
        <f t="shared" si="11"/>
        <v>-7.1882644535861196E-4</v>
      </c>
      <c r="T194" s="11">
        <f t="shared" si="11"/>
        <v>1.9112175430196034E-2</v>
      </c>
      <c r="U194" s="11">
        <f t="shared" si="9"/>
        <v>5.209749208283228E-3</v>
      </c>
    </row>
    <row r="195" spans="1:21" x14ac:dyDescent="0.2">
      <c r="A195" s="1">
        <v>44153</v>
      </c>
      <c r="B195" s="3">
        <v>68.699996999999996</v>
      </c>
      <c r="C195" s="3">
        <v>18.016666000000001</v>
      </c>
      <c r="D195" s="3">
        <v>23.799999</v>
      </c>
      <c r="E195" s="3">
        <v>64.489998</v>
      </c>
      <c r="F195" s="3">
        <v>24.335342000000001</v>
      </c>
      <c r="G195" s="3">
        <v>22.120000999999998</v>
      </c>
      <c r="H195" s="3">
        <v>23.549999</v>
      </c>
      <c r="I195" s="3">
        <v>38.633803999999998</v>
      </c>
      <c r="J195" s="3">
        <v>66.449996999999996</v>
      </c>
      <c r="L195" s="11">
        <f t="shared" si="12"/>
        <v>-7.5123373661898701E-3</v>
      </c>
      <c r="M195" s="11">
        <f t="shared" si="12"/>
        <v>9.337030812324891E-3</v>
      </c>
      <c r="N195" s="11">
        <f t="shared" si="12"/>
        <v>0</v>
      </c>
      <c r="O195" s="11">
        <f t="shared" si="11"/>
        <v>-2.2878818181818184E-2</v>
      </c>
      <c r="P195" s="11">
        <f t="shared" si="11"/>
        <v>2.1784680683863474E-2</v>
      </c>
      <c r="Q195" s="11">
        <f t="shared" si="11"/>
        <v>-4.2009484625379012E-2</v>
      </c>
      <c r="R195" s="11">
        <f t="shared" si="11"/>
        <v>-5.9097507003059678E-3</v>
      </c>
      <c r="S195" s="11">
        <f t="shared" si="11"/>
        <v>-2.8624617101312071E-2</v>
      </c>
      <c r="T195" s="11">
        <f t="shared" si="11"/>
        <v>-7.7647303603892758E-3</v>
      </c>
      <c r="U195" s="11">
        <f t="shared" si="9"/>
        <v>-9.2864474265784477E-3</v>
      </c>
    </row>
    <row r="196" spans="1:21" x14ac:dyDescent="0.2">
      <c r="A196" s="1">
        <v>44152</v>
      </c>
      <c r="B196" s="3">
        <v>69.220000999999996</v>
      </c>
      <c r="C196" s="3">
        <v>17.850000000000001</v>
      </c>
      <c r="D196" s="3">
        <v>23.799999</v>
      </c>
      <c r="E196" s="3">
        <v>66</v>
      </c>
      <c r="F196" s="3">
        <v>23.816507000000001</v>
      </c>
      <c r="G196" s="3">
        <v>23.09</v>
      </c>
      <c r="H196" s="3">
        <v>23.690000999999999</v>
      </c>
      <c r="I196" s="3">
        <v>39.772269999999999</v>
      </c>
      <c r="J196" s="3">
        <v>66.970000999999996</v>
      </c>
      <c r="L196" s="11">
        <f t="shared" si="12"/>
        <v>-1.7040571344520774E-2</v>
      </c>
      <c r="M196" s="11">
        <f t="shared" si="12"/>
        <v>2.8090451016318449E-3</v>
      </c>
      <c r="N196" s="11">
        <f t="shared" si="12"/>
        <v>-1.7746636401155622E-2</v>
      </c>
      <c r="O196" s="11">
        <f t="shared" si="11"/>
        <v>-1.2271774917689214E-2</v>
      </c>
      <c r="P196" s="11">
        <f t="shared" si="11"/>
        <v>1.2298467486023297E-2</v>
      </c>
      <c r="Q196" s="11">
        <f t="shared" si="11"/>
        <v>1.6285255998470707E-2</v>
      </c>
      <c r="R196" s="11">
        <f t="shared" si="11"/>
        <v>1.717475237549361E-2</v>
      </c>
      <c r="S196" s="11">
        <f t="shared" si="11"/>
        <v>1.6317329446105106E-3</v>
      </c>
      <c r="T196" s="11">
        <f t="shared" si="11"/>
        <v>3.1577373123147498E-2</v>
      </c>
      <c r="U196" s="11">
        <f t="shared" si="9"/>
        <v>3.8575160406679842E-3</v>
      </c>
    </row>
    <row r="197" spans="1:21" x14ac:dyDescent="0.2">
      <c r="A197" s="1">
        <v>44151</v>
      </c>
      <c r="B197" s="3">
        <v>70.419998000000007</v>
      </c>
      <c r="C197" s="3">
        <v>17.799999</v>
      </c>
      <c r="D197" s="3">
        <v>24.23</v>
      </c>
      <c r="E197" s="3">
        <v>66.819999999999993</v>
      </c>
      <c r="F197" s="3">
        <v>23.527159000000001</v>
      </c>
      <c r="G197" s="3">
        <v>22.719999000000001</v>
      </c>
      <c r="H197" s="3">
        <v>23.290001</v>
      </c>
      <c r="I197" s="3">
        <v>39.707478000000002</v>
      </c>
      <c r="J197" s="3">
        <v>64.919998000000007</v>
      </c>
      <c r="L197" s="11">
        <f t="shared" si="12"/>
        <v>3.5740551132241637E-2</v>
      </c>
      <c r="M197" s="11">
        <f t="shared" si="12"/>
        <v>-5.5866480446926763E-3</v>
      </c>
      <c r="N197" s="11">
        <f t="shared" si="12"/>
        <v>-1.0212418300653595E-2</v>
      </c>
      <c r="O197" s="11">
        <f t="shared" si="11"/>
        <v>-2.6865671641792062E-3</v>
      </c>
      <c r="P197" s="11">
        <f t="shared" si="11"/>
        <v>-1.9542506547834057E-2</v>
      </c>
      <c r="Q197" s="11">
        <f t="shared" si="11"/>
        <v>1.2026636435339182E-2</v>
      </c>
      <c r="R197" s="11">
        <f t="shared" si="11"/>
        <v>2.9164915119969673E-2</v>
      </c>
      <c r="S197" s="11">
        <f t="shared" si="11"/>
        <v>2.1428571061088132E-2</v>
      </c>
      <c r="T197" s="11">
        <f t="shared" si="11"/>
        <v>2.6403130434782717E-2</v>
      </c>
      <c r="U197" s="11">
        <f t="shared" si="9"/>
        <v>9.6372960140068669E-3</v>
      </c>
    </row>
    <row r="198" spans="1:21" x14ac:dyDescent="0.2">
      <c r="A198" s="1">
        <v>44148</v>
      </c>
      <c r="B198" s="3">
        <v>67.989998</v>
      </c>
      <c r="C198" s="3">
        <v>17.899999999999999</v>
      </c>
      <c r="D198" s="3">
        <v>24.48</v>
      </c>
      <c r="E198" s="3">
        <v>67</v>
      </c>
      <c r="F198" s="3">
        <v>23.996103000000002</v>
      </c>
      <c r="G198" s="3">
        <v>22.450001</v>
      </c>
      <c r="H198" s="3">
        <v>22.629999000000002</v>
      </c>
      <c r="I198" s="3">
        <v>38.874454</v>
      </c>
      <c r="J198" s="3">
        <v>63.25</v>
      </c>
      <c r="L198" s="11">
        <f t="shared" si="12"/>
        <v>5.985963959907592E-2</v>
      </c>
      <c r="M198" s="11">
        <f t="shared" si="12"/>
        <v>-1.4875047038865061E-3</v>
      </c>
      <c r="N198" s="11">
        <f t="shared" si="12"/>
        <v>4.2589437819420782E-2</v>
      </c>
      <c r="O198" s="11">
        <f t="shared" si="11"/>
        <v>2.368224707481658E-2</v>
      </c>
      <c r="P198" s="11">
        <f t="shared" si="11"/>
        <v>5.014580732174043E-3</v>
      </c>
      <c r="Q198" s="11">
        <f t="shared" si="11"/>
        <v>-2.3488429752066036E-2</v>
      </c>
      <c r="R198" s="11">
        <f t="shared" si="11"/>
        <v>3.2861661341853102E-2</v>
      </c>
      <c r="S198" s="11">
        <f t="shared" si="11"/>
        <v>3.5758316290262673E-2</v>
      </c>
      <c r="T198" s="11">
        <f t="shared" si="11"/>
        <v>9.2548590794593669E-3</v>
      </c>
      <c r="U198" s="11">
        <f t="shared" si="9"/>
        <v>2.0449423053456661E-2</v>
      </c>
    </row>
    <row r="199" spans="1:21" x14ac:dyDescent="0.2">
      <c r="A199" s="1">
        <v>44147</v>
      </c>
      <c r="B199" s="3">
        <v>64.150002000000001</v>
      </c>
      <c r="C199" s="3">
        <v>17.926666000000001</v>
      </c>
      <c r="D199" s="3">
        <v>23.48</v>
      </c>
      <c r="E199" s="3">
        <v>65.449996999999996</v>
      </c>
      <c r="F199" s="3">
        <v>23.876373000000001</v>
      </c>
      <c r="G199" s="3">
        <v>22.99</v>
      </c>
      <c r="H199" s="3">
        <v>21.91</v>
      </c>
      <c r="I199" s="3">
        <v>37.532359999999997</v>
      </c>
      <c r="J199" s="3">
        <v>62.669998</v>
      </c>
      <c r="L199" s="11">
        <f t="shared" si="12"/>
        <v>-2.046107865204087E-2</v>
      </c>
      <c r="M199" s="11">
        <f t="shared" si="12"/>
        <v>-2.924182574384699E-2</v>
      </c>
      <c r="N199" s="11">
        <f t="shared" si="12"/>
        <v>1.6890428757037702E-2</v>
      </c>
      <c r="O199" s="11">
        <f t="shared" si="11"/>
        <v>-1.1627967205859754E-2</v>
      </c>
      <c r="P199" s="11">
        <f t="shared" si="11"/>
        <v>-2.00654833596371E-2</v>
      </c>
      <c r="Q199" s="11">
        <f t="shared" si="11"/>
        <v>-2.7084173808048111E-2</v>
      </c>
      <c r="R199" s="11">
        <f t="shared" si="11"/>
        <v>-4.2395063041742322E-2</v>
      </c>
      <c r="S199" s="11">
        <f t="shared" si="11"/>
        <v>-3.0136315291876513E-2</v>
      </c>
      <c r="T199" s="11">
        <f t="shared" si="11"/>
        <v>-1.4622641969265467E-2</v>
      </c>
      <c r="U199" s="11">
        <f t="shared" ref="U199:U262" si="13">AVERAGE(L199:T199)</f>
        <v>-1.9860457812808825E-2</v>
      </c>
    </row>
    <row r="200" spans="1:21" x14ac:dyDescent="0.2">
      <c r="A200" s="1">
        <v>44146</v>
      </c>
      <c r="B200" s="3">
        <v>65.489998</v>
      </c>
      <c r="C200" s="3">
        <v>18.466664999999999</v>
      </c>
      <c r="D200" s="3">
        <v>23.09</v>
      </c>
      <c r="E200" s="3">
        <v>66.220000999999996</v>
      </c>
      <c r="F200" s="3">
        <v>24.365273999999999</v>
      </c>
      <c r="G200" s="3">
        <v>23.629999000000002</v>
      </c>
      <c r="H200" s="3">
        <v>22.879999000000002</v>
      </c>
      <c r="I200" s="3">
        <v>38.698593000000002</v>
      </c>
      <c r="J200" s="3">
        <v>63.599997999999999</v>
      </c>
      <c r="L200" s="11">
        <f t="shared" si="12"/>
        <v>-3.1963319572144923E-3</v>
      </c>
      <c r="M200" s="11">
        <f t="shared" si="12"/>
        <v>2.4029501368382656E-2</v>
      </c>
      <c r="N200" s="11">
        <f t="shared" si="12"/>
        <v>-4.3122464720893672E-3</v>
      </c>
      <c r="O200" s="11">
        <f t="shared" si="11"/>
        <v>-1.5078256936067076E-3</v>
      </c>
      <c r="P200" s="11">
        <f t="shared" si="11"/>
        <v>-2.7479104107779893E-2</v>
      </c>
      <c r="Q200" s="11">
        <f t="shared" si="11"/>
        <v>-1.7054990971090169E-2</v>
      </c>
      <c r="R200" s="11">
        <f t="shared" si="11"/>
        <v>-8.6655545927208314E-3</v>
      </c>
      <c r="S200" s="11">
        <f t="shared" si="11"/>
        <v>-2.2445616255638002E-2</v>
      </c>
      <c r="T200" s="11">
        <f t="shared" si="11"/>
        <v>6.9664027865738252E-3</v>
      </c>
      <c r="U200" s="11">
        <f t="shared" si="13"/>
        <v>-5.9628628772425531E-3</v>
      </c>
    </row>
    <row r="201" spans="1:21" x14ac:dyDescent="0.2">
      <c r="A201" s="1">
        <v>44145</v>
      </c>
      <c r="B201" s="3">
        <v>65.699996999999996</v>
      </c>
      <c r="C201" s="3">
        <v>18.033332999999999</v>
      </c>
      <c r="D201" s="3">
        <v>23.190000999999999</v>
      </c>
      <c r="E201" s="3">
        <v>66.319999999999993</v>
      </c>
      <c r="F201" s="3">
        <v>25.053728</v>
      </c>
      <c r="G201" s="3">
        <v>24.040001</v>
      </c>
      <c r="H201" s="3">
        <v>23.08</v>
      </c>
      <c r="I201" s="3">
        <v>39.587150999999999</v>
      </c>
      <c r="J201" s="3">
        <v>63.16</v>
      </c>
      <c r="L201" s="11">
        <f t="shared" si="12"/>
        <v>1.1547344644219153E-2</v>
      </c>
      <c r="M201" s="11">
        <f t="shared" si="12"/>
        <v>4.6424509948494504E-3</v>
      </c>
      <c r="N201" s="11">
        <f t="shared" si="12"/>
        <v>-2.9300880255373841E-2</v>
      </c>
      <c r="O201" s="11">
        <f t="shared" si="11"/>
        <v>3.328320826877995E-3</v>
      </c>
      <c r="P201" s="11">
        <f t="shared" si="11"/>
        <v>-6.331601302467774E-3</v>
      </c>
      <c r="Q201" s="11">
        <f t="shared" si="11"/>
        <v>-1.9575815660685131E-2</v>
      </c>
      <c r="R201" s="11">
        <f t="shared" si="11"/>
        <v>6.8024013511151518E-2</v>
      </c>
      <c r="S201" s="11">
        <f t="shared" si="11"/>
        <v>2.9857908923207162E-2</v>
      </c>
      <c r="T201" s="11">
        <f t="shared" si="11"/>
        <v>-4.7474284656981339E-4</v>
      </c>
      <c r="U201" s="11">
        <f t="shared" si="13"/>
        <v>6.8574443150231906E-3</v>
      </c>
    </row>
    <row r="202" spans="1:21" x14ac:dyDescent="0.2">
      <c r="A202" s="1">
        <v>44144</v>
      </c>
      <c r="B202" s="3">
        <v>64.949996999999996</v>
      </c>
      <c r="C202" s="3">
        <v>17.950001</v>
      </c>
      <c r="D202" s="3">
        <v>23.889999</v>
      </c>
      <c r="E202" s="3">
        <v>66.099997999999999</v>
      </c>
      <c r="F202" s="3">
        <v>25.213369</v>
      </c>
      <c r="G202" s="3">
        <v>24.52</v>
      </c>
      <c r="H202" s="3">
        <v>21.610001</v>
      </c>
      <c r="I202" s="3">
        <v>38.439430000000002</v>
      </c>
      <c r="J202" s="3">
        <v>63.189999</v>
      </c>
      <c r="L202" s="11">
        <f t="shared" si="12"/>
        <v>2.7527258780687416E-2</v>
      </c>
      <c r="M202" s="11">
        <f t="shared" si="12"/>
        <v>-4.8922572393545888E-2</v>
      </c>
      <c r="N202" s="11">
        <f t="shared" si="12"/>
        <v>4.6256516137236888E-3</v>
      </c>
      <c r="O202" s="11">
        <f t="shared" si="11"/>
        <v>-2.7941205882352951E-2</v>
      </c>
      <c r="P202" s="11">
        <f t="shared" si="11"/>
        <v>9.9919764235839002E-3</v>
      </c>
      <c r="Q202" s="11">
        <f t="shared" si="11"/>
        <v>0.14046511627906974</v>
      </c>
      <c r="R202" s="11">
        <f t="shared" si="11"/>
        <v>9.4177265822784836E-2</v>
      </c>
      <c r="S202" s="11">
        <f t="shared" si="11"/>
        <v>-3.1205331506626477E-3</v>
      </c>
      <c r="T202" s="11">
        <f t="shared" si="11"/>
        <v>0</v>
      </c>
      <c r="U202" s="11">
        <f t="shared" si="13"/>
        <v>2.1866995277032012E-2</v>
      </c>
    </row>
    <row r="203" spans="1:21" x14ac:dyDescent="0.2">
      <c r="A203" s="1">
        <v>44141</v>
      </c>
      <c r="B203" s="3">
        <v>63.209999000000003</v>
      </c>
      <c r="C203" s="3">
        <v>18.873332999999999</v>
      </c>
      <c r="D203" s="3">
        <v>23.780000999999999</v>
      </c>
      <c r="E203" s="3">
        <v>68</v>
      </c>
      <c r="F203" s="3">
        <v>24.963930000000001</v>
      </c>
      <c r="G203" s="3">
        <v>21.5</v>
      </c>
      <c r="H203" s="3">
        <v>19.75</v>
      </c>
      <c r="I203" s="3">
        <v>38.559756999999998</v>
      </c>
      <c r="J203" s="3">
        <v>63.189999</v>
      </c>
      <c r="L203" s="11">
        <f t="shared" si="12"/>
        <v>-1.4499532499213161E-2</v>
      </c>
      <c r="M203" s="11">
        <f t="shared" si="12"/>
        <v>1.7657656721906559E-4</v>
      </c>
      <c r="N203" s="11">
        <f t="shared" si="12"/>
        <v>-1.1637490092996371E-2</v>
      </c>
      <c r="O203" s="11">
        <f t="shared" si="11"/>
        <v>1.7678698483147689E-3</v>
      </c>
      <c r="P203" s="11">
        <f t="shared" si="11"/>
        <v>-9.5012600287087568E-3</v>
      </c>
      <c r="Q203" s="11">
        <f t="shared" si="11"/>
        <v>3.8145873401539042E-2</v>
      </c>
      <c r="R203" s="11">
        <f t="shared" si="11"/>
        <v>-7.0386629984244614E-3</v>
      </c>
      <c r="S203" s="11">
        <f t="shared" si="11"/>
        <v>5.0663901882589384E-3</v>
      </c>
      <c r="T203" s="11">
        <f t="shared" si="11"/>
        <v>1.0231814711939492E-2</v>
      </c>
      <c r="U203" s="11">
        <f t="shared" si="13"/>
        <v>1.4123976775476171E-3</v>
      </c>
    </row>
    <row r="204" spans="1:21" x14ac:dyDescent="0.2">
      <c r="A204" s="1">
        <v>44140</v>
      </c>
      <c r="B204" s="3">
        <v>64.139999000000003</v>
      </c>
      <c r="C204" s="3">
        <v>18.870000999999998</v>
      </c>
      <c r="D204" s="3">
        <v>24.059999000000001</v>
      </c>
      <c r="E204" s="3">
        <v>67.879997000000003</v>
      </c>
      <c r="F204" s="3">
        <v>25.203393999999999</v>
      </c>
      <c r="G204" s="3">
        <v>20.709999</v>
      </c>
      <c r="H204" s="3">
        <v>19.889999</v>
      </c>
      <c r="I204" s="3">
        <v>38.365383000000001</v>
      </c>
      <c r="J204" s="3">
        <v>62.549999</v>
      </c>
      <c r="L204" s="11">
        <f t="shared" si="12"/>
        <v>7.8019976783902118E-4</v>
      </c>
      <c r="M204" s="11">
        <f t="shared" si="12"/>
        <v>4.6395638565538584E-2</v>
      </c>
      <c r="N204" s="11">
        <f t="shared" si="12"/>
        <v>7.1159483933005488E-3</v>
      </c>
      <c r="O204" s="11">
        <f t="shared" si="11"/>
        <v>2.3830979313831994E-2</v>
      </c>
      <c r="P204" s="11">
        <f t="shared" si="11"/>
        <v>1.2424918415365081E-2</v>
      </c>
      <c r="Q204" s="11">
        <f t="shared" si="11"/>
        <v>6.8076331515024846E-2</v>
      </c>
      <c r="R204" s="11">
        <f t="shared" si="11"/>
        <v>8.6206900923269901E-3</v>
      </c>
      <c r="S204" s="11">
        <f t="shared" si="11"/>
        <v>3.6768303986674286E-2</v>
      </c>
      <c r="T204" s="11">
        <f t="shared" si="11"/>
        <v>1.5751818260739896E-2</v>
      </c>
      <c r="U204" s="11">
        <f t="shared" si="13"/>
        <v>2.4418314256737919E-2</v>
      </c>
    </row>
    <row r="205" spans="1:21" x14ac:dyDescent="0.2">
      <c r="A205" s="1">
        <v>44139</v>
      </c>
      <c r="B205" s="3">
        <v>64.089995999999999</v>
      </c>
      <c r="C205" s="3">
        <v>18.033332999999999</v>
      </c>
      <c r="D205" s="3">
        <v>23.889999</v>
      </c>
      <c r="E205" s="3">
        <v>66.300003000000004</v>
      </c>
      <c r="F205" s="3">
        <v>24.894086999999999</v>
      </c>
      <c r="G205" s="3">
        <v>19.389999</v>
      </c>
      <c r="H205" s="3">
        <v>19.719999000000001</v>
      </c>
      <c r="I205" s="3">
        <v>37.004779999999997</v>
      </c>
      <c r="J205" s="3">
        <v>61.580002</v>
      </c>
      <c r="L205" s="11">
        <f t="shared" si="12"/>
        <v>7.1739081467208712E-2</v>
      </c>
      <c r="M205" s="11">
        <f t="shared" si="12"/>
        <v>6.1408652148322578E-2</v>
      </c>
      <c r="N205" s="11">
        <f t="shared" si="12"/>
        <v>-1.3625103783034914E-2</v>
      </c>
      <c r="O205" s="11">
        <f t="shared" si="11"/>
        <v>3.9673874862788151E-2</v>
      </c>
      <c r="P205" s="11">
        <f t="shared" si="11"/>
        <v>4.9642379059644415E-2</v>
      </c>
      <c r="Q205" s="11">
        <f t="shared" si="11"/>
        <v>3.9678230563002737E-2</v>
      </c>
      <c r="R205" s="11">
        <f t="shared" si="11"/>
        <v>3.5622900763360209E-3</v>
      </c>
      <c r="S205" s="11">
        <f t="shared" si="11"/>
        <v>2.3291587876479034E-2</v>
      </c>
      <c r="T205" s="11">
        <f t="shared" si="11"/>
        <v>-2.7786517208714921E-2</v>
      </c>
      <c r="U205" s="11">
        <f t="shared" si="13"/>
        <v>2.7509386118003534E-2</v>
      </c>
    </row>
    <row r="206" spans="1:21" x14ac:dyDescent="0.2">
      <c r="A206" s="1">
        <v>44138</v>
      </c>
      <c r="B206" s="3">
        <v>59.799999</v>
      </c>
      <c r="C206" s="3">
        <v>16.989999999999998</v>
      </c>
      <c r="D206" s="3">
        <v>24.219999000000001</v>
      </c>
      <c r="E206" s="3">
        <v>63.77</v>
      </c>
      <c r="F206" s="3">
        <v>23.716732</v>
      </c>
      <c r="G206" s="3">
        <v>18.649999999999999</v>
      </c>
      <c r="H206" s="3">
        <v>19.649999999999999</v>
      </c>
      <c r="I206" s="3">
        <v>36.162497999999999</v>
      </c>
      <c r="J206" s="3">
        <v>63.34</v>
      </c>
      <c r="L206" s="11">
        <f t="shared" si="12"/>
        <v>-8.2918741010261053E-3</v>
      </c>
      <c r="M206" s="11">
        <f t="shared" si="12"/>
        <v>-1.567051971285227E-3</v>
      </c>
      <c r="N206" s="11">
        <f t="shared" si="12"/>
        <v>1.8074736524811463E-2</v>
      </c>
      <c r="O206" s="11">
        <f t="shared" si="11"/>
        <v>5.0922874093605859E-2</v>
      </c>
      <c r="P206" s="11">
        <f t="shared" si="11"/>
        <v>2.3245808450120323E-2</v>
      </c>
      <c r="Q206" s="11">
        <f t="shared" si="11"/>
        <v>-1.6868688290389618E-2</v>
      </c>
      <c r="R206" s="11">
        <f t="shared" si="11"/>
        <v>3.7486745644839191E-2</v>
      </c>
      <c r="S206" s="11">
        <f t="shared" si="11"/>
        <v>-1.2635858992515837E-2</v>
      </c>
      <c r="T206" s="11">
        <f t="shared" si="11"/>
        <v>4.6077639076426799E-2</v>
      </c>
      <c r="U206" s="11">
        <f t="shared" si="13"/>
        <v>1.5160481159398538E-2</v>
      </c>
    </row>
    <row r="207" spans="1:21" x14ac:dyDescent="0.2">
      <c r="A207" s="1">
        <v>44134</v>
      </c>
      <c r="B207" s="3">
        <v>60.299999</v>
      </c>
      <c r="C207" s="3">
        <v>17.016666000000001</v>
      </c>
      <c r="D207" s="3">
        <v>23.790001</v>
      </c>
      <c r="E207" s="3">
        <v>60.68</v>
      </c>
      <c r="F207" s="3">
        <v>23.177942000000002</v>
      </c>
      <c r="G207" s="3">
        <v>18.969999000000001</v>
      </c>
      <c r="H207" s="3">
        <v>18.940000999999999</v>
      </c>
      <c r="I207" s="3">
        <v>36.62529</v>
      </c>
      <c r="J207" s="3">
        <v>60.549999</v>
      </c>
      <c r="L207" s="11">
        <f t="shared" si="12"/>
        <v>-2.9454401586119408E-2</v>
      </c>
      <c r="M207" s="11">
        <f t="shared" si="12"/>
        <v>-3.6428878822197024E-2</v>
      </c>
      <c r="N207" s="11">
        <f t="shared" si="12"/>
        <v>-2.0972734899328727E-3</v>
      </c>
      <c r="O207" s="11">
        <f t="shared" si="11"/>
        <v>-3.0051166399437879E-2</v>
      </c>
      <c r="P207" s="11">
        <f t="shared" si="11"/>
        <v>-5.9133245949712268E-2</v>
      </c>
      <c r="Q207" s="11">
        <f t="shared" si="11"/>
        <v>-6.8063350785340327E-3</v>
      </c>
      <c r="R207" s="11">
        <f t="shared" si="11"/>
        <v>-1.8144115181746304E-2</v>
      </c>
      <c r="S207" s="11">
        <f t="shared" si="11"/>
        <v>-7.2754142054632645E-3</v>
      </c>
      <c r="T207" s="11">
        <f t="shared" si="11"/>
        <v>-2.3702047726539881E-2</v>
      </c>
      <c r="U207" s="11">
        <f t="shared" si="13"/>
        <v>-2.3676986493298104E-2</v>
      </c>
    </row>
    <row r="208" spans="1:21" x14ac:dyDescent="0.2">
      <c r="A208" s="1">
        <v>44133</v>
      </c>
      <c r="B208" s="3">
        <v>62.130001</v>
      </c>
      <c r="C208" s="3">
        <v>17.66</v>
      </c>
      <c r="D208" s="3">
        <v>23.84</v>
      </c>
      <c r="E208" s="3">
        <v>62.560001</v>
      </c>
      <c r="F208" s="3">
        <v>24.63467</v>
      </c>
      <c r="G208" s="3">
        <v>19.100000000000001</v>
      </c>
      <c r="H208" s="3">
        <v>19.290001</v>
      </c>
      <c r="I208" s="3">
        <v>36.893706999999999</v>
      </c>
      <c r="J208" s="3">
        <v>62.02</v>
      </c>
      <c r="L208" s="11">
        <f t="shared" si="12"/>
        <v>3.2059800131897E-2</v>
      </c>
      <c r="M208" s="11">
        <f t="shared" si="12"/>
        <v>3.2144884152841349E-2</v>
      </c>
      <c r="N208" s="11">
        <f t="shared" si="12"/>
        <v>-4.5929434407956998E-3</v>
      </c>
      <c r="O208" s="11">
        <f t="shared" si="11"/>
        <v>1.5990407929503031E-4</v>
      </c>
      <c r="P208" s="11">
        <f t="shared" si="11"/>
        <v>-1.2135610377981667E-3</v>
      </c>
      <c r="Q208" s="11">
        <f t="shared" si="11"/>
        <v>4.2060988433229151E-3</v>
      </c>
      <c r="R208" s="11">
        <f t="shared" si="11"/>
        <v>3.3208409212640518E-2</v>
      </c>
      <c r="S208" s="11">
        <f t="shared" si="11"/>
        <v>-1.0181310715042878E-2</v>
      </c>
      <c r="T208" s="11">
        <f t="shared" si="11"/>
        <v>2.9206804819343006E-2</v>
      </c>
      <c r="U208" s="11">
        <f t="shared" si="13"/>
        <v>1.2777565116189231E-2</v>
      </c>
    </row>
    <row r="209" spans="1:21" x14ac:dyDescent="0.2">
      <c r="A209" s="1">
        <v>44132</v>
      </c>
      <c r="B209" s="3">
        <v>60.200001</v>
      </c>
      <c r="C209" s="3">
        <v>17.110001</v>
      </c>
      <c r="D209" s="3">
        <v>23.950001</v>
      </c>
      <c r="E209" s="3">
        <v>62.549999</v>
      </c>
      <c r="F209" s="3">
        <v>24.664601999999999</v>
      </c>
      <c r="G209" s="3">
        <v>19.02</v>
      </c>
      <c r="H209" s="3">
        <v>18.670000000000002</v>
      </c>
      <c r="I209" s="3">
        <v>37.273197000000003</v>
      </c>
      <c r="J209" s="3">
        <v>60.259998000000003</v>
      </c>
      <c r="L209" s="11">
        <f t="shared" si="12"/>
        <v>-1.7142840816326527E-2</v>
      </c>
      <c r="M209" s="11">
        <f t="shared" si="12"/>
        <v>-2.6919300619472931E-2</v>
      </c>
      <c r="N209" s="11">
        <f t="shared" si="12"/>
        <v>-3.3494752482051894E-2</v>
      </c>
      <c r="O209" s="11">
        <f t="shared" si="11"/>
        <v>-3.1283893448970014E-2</v>
      </c>
      <c r="P209" s="11">
        <f t="shared" si="11"/>
        <v>-4.3713746124293261E-2</v>
      </c>
      <c r="Q209" s="11">
        <f t="shared" si="11"/>
        <v>-5.3260328521652578E-2</v>
      </c>
      <c r="R209" s="11">
        <f t="shared" si="11"/>
        <v>-6.0865143906697367E-2</v>
      </c>
      <c r="S209" s="11">
        <f t="shared" si="11"/>
        <v>-2.2572777401953653E-2</v>
      </c>
      <c r="T209" s="11">
        <f t="shared" si="11"/>
        <v>-3.6302591336999597E-2</v>
      </c>
      <c r="U209" s="11">
        <f t="shared" si="13"/>
        <v>-3.6172819406490871E-2</v>
      </c>
    </row>
    <row r="210" spans="1:21" x14ac:dyDescent="0.2">
      <c r="A210" s="1">
        <v>44131</v>
      </c>
      <c r="B210" s="3">
        <v>61.25</v>
      </c>
      <c r="C210" s="3">
        <v>17.583331999999999</v>
      </c>
      <c r="D210" s="3">
        <v>24.780000999999999</v>
      </c>
      <c r="E210" s="3">
        <v>64.569999999999993</v>
      </c>
      <c r="F210" s="3">
        <v>25.792069999999999</v>
      </c>
      <c r="G210" s="3">
        <v>20.09</v>
      </c>
      <c r="H210" s="3">
        <v>19.879999000000002</v>
      </c>
      <c r="I210" s="3">
        <v>38.133986999999998</v>
      </c>
      <c r="J210" s="3">
        <v>62.529998999999997</v>
      </c>
      <c r="L210" s="11">
        <f t="shared" si="12"/>
        <v>-1.4639639639639586E-2</v>
      </c>
      <c r="M210" s="11">
        <f t="shared" si="12"/>
        <v>-4.0560241562758927E-2</v>
      </c>
      <c r="N210" s="11">
        <f t="shared" si="12"/>
        <v>-1.6666666005291098E-2</v>
      </c>
      <c r="O210" s="11">
        <f t="shared" si="11"/>
        <v>2.6713325277680319E-2</v>
      </c>
      <c r="P210" s="11">
        <f t="shared" si="11"/>
        <v>-1.0715708727142259E-2</v>
      </c>
      <c r="Q210" s="11">
        <f t="shared" si="11"/>
        <v>-1.0344778834718162E-2</v>
      </c>
      <c r="R210" s="11">
        <f t="shared" si="11"/>
        <v>-1.8271654320987579E-2</v>
      </c>
      <c r="S210" s="11">
        <f t="shared" si="11"/>
        <v>-5.0713098566539539E-3</v>
      </c>
      <c r="T210" s="11">
        <f t="shared" si="11"/>
        <v>4.799839999999449E-4</v>
      </c>
      <c r="U210" s="11">
        <f t="shared" si="13"/>
        <v>-9.897409963279034E-3</v>
      </c>
    </row>
    <row r="211" spans="1:21" x14ac:dyDescent="0.2">
      <c r="A211" s="1">
        <v>44130</v>
      </c>
      <c r="B211" s="3">
        <v>62.16</v>
      </c>
      <c r="C211" s="3">
        <v>18.326665999999999</v>
      </c>
      <c r="D211" s="3">
        <v>25.200001</v>
      </c>
      <c r="E211" s="3">
        <v>62.889999000000003</v>
      </c>
      <c r="F211" s="3">
        <v>26.071444</v>
      </c>
      <c r="G211" s="3">
        <v>20.299999</v>
      </c>
      <c r="H211" s="3">
        <v>20.25</v>
      </c>
      <c r="I211" s="3">
        <v>38.328361999999998</v>
      </c>
      <c r="J211" s="3">
        <v>62.5</v>
      </c>
      <c r="L211" s="11">
        <f t="shared" si="12"/>
        <v>1.9016393442622896E-2</v>
      </c>
      <c r="M211" s="11">
        <f t="shared" si="12"/>
        <v>3.2846716527251728E-3</v>
      </c>
      <c r="N211" s="11">
        <f t="shared" si="12"/>
        <v>-1.1764666666666654E-2</v>
      </c>
      <c r="O211" s="11">
        <f t="shared" si="11"/>
        <v>5.2749040077541458E-3</v>
      </c>
      <c r="P211" s="11">
        <f t="shared" si="11"/>
        <v>9.2699816839451037E-3</v>
      </c>
      <c r="Q211" s="11">
        <f t="shared" si="11"/>
        <v>-4.2904292451876123E-2</v>
      </c>
      <c r="R211" s="11">
        <f t="shared" si="11"/>
        <v>-1.5556635877491506E-2</v>
      </c>
      <c r="S211" s="11">
        <f t="shared" si="11"/>
        <v>3.6355521810407018E-3</v>
      </c>
      <c r="T211" s="11">
        <f t="shared" si="11"/>
        <v>-1.4972434752207496E-2</v>
      </c>
      <c r="U211" s="11">
        <f t="shared" si="13"/>
        <v>-4.9685029755726397E-3</v>
      </c>
    </row>
    <row r="212" spans="1:21" x14ac:dyDescent="0.2">
      <c r="A212" s="1">
        <v>44127</v>
      </c>
      <c r="B212" s="3">
        <v>61</v>
      </c>
      <c r="C212" s="3">
        <v>18.266666000000001</v>
      </c>
      <c r="D212" s="3">
        <v>25.5</v>
      </c>
      <c r="E212" s="3">
        <v>62.560001</v>
      </c>
      <c r="F212" s="3">
        <v>25.831982</v>
      </c>
      <c r="G212" s="3">
        <v>21.209999</v>
      </c>
      <c r="H212" s="3">
        <v>20.57</v>
      </c>
      <c r="I212" s="3">
        <v>38.189521999999997</v>
      </c>
      <c r="J212" s="3">
        <v>63.450001</v>
      </c>
      <c r="L212" s="11">
        <f t="shared" si="12"/>
        <v>0.16035761841354385</v>
      </c>
      <c r="M212" s="11">
        <f t="shared" si="12"/>
        <v>-2.2650346567664605E-2</v>
      </c>
      <c r="N212" s="11">
        <f t="shared" si="12"/>
        <v>5.917159763313553E-3</v>
      </c>
      <c r="O212" s="11">
        <f t="shared" si="11"/>
        <v>-2.2499984375000004E-2</v>
      </c>
      <c r="P212" s="11">
        <f t="shared" si="11"/>
        <v>-4.9961691632489699E-3</v>
      </c>
      <c r="Q212" s="11">
        <f t="shared" si="11"/>
        <v>-1.7600787401574804E-2</v>
      </c>
      <c r="R212" s="11">
        <f t="shared" si="11"/>
        <v>-1.2955854126679442E-2</v>
      </c>
      <c r="S212" s="11">
        <f t="shared" si="11"/>
        <v>-2.2043201903923275E-2</v>
      </c>
      <c r="T212" s="11">
        <f t="shared" si="11"/>
        <v>5.5467989079809633E-3</v>
      </c>
      <c r="U212" s="11">
        <f t="shared" si="13"/>
        <v>7.6750259496385859E-3</v>
      </c>
    </row>
    <row r="213" spans="1:21" x14ac:dyDescent="0.2">
      <c r="A213" s="1">
        <v>44126</v>
      </c>
      <c r="B213" s="3">
        <v>52.57</v>
      </c>
      <c r="C213" s="3">
        <v>18.690000999999999</v>
      </c>
      <c r="D213" s="3">
        <v>25.35</v>
      </c>
      <c r="E213" s="3">
        <v>64</v>
      </c>
      <c r="F213" s="3">
        <v>25.961690999999998</v>
      </c>
      <c r="G213" s="3">
        <v>21.59</v>
      </c>
      <c r="H213" s="3">
        <v>20.84</v>
      </c>
      <c r="I213" s="3">
        <v>39.050316000000002</v>
      </c>
      <c r="J213" s="3">
        <v>63.099997999999999</v>
      </c>
      <c r="L213" s="11">
        <f t="shared" si="12"/>
        <v>-2.9715762273901797E-2</v>
      </c>
      <c r="M213" s="11">
        <f t="shared" si="12"/>
        <v>-2.2659857463131563E-2</v>
      </c>
      <c r="N213" s="11">
        <f t="shared" si="12"/>
        <v>5.9523410336373046E-3</v>
      </c>
      <c r="O213" s="11">
        <f t="shared" si="11"/>
        <v>1.7649881024803273E-2</v>
      </c>
      <c r="P213" s="11">
        <f t="shared" si="11"/>
        <v>-2.1068432701047354E-2</v>
      </c>
      <c r="Q213" s="11">
        <f t="shared" si="11"/>
        <v>-1.729626842495539E-2</v>
      </c>
      <c r="R213" s="11">
        <f t="shared" si="11"/>
        <v>3.3730158730158714E-2</v>
      </c>
      <c r="S213" s="11">
        <f t="shared" si="11"/>
        <v>-1.4482572457784264E-2</v>
      </c>
      <c r="T213" s="11">
        <f t="shared" si="11"/>
        <v>3.9777248680262492E-3</v>
      </c>
      <c r="U213" s="11">
        <f t="shared" si="13"/>
        <v>-4.8791986293549817E-3</v>
      </c>
    </row>
    <row r="214" spans="1:21" x14ac:dyDescent="0.2">
      <c r="A214" s="1">
        <v>44125</v>
      </c>
      <c r="B214" s="3">
        <v>54.18</v>
      </c>
      <c r="C214" s="3">
        <v>19.123332999999999</v>
      </c>
      <c r="D214" s="3">
        <v>25.200001</v>
      </c>
      <c r="E214" s="3">
        <v>62.889999000000003</v>
      </c>
      <c r="F214" s="3">
        <v>26.520434999999999</v>
      </c>
      <c r="G214" s="3">
        <v>21.969999000000001</v>
      </c>
      <c r="H214" s="3">
        <v>20.16</v>
      </c>
      <c r="I214" s="3">
        <v>39.624175999999999</v>
      </c>
      <c r="J214" s="3">
        <v>62.849997999999999</v>
      </c>
      <c r="L214" s="11">
        <f t="shared" si="12"/>
        <v>-1.6696879008961118E-2</v>
      </c>
      <c r="M214" s="11">
        <f t="shared" si="12"/>
        <v>-9.1536792307606273E-3</v>
      </c>
      <c r="N214" s="11">
        <f t="shared" si="12"/>
        <v>-1.1764666666666654E-2</v>
      </c>
      <c r="O214" s="11">
        <f t="shared" si="11"/>
        <v>-2.4507553520900262E-2</v>
      </c>
      <c r="P214" s="11">
        <f t="shared" si="11"/>
        <v>-2.9926957477991917E-2</v>
      </c>
      <c r="Q214" s="11">
        <f t="shared" si="11"/>
        <v>3.7299291784702628E-2</v>
      </c>
      <c r="R214" s="11">
        <f t="shared" si="11"/>
        <v>-9.9108027750245665E-4</v>
      </c>
      <c r="S214" s="11">
        <f t="shared" si="11"/>
        <v>2.1230937087850614E-2</v>
      </c>
      <c r="T214" s="11">
        <f t="shared" si="11"/>
        <v>1.6332438551099546E-2</v>
      </c>
      <c r="U214" s="11">
        <f t="shared" si="13"/>
        <v>-2.0197943065700277E-3</v>
      </c>
    </row>
    <row r="215" spans="1:21" x14ac:dyDescent="0.2">
      <c r="A215" s="1">
        <v>44124</v>
      </c>
      <c r="B215" s="3">
        <v>55.099997999999999</v>
      </c>
      <c r="C215" s="3">
        <v>19.299999</v>
      </c>
      <c r="D215" s="3">
        <v>25.5</v>
      </c>
      <c r="E215" s="3">
        <v>64.470000999999996</v>
      </c>
      <c r="F215" s="3">
        <v>27.338595999999999</v>
      </c>
      <c r="G215" s="3">
        <v>21.18</v>
      </c>
      <c r="H215" s="3">
        <v>20.18</v>
      </c>
      <c r="I215" s="3">
        <v>38.800407</v>
      </c>
      <c r="J215" s="3">
        <v>61.84</v>
      </c>
      <c r="L215" s="11">
        <f t="shared" si="12"/>
        <v>8.603276430472687E-3</v>
      </c>
      <c r="M215" s="11">
        <f t="shared" si="12"/>
        <v>3.1350160871930245E-2</v>
      </c>
      <c r="N215" s="11">
        <f t="shared" si="12"/>
        <v>1.2708498808578248E-2</v>
      </c>
      <c r="O215" s="11">
        <f t="shared" si="11"/>
        <v>4.5233479247730163E-2</v>
      </c>
      <c r="P215" s="11">
        <f t="shared" si="11"/>
        <v>-3.6364399727185216E-3</v>
      </c>
      <c r="Q215" s="11">
        <f t="shared" si="11"/>
        <v>5.6980534519492834E-3</v>
      </c>
      <c r="R215" s="11">
        <f t="shared" si="11"/>
        <v>3.3811475409836075E-2</v>
      </c>
      <c r="S215" s="11">
        <f t="shared" si="11"/>
        <v>2.5440271994650401E-2</v>
      </c>
      <c r="T215" s="11">
        <f t="shared" si="11"/>
        <v>-1.7756416178265583E-3</v>
      </c>
      <c r="U215" s="11">
        <f t="shared" si="13"/>
        <v>1.7492570513844667E-2</v>
      </c>
    </row>
    <row r="216" spans="1:21" x14ac:dyDescent="0.2">
      <c r="A216" s="1">
        <v>44123</v>
      </c>
      <c r="B216" s="3">
        <v>54.630001</v>
      </c>
      <c r="C216" s="3">
        <v>18.713332999999999</v>
      </c>
      <c r="D216" s="3">
        <v>25.18</v>
      </c>
      <c r="E216" s="3">
        <v>61.68</v>
      </c>
      <c r="F216" s="3">
        <v>27.438374</v>
      </c>
      <c r="G216" s="3">
        <v>21.059999000000001</v>
      </c>
      <c r="H216" s="3">
        <v>19.52</v>
      </c>
      <c r="I216" s="3">
        <v>37.837803000000001</v>
      </c>
      <c r="J216" s="3">
        <v>61.950001</v>
      </c>
      <c r="L216" s="11">
        <f t="shared" si="12"/>
        <v>1.6750437372045471E-2</v>
      </c>
      <c r="M216" s="11">
        <f t="shared" si="12"/>
        <v>3.312477057645867E-2</v>
      </c>
      <c r="N216" s="11">
        <f t="shared" si="12"/>
        <v>-2.4409105943785644E-2</v>
      </c>
      <c r="O216" s="11">
        <f t="shared" si="11"/>
        <v>-9.4748675124458545E-3</v>
      </c>
      <c r="P216" s="11">
        <f t="shared" si="11"/>
        <v>5.1169860294012883E-3</v>
      </c>
      <c r="Q216" s="11">
        <f t="shared" si="11"/>
        <v>7.6554545454546735E-3</v>
      </c>
      <c r="R216" s="11">
        <f t="shared" si="11"/>
        <v>9.829280910501878E-3</v>
      </c>
      <c r="S216" s="11">
        <f t="shared" si="11"/>
        <v>2.2511226927980774E-2</v>
      </c>
      <c r="T216" s="11">
        <f t="shared" si="11"/>
        <v>-4.6593989505333989E-3</v>
      </c>
      <c r="U216" s="11">
        <f t="shared" si="13"/>
        <v>6.2716426616753179E-3</v>
      </c>
    </row>
    <row r="217" spans="1:21" x14ac:dyDescent="0.2">
      <c r="A217" s="1">
        <v>44120</v>
      </c>
      <c r="B217" s="3">
        <v>53.73</v>
      </c>
      <c r="C217" s="3">
        <v>18.113333000000001</v>
      </c>
      <c r="D217" s="3">
        <v>25.809999000000001</v>
      </c>
      <c r="E217" s="3">
        <v>62.27</v>
      </c>
      <c r="F217" s="3">
        <v>27.298687000000001</v>
      </c>
      <c r="G217" s="3">
        <v>20.9</v>
      </c>
      <c r="H217" s="3">
        <v>19.329999999999998</v>
      </c>
      <c r="I217" s="3">
        <v>37.004779999999997</v>
      </c>
      <c r="J217" s="3">
        <v>62.240001999999997</v>
      </c>
      <c r="L217" s="11">
        <f t="shared" si="12"/>
        <v>-1.1154675382883848E-3</v>
      </c>
      <c r="M217" s="11">
        <f t="shared" si="12"/>
        <v>-2.2837654687328662E-2</v>
      </c>
      <c r="N217" s="11">
        <f t="shared" si="12"/>
        <v>3.9887147461724455E-2</v>
      </c>
      <c r="O217" s="11">
        <f t="shared" si="11"/>
        <v>-1.7634017030553897E-3</v>
      </c>
      <c r="P217" s="11">
        <f t="shared" si="11"/>
        <v>-1.6534861589177406E-2</v>
      </c>
      <c r="Q217" s="11">
        <f t="shared" si="11"/>
        <v>-1.4150989898538293E-2</v>
      </c>
      <c r="R217" s="11">
        <f t="shared" si="11"/>
        <v>-2.1265822784810214E-2</v>
      </c>
      <c r="S217" s="11">
        <f t="shared" si="11"/>
        <v>-8.1864703072367338E-3</v>
      </c>
      <c r="T217" s="11">
        <f t="shared" si="11"/>
        <v>-3.6817511816592814E-3</v>
      </c>
      <c r="U217" s="11">
        <f t="shared" si="13"/>
        <v>-5.5165858031522123E-3</v>
      </c>
    </row>
    <row r="218" spans="1:21" x14ac:dyDescent="0.2">
      <c r="A218" s="1">
        <v>44119</v>
      </c>
      <c r="B218" s="3">
        <v>53.790000999999997</v>
      </c>
      <c r="C218" s="3">
        <v>18.536667000000001</v>
      </c>
      <c r="D218" s="3">
        <v>24.82</v>
      </c>
      <c r="E218" s="3">
        <v>62.380001</v>
      </c>
      <c r="F218" s="3">
        <v>27.757656000000001</v>
      </c>
      <c r="G218" s="3">
        <v>21.200001</v>
      </c>
      <c r="H218" s="3">
        <v>19.75</v>
      </c>
      <c r="I218" s="3">
        <v>37.310218999999996</v>
      </c>
      <c r="J218" s="3">
        <v>62.470001000000003</v>
      </c>
      <c r="L218" s="11">
        <f t="shared" si="12"/>
        <v>-1.6815902336243995E-2</v>
      </c>
      <c r="M218" s="11">
        <f t="shared" si="12"/>
        <v>-1.3657290061321169E-2</v>
      </c>
      <c r="N218" s="11">
        <f t="shared" si="12"/>
        <v>1.5132882816651008E-2</v>
      </c>
      <c r="O218" s="11">
        <f t="shared" si="11"/>
        <v>1.1184989644755866E-2</v>
      </c>
      <c r="P218" s="11">
        <f t="shared" si="11"/>
        <v>2.0917482157813316E-2</v>
      </c>
      <c r="Q218" s="11">
        <f t="shared" si="11"/>
        <v>1.4171469059989896E-3</v>
      </c>
      <c r="R218" s="11">
        <f t="shared" si="11"/>
        <v>-1.101647526371941E-2</v>
      </c>
      <c r="S218" s="11">
        <f t="shared" si="11"/>
        <v>-1.4425414710233952E-2</v>
      </c>
      <c r="T218" s="11">
        <f t="shared" si="11"/>
        <v>-8.4126825396824857E-3</v>
      </c>
      <c r="U218" s="11">
        <f t="shared" si="13"/>
        <v>-1.7416959317757595E-3</v>
      </c>
    </row>
    <row r="219" spans="1:21" x14ac:dyDescent="0.2">
      <c r="A219" s="1">
        <v>44118</v>
      </c>
      <c r="B219" s="3">
        <v>54.709999000000003</v>
      </c>
      <c r="C219" s="3">
        <v>18.793333000000001</v>
      </c>
      <c r="D219" s="3">
        <v>24.450001</v>
      </c>
      <c r="E219" s="3">
        <v>61.689999</v>
      </c>
      <c r="F219" s="3">
        <v>27.188932000000001</v>
      </c>
      <c r="G219" s="3">
        <v>21.17</v>
      </c>
      <c r="H219" s="3">
        <v>19.969999000000001</v>
      </c>
      <c r="I219" s="3">
        <v>37.856312000000003</v>
      </c>
      <c r="J219" s="3">
        <v>63</v>
      </c>
      <c r="L219" s="11">
        <f t="shared" si="12"/>
        <v>-7.3061187214605702E-4</v>
      </c>
      <c r="M219" s="11">
        <f t="shared" si="12"/>
        <v>2.8832136088764077E-2</v>
      </c>
      <c r="N219" s="11">
        <f t="shared" si="12"/>
        <v>-8.5157745336577381E-3</v>
      </c>
      <c r="O219" s="11">
        <f t="shared" si="11"/>
        <v>3.9076975561343708E-2</v>
      </c>
      <c r="P219" s="11">
        <f t="shared" si="11"/>
        <v>-1.9784227971885632E-2</v>
      </c>
      <c r="Q219" s="11">
        <f t="shared" si="11"/>
        <v>9.45626477541519E-4</v>
      </c>
      <c r="R219" s="11">
        <f t="shared" si="11"/>
        <v>-7.9483362120385658E-3</v>
      </c>
      <c r="S219" s="11">
        <f t="shared" si="11"/>
        <v>4.6670881407109687E-3</v>
      </c>
      <c r="T219" s="11">
        <f t="shared" si="11"/>
        <v>1.3839733083999516E-2</v>
      </c>
      <c r="U219" s="11">
        <f t="shared" si="13"/>
        <v>5.5980676402924224E-3</v>
      </c>
    </row>
    <row r="220" spans="1:21" x14ac:dyDescent="0.2">
      <c r="A220" s="1">
        <v>44117</v>
      </c>
      <c r="B220" s="3">
        <v>54.75</v>
      </c>
      <c r="C220" s="3">
        <v>18.266666000000001</v>
      </c>
      <c r="D220" s="3">
        <v>24.66</v>
      </c>
      <c r="E220" s="3">
        <v>59.369999</v>
      </c>
      <c r="F220" s="3">
        <v>27.737701000000001</v>
      </c>
      <c r="G220" s="3">
        <v>21.15</v>
      </c>
      <c r="H220" s="3">
        <v>20.129999000000002</v>
      </c>
      <c r="I220" s="3">
        <v>37.680453999999997</v>
      </c>
      <c r="J220" s="3">
        <v>62.139999000000003</v>
      </c>
      <c r="L220" s="11">
        <f t="shared" si="12"/>
        <v>-2.0051220925059207E-3</v>
      </c>
      <c r="M220" s="11">
        <f t="shared" si="12"/>
        <v>1.6450375304346274E-3</v>
      </c>
      <c r="N220" s="11">
        <f t="shared" si="12"/>
        <v>1.9851116625310191E-2</v>
      </c>
      <c r="O220" s="11">
        <f t="shared" si="11"/>
        <v>-1.296763049151687E-2</v>
      </c>
      <c r="P220" s="11">
        <f t="shared" si="11"/>
        <v>2.2058807815131042E-2</v>
      </c>
      <c r="Q220" s="11">
        <f t="shared" si="11"/>
        <v>-9.8315070303602453E-3</v>
      </c>
      <c r="R220" s="11">
        <f t="shared" si="11"/>
        <v>1.6666667508417644E-2</v>
      </c>
      <c r="S220" s="11">
        <f t="shared" si="11"/>
        <v>1.117731958746287E-2</v>
      </c>
      <c r="T220" s="11">
        <f t="shared" si="11"/>
        <v>8.7662502846185767E-3</v>
      </c>
      <c r="U220" s="11">
        <f t="shared" si="13"/>
        <v>6.151215526332434E-3</v>
      </c>
    </row>
    <row r="221" spans="1:21" x14ac:dyDescent="0.2">
      <c r="A221" s="1">
        <v>44113</v>
      </c>
      <c r="B221" s="3">
        <v>54.860000999999997</v>
      </c>
      <c r="C221" s="3">
        <v>18.236666</v>
      </c>
      <c r="D221" s="3">
        <v>24.18</v>
      </c>
      <c r="E221" s="3">
        <v>60.150002000000001</v>
      </c>
      <c r="F221" s="3">
        <v>27.139046</v>
      </c>
      <c r="G221" s="3">
        <v>21.360001</v>
      </c>
      <c r="H221" s="3">
        <v>19.799999</v>
      </c>
      <c r="I221" s="3">
        <v>37.263942999999998</v>
      </c>
      <c r="J221" s="3">
        <v>61.599997999999999</v>
      </c>
      <c r="L221" s="11">
        <f t="shared" si="12"/>
        <v>-3.4154894967515809E-2</v>
      </c>
      <c r="M221" s="11">
        <f t="shared" si="12"/>
        <v>-2.552433957200219E-3</v>
      </c>
      <c r="N221" s="11">
        <f t="shared" si="12"/>
        <v>-2.8525473223201005E-2</v>
      </c>
      <c r="O221" s="11">
        <f t="shared" si="11"/>
        <v>3.1688292723286611E-3</v>
      </c>
      <c r="P221" s="11">
        <f t="shared" si="11"/>
        <v>-1.8050487438926354E-2</v>
      </c>
      <c r="Q221" s="11">
        <f t="shared" si="11"/>
        <v>-1.0653033811949949E-2</v>
      </c>
      <c r="R221" s="11">
        <f t="shared" si="11"/>
        <v>-3.1311250914322318E-2</v>
      </c>
      <c r="S221" s="11">
        <f t="shared" si="11"/>
        <v>-1.6849744735135817E-2</v>
      </c>
      <c r="T221" s="11">
        <f t="shared" si="11"/>
        <v>5.0578723273312191E-3</v>
      </c>
      <c r="U221" s="11">
        <f t="shared" si="13"/>
        <v>-1.4874513049843512E-2</v>
      </c>
    </row>
    <row r="222" spans="1:21" x14ac:dyDescent="0.2">
      <c r="A222" s="1">
        <v>44112</v>
      </c>
      <c r="B222" s="3">
        <v>56.799999</v>
      </c>
      <c r="C222" s="3">
        <v>18.283332999999999</v>
      </c>
      <c r="D222" s="3">
        <v>24.889999</v>
      </c>
      <c r="E222" s="3">
        <v>59.959999000000003</v>
      </c>
      <c r="F222" s="3">
        <v>27.637924000000002</v>
      </c>
      <c r="G222" s="3">
        <v>21.59</v>
      </c>
      <c r="H222" s="3">
        <v>20.440000999999999</v>
      </c>
      <c r="I222" s="3">
        <v>37.902591999999999</v>
      </c>
      <c r="J222" s="3">
        <v>61.290000999999997</v>
      </c>
      <c r="L222" s="11">
        <f t="shared" si="12"/>
        <v>2.1950287083472925E-2</v>
      </c>
      <c r="M222" s="11">
        <f t="shared" si="12"/>
        <v>2.1225041101283031E-2</v>
      </c>
      <c r="N222" s="11">
        <f t="shared" si="12"/>
        <v>1.8412356038774336E-2</v>
      </c>
      <c r="O222" s="11">
        <f t="shared" si="11"/>
        <v>5.3963790718294796E-2</v>
      </c>
      <c r="P222" s="11">
        <f t="shared" si="11"/>
        <v>-1.0818330122868479E-3</v>
      </c>
      <c r="Q222" s="11">
        <f t="shared" si="11"/>
        <v>-4.629629629630353E-4</v>
      </c>
      <c r="R222" s="11">
        <f t="shared" si="11"/>
        <v>3.2844869487373883E-2</v>
      </c>
      <c r="S222" s="11">
        <f t="shared" si="11"/>
        <v>6.3897395413118931E-3</v>
      </c>
      <c r="T222" s="11">
        <f t="shared" si="11"/>
        <v>1.8613977683695403E-2</v>
      </c>
      <c r="U222" s="11">
        <f t="shared" si="13"/>
        <v>1.9095029519884045E-2</v>
      </c>
    </row>
    <row r="223" spans="1:21" x14ac:dyDescent="0.2">
      <c r="A223" s="1">
        <v>44111</v>
      </c>
      <c r="B223" s="3">
        <v>55.580002</v>
      </c>
      <c r="C223" s="3">
        <v>17.903334000000001</v>
      </c>
      <c r="D223" s="3">
        <v>24.440000999999999</v>
      </c>
      <c r="E223" s="3">
        <v>56.889999000000003</v>
      </c>
      <c r="F223" s="3">
        <v>27.667856</v>
      </c>
      <c r="G223" s="3">
        <v>21.6</v>
      </c>
      <c r="H223" s="3">
        <v>19.790001</v>
      </c>
      <c r="I223" s="3">
        <v>37.661942000000003</v>
      </c>
      <c r="J223" s="3">
        <v>60.169998</v>
      </c>
      <c r="L223" s="11">
        <f t="shared" si="12"/>
        <v>3.7927217589438711E-3</v>
      </c>
      <c r="M223" s="11">
        <f t="shared" si="12"/>
        <v>-9.3002232142861243E-4</v>
      </c>
      <c r="N223" s="11">
        <f t="shared" si="12"/>
        <v>1.57939324935133E-2</v>
      </c>
      <c r="O223" s="11">
        <f t="shared" si="11"/>
        <v>-7.328598720492025E-3</v>
      </c>
      <c r="P223" s="11">
        <f t="shared" si="11"/>
        <v>-2.8381261693601913E-2</v>
      </c>
      <c r="Q223" s="11">
        <f t="shared" si="11"/>
        <v>2.1276595744680986E-2</v>
      </c>
      <c r="R223" s="11">
        <f t="shared" si="11"/>
        <v>-7.0245358755644527E-3</v>
      </c>
      <c r="S223" s="11">
        <f t="shared" si="11"/>
        <v>-1.1898920320421041E-2</v>
      </c>
      <c r="T223" s="11">
        <f t="shared" si="11"/>
        <v>2.6441470938953781E-2</v>
      </c>
      <c r="U223" s="11">
        <f t="shared" si="13"/>
        <v>1.3045980005093214E-3</v>
      </c>
    </row>
    <row r="224" spans="1:21" x14ac:dyDescent="0.2">
      <c r="A224" s="1">
        <v>44110</v>
      </c>
      <c r="B224" s="3">
        <v>55.369999</v>
      </c>
      <c r="C224" s="3">
        <v>17.920000000000002</v>
      </c>
      <c r="D224" s="3">
        <v>24.059999000000001</v>
      </c>
      <c r="E224" s="3">
        <v>57.310001</v>
      </c>
      <c r="F224" s="3">
        <v>28.476042</v>
      </c>
      <c r="G224" s="3">
        <v>21.15</v>
      </c>
      <c r="H224" s="3">
        <v>19.93</v>
      </c>
      <c r="I224" s="3">
        <v>38.115475000000004</v>
      </c>
      <c r="J224" s="3">
        <v>58.619999</v>
      </c>
      <c r="L224" s="11">
        <f t="shared" si="12"/>
        <v>-1.6343968442992154E-2</v>
      </c>
      <c r="M224" s="11">
        <f t="shared" si="12"/>
        <v>-3.5694998076770998E-2</v>
      </c>
      <c r="N224" s="11">
        <f t="shared" si="12"/>
        <v>-8.6526988051091203E-3</v>
      </c>
      <c r="O224" s="11">
        <f t="shared" si="11"/>
        <v>1.0480524017467206E-3</v>
      </c>
      <c r="P224" s="11">
        <f t="shared" si="11"/>
        <v>2.8109726290691649E-3</v>
      </c>
      <c r="Q224" s="11">
        <f t="shared" si="11"/>
        <v>2.2727272727272672E-2</v>
      </c>
      <c r="R224" s="11">
        <f t="shared" si="11"/>
        <v>-4.9925609090083868E-3</v>
      </c>
      <c r="S224" s="11">
        <f t="shared" si="11"/>
        <v>1.9464041718094322E-3</v>
      </c>
      <c r="T224" s="11">
        <f t="shared" si="11"/>
        <v>-1.6277915757677518E-2</v>
      </c>
      <c r="U224" s="11">
        <f t="shared" si="13"/>
        <v>-5.9366044512955763E-3</v>
      </c>
    </row>
    <row r="225" spans="1:21" x14ac:dyDescent="0.2">
      <c r="A225" s="1">
        <v>44109</v>
      </c>
      <c r="B225" s="3">
        <v>56.290000999999997</v>
      </c>
      <c r="C225" s="3">
        <v>18.583331999999999</v>
      </c>
      <c r="D225" s="3">
        <v>24.27</v>
      </c>
      <c r="E225" s="3">
        <v>57.25</v>
      </c>
      <c r="F225" s="3">
        <v>28.396221000000001</v>
      </c>
      <c r="G225" s="3">
        <v>20.68</v>
      </c>
      <c r="H225" s="3">
        <v>20.030000999999999</v>
      </c>
      <c r="I225" s="3">
        <v>38.041431000000003</v>
      </c>
      <c r="J225" s="3">
        <v>59.59</v>
      </c>
      <c r="L225" s="11">
        <f t="shared" si="12"/>
        <v>2.4758802111778572E-2</v>
      </c>
      <c r="M225" s="11">
        <f t="shared" si="12"/>
        <v>4.6751787213802923E-2</v>
      </c>
      <c r="N225" s="11">
        <f t="shared" si="12"/>
        <v>1.6331700851411175E-2</v>
      </c>
      <c r="O225" s="11">
        <f t="shared" si="11"/>
        <v>9.7001585590800899E-3</v>
      </c>
      <c r="P225" s="11">
        <f t="shared" si="11"/>
        <v>-4.5470559592622681E-3</v>
      </c>
      <c r="Q225" s="11">
        <f t="shared" si="11"/>
        <v>2.0730503455083815E-2</v>
      </c>
      <c r="R225" s="11">
        <f t="shared" ref="R225:T288" si="14">(H225-H226)/H226</f>
        <v>5.3102050473186072E-2</v>
      </c>
      <c r="S225" s="11">
        <f t="shared" si="14"/>
        <v>4.6443510555896749E-3</v>
      </c>
      <c r="T225" s="11">
        <f t="shared" si="14"/>
        <v>2.1776406035665347E-2</v>
      </c>
      <c r="U225" s="11">
        <f t="shared" si="13"/>
        <v>2.1472078199592824E-2</v>
      </c>
    </row>
    <row r="226" spans="1:21" x14ac:dyDescent="0.2">
      <c r="A226" s="1">
        <v>44106</v>
      </c>
      <c r="B226" s="3">
        <v>54.93</v>
      </c>
      <c r="C226" s="3">
        <v>17.753332</v>
      </c>
      <c r="D226" s="3">
        <v>23.879999000000002</v>
      </c>
      <c r="E226" s="3">
        <v>56.700001</v>
      </c>
      <c r="F226" s="3">
        <v>28.525929999999999</v>
      </c>
      <c r="G226" s="3">
        <v>20.260000000000002</v>
      </c>
      <c r="H226" s="3">
        <v>19.02</v>
      </c>
      <c r="I226" s="3">
        <v>37.865569999999998</v>
      </c>
      <c r="J226" s="3">
        <v>58.32</v>
      </c>
      <c r="L226" s="11">
        <f t="shared" si="12"/>
        <v>-9.0203860725239036E-3</v>
      </c>
      <c r="M226" s="11">
        <f t="shared" si="12"/>
        <v>-2.3289969678707886E-2</v>
      </c>
      <c r="N226" s="11">
        <f t="shared" si="12"/>
        <v>-1.8092146381578897E-2</v>
      </c>
      <c r="O226" s="11">
        <f t="shared" si="12"/>
        <v>-7.3529062911923309E-3</v>
      </c>
      <c r="P226" s="11">
        <f t="shared" si="12"/>
        <v>-2.5230184259147678E-2</v>
      </c>
      <c r="Q226" s="11">
        <f t="shared" si="12"/>
        <v>-1.4111874166027849E-2</v>
      </c>
      <c r="R226" s="11">
        <f t="shared" si="14"/>
        <v>-4.1813602015113444E-2</v>
      </c>
      <c r="S226" s="11">
        <f t="shared" si="14"/>
        <v>-4.6228807743852931E-3</v>
      </c>
      <c r="T226" s="11">
        <f t="shared" si="14"/>
        <v>-9.1743287602050264E-3</v>
      </c>
      <c r="U226" s="11">
        <f t="shared" si="13"/>
        <v>-1.6967586488764702E-2</v>
      </c>
    </row>
    <row r="227" spans="1:21" x14ac:dyDescent="0.2">
      <c r="A227" s="1">
        <v>44105</v>
      </c>
      <c r="B227" s="3">
        <v>55.43</v>
      </c>
      <c r="C227" s="3">
        <v>18.176666000000001</v>
      </c>
      <c r="D227" s="3">
        <v>24.32</v>
      </c>
      <c r="E227" s="3">
        <v>57.119999</v>
      </c>
      <c r="F227" s="3">
        <v>29.264272999999999</v>
      </c>
      <c r="G227" s="3">
        <v>20.549999</v>
      </c>
      <c r="H227" s="3">
        <v>19.850000000000001</v>
      </c>
      <c r="I227" s="3">
        <v>38.041431000000003</v>
      </c>
      <c r="J227" s="3">
        <v>58.860000999999997</v>
      </c>
      <c r="L227" s="11">
        <f t="shared" si="12"/>
        <v>2.0058888479941042E-2</v>
      </c>
      <c r="M227" s="11">
        <f t="shared" si="12"/>
        <v>-8.7256865561056805E-3</v>
      </c>
      <c r="N227" s="11">
        <f t="shared" si="12"/>
        <v>2.1848782430621137E-2</v>
      </c>
      <c r="O227" s="11">
        <f t="shared" si="12"/>
        <v>7.9407272963023627E-3</v>
      </c>
      <c r="P227" s="11">
        <f t="shared" si="12"/>
        <v>3.3110304466035197E-2</v>
      </c>
      <c r="Q227" s="11">
        <f t="shared" si="12"/>
        <v>5.7642768914050437E-2</v>
      </c>
      <c r="R227" s="11">
        <f t="shared" si="14"/>
        <v>1.2238602129597084E-2</v>
      </c>
      <c r="S227" s="11">
        <f t="shared" si="14"/>
        <v>4.1297242226354343E-2</v>
      </c>
      <c r="T227" s="11">
        <f t="shared" si="14"/>
        <v>-4.2294027367720741E-3</v>
      </c>
      <c r="U227" s="11">
        <f t="shared" si="13"/>
        <v>2.0131358516669313E-2</v>
      </c>
    </row>
    <row r="228" spans="1:21" x14ac:dyDescent="0.2">
      <c r="A228" s="1">
        <v>44104</v>
      </c>
      <c r="B228" s="3">
        <v>54.34</v>
      </c>
      <c r="C228" s="3">
        <v>18.336666000000001</v>
      </c>
      <c r="D228" s="3">
        <v>23.799999</v>
      </c>
      <c r="E228" s="3">
        <v>56.669998</v>
      </c>
      <c r="F228" s="3">
        <v>28.326377999999998</v>
      </c>
      <c r="G228" s="3">
        <v>19.43</v>
      </c>
      <c r="H228" s="3">
        <v>19.610001</v>
      </c>
      <c r="I228" s="3">
        <v>36.532730000000001</v>
      </c>
      <c r="J228" s="3">
        <v>59.110000999999997</v>
      </c>
      <c r="L228" s="11">
        <f t="shared" si="12"/>
        <v>1.855673921487315E-2</v>
      </c>
      <c r="M228" s="11">
        <f t="shared" si="12"/>
        <v>2.5349469251621085E-2</v>
      </c>
      <c r="N228" s="11">
        <f t="shared" si="12"/>
        <v>-8.3333750000000126E-3</v>
      </c>
      <c r="O228" s="11">
        <f t="shared" si="12"/>
        <v>-2.1131008608363464E-3</v>
      </c>
      <c r="P228" s="11">
        <f t="shared" si="12"/>
        <v>7.0496367555870627E-4</v>
      </c>
      <c r="Q228" s="11">
        <f t="shared" si="12"/>
        <v>1.1452421210433165E-2</v>
      </c>
      <c r="R228" s="11">
        <f t="shared" si="14"/>
        <v>1.5536096091978006E-2</v>
      </c>
      <c r="S228" s="11">
        <f t="shared" si="14"/>
        <v>2.0309839496945128E-3</v>
      </c>
      <c r="T228" s="11">
        <f t="shared" si="14"/>
        <v>1.3024901903167118E-2</v>
      </c>
      <c r="U228" s="11">
        <f t="shared" si="13"/>
        <v>8.4676777151654874E-3</v>
      </c>
    </row>
    <row r="229" spans="1:21" x14ac:dyDescent="0.2">
      <c r="A229" s="1">
        <v>44103</v>
      </c>
      <c r="B229" s="3">
        <v>53.349997999999999</v>
      </c>
      <c r="C229" s="3">
        <v>17.883333</v>
      </c>
      <c r="D229" s="3">
        <v>24</v>
      </c>
      <c r="E229" s="3">
        <v>56.790000999999997</v>
      </c>
      <c r="F229" s="3">
        <v>28.306422999999999</v>
      </c>
      <c r="G229" s="3">
        <v>19.209999</v>
      </c>
      <c r="H229" s="3">
        <v>19.309999000000001</v>
      </c>
      <c r="I229" s="3">
        <v>36.458683000000001</v>
      </c>
      <c r="J229" s="3">
        <v>58.349997999999999</v>
      </c>
      <c r="L229" s="11">
        <f t="shared" si="12"/>
        <v>8.506540321113764E-3</v>
      </c>
      <c r="M229" s="11">
        <f t="shared" si="12"/>
        <v>-2.4722760397119119E-2</v>
      </c>
      <c r="N229" s="11">
        <f t="shared" si="12"/>
        <v>7.9798827375002716E-3</v>
      </c>
      <c r="O229" s="11">
        <f t="shared" si="12"/>
        <v>2.4712973531756627E-3</v>
      </c>
      <c r="P229" s="11">
        <f t="shared" si="12"/>
        <v>2.0503573818176118E-2</v>
      </c>
      <c r="Q229" s="11">
        <f t="shared" si="12"/>
        <v>-1.0813645726055709E-2</v>
      </c>
      <c r="R229" s="11">
        <f t="shared" si="14"/>
        <v>-1.6301580045928694E-2</v>
      </c>
      <c r="S229" s="11">
        <f t="shared" si="14"/>
        <v>-1.0052834025696898E-2</v>
      </c>
      <c r="T229" s="11">
        <f t="shared" si="14"/>
        <v>-7.3154305429640656E-3</v>
      </c>
      <c r="U229" s="11">
        <f t="shared" si="13"/>
        <v>-3.304995167533185E-3</v>
      </c>
    </row>
    <row r="230" spans="1:21" x14ac:dyDescent="0.2">
      <c r="A230" s="1">
        <v>44102</v>
      </c>
      <c r="B230" s="3">
        <v>52.900002000000001</v>
      </c>
      <c r="C230" s="3">
        <v>18.336666000000001</v>
      </c>
      <c r="D230" s="3">
        <v>23.809999000000001</v>
      </c>
      <c r="E230" s="3">
        <v>56.650002000000001</v>
      </c>
      <c r="F230" s="3">
        <v>27.737701000000001</v>
      </c>
      <c r="G230" s="3">
        <v>19.420000000000002</v>
      </c>
      <c r="H230" s="3">
        <v>19.629999000000002</v>
      </c>
      <c r="I230" s="3">
        <v>36.828918000000002</v>
      </c>
      <c r="J230" s="3">
        <v>58.779998999999997</v>
      </c>
      <c r="L230" s="11">
        <f t="shared" si="12"/>
        <v>-3.0069654747531011E-2</v>
      </c>
      <c r="M230" s="11">
        <f t="shared" si="12"/>
        <v>-4.0802144013911974E-2</v>
      </c>
      <c r="N230" s="11">
        <f t="shared" si="12"/>
        <v>-3.014256741924912E-2</v>
      </c>
      <c r="O230" s="11">
        <f t="shared" si="12"/>
        <v>-3.9830474576271174E-2</v>
      </c>
      <c r="P230" s="11">
        <f t="shared" si="12"/>
        <v>-4.2699718052735335E-2</v>
      </c>
      <c r="Q230" s="11">
        <f t="shared" si="12"/>
        <v>-3.4791300457688683E-2</v>
      </c>
      <c r="R230" s="11">
        <f t="shared" si="14"/>
        <v>-2.4838550662620498E-2</v>
      </c>
      <c r="S230" s="11">
        <f t="shared" si="14"/>
        <v>-3.7493914903755983E-2</v>
      </c>
      <c r="T230" s="11">
        <f t="shared" si="14"/>
        <v>-7.9325063291139815E-3</v>
      </c>
      <c r="U230" s="11">
        <f t="shared" si="13"/>
        <v>-3.2066759018097531E-2</v>
      </c>
    </row>
    <row r="231" spans="1:21" x14ac:dyDescent="0.2">
      <c r="A231" s="1">
        <v>44099</v>
      </c>
      <c r="B231" s="3">
        <v>54.540000999999997</v>
      </c>
      <c r="C231" s="3">
        <v>19.116667</v>
      </c>
      <c r="D231" s="3">
        <v>24.549999</v>
      </c>
      <c r="E231" s="3">
        <v>59</v>
      </c>
      <c r="F231" s="3">
        <v>28.974921999999999</v>
      </c>
      <c r="G231" s="3">
        <v>20.120000999999998</v>
      </c>
      <c r="H231" s="3">
        <v>20.129999000000002</v>
      </c>
      <c r="I231" s="3">
        <v>38.263568999999997</v>
      </c>
      <c r="J231" s="3">
        <v>59.25</v>
      </c>
      <c r="L231" s="11">
        <f t="shared" si="12"/>
        <v>1.1873821451806179E-2</v>
      </c>
      <c r="M231" s="11">
        <f t="shared" si="12"/>
        <v>-2.7471545785027921E-2</v>
      </c>
      <c r="N231" s="11">
        <f t="shared" si="12"/>
        <v>4.9119525173966418E-3</v>
      </c>
      <c r="O231" s="11">
        <f t="shared" si="12"/>
        <v>1.7416760909923803E-2</v>
      </c>
      <c r="P231" s="11">
        <f t="shared" si="12"/>
        <v>5.5401507276642767E-3</v>
      </c>
      <c r="Q231" s="11">
        <f t="shared" si="12"/>
        <v>-2.989387656702025E-2</v>
      </c>
      <c r="R231" s="11">
        <f t="shared" si="14"/>
        <v>-1.3235343137254758E-2</v>
      </c>
      <c r="S231" s="11">
        <f t="shared" si="14"/>
        <v>2.6679590600588838E-3</v>
      </c>
      <c r="T231" s="11">
        <f t="shared" si="14"/>
        <v>1.0057961131946871E-2</v>
      </c>
      <c r="U231" s="11">
        <f t="shared" si="13"/>
        <v>-2.0146844100562534E-3</v>
      </c>
    </row>
    <row r="232" spans="1:21" x14ac:dyDescent="0.2">
      <c r="A232" s="1">
        <v>44098</v>
      </c>
      <c r="B232" s="3">
        <v>53.900002000000001</v>
      </c>
      <c r="C232" s="3">
        <v>19.656666000000001</v>
      </c>
      <c r="D232" s="3">
        <v>24.43</v>
      </c>
      <c r="E232" s="3">
        <v>57.990001999999997</v>
      </c>
      <c r="F232" s="3">
        <v>28.815280999999999</v>
      </c>
      <c r="G232" s="3">
        <v>20.74</v>
      </c>
      <c r="H232" s="3">
        <v>20.399999999999999</v>
      </c>
      <c r="I232" s="3">
        <v>38.161754999999999</v>
      </c>
      <c r="J232" s="3">
        <v>58.66</v>
      </c>
      <c r="L232" s="11">
        <f t="shared" si="12"/>
        <v>4.6598320723268563E-3</v>
      </c>
      <c r="M232" s="11">
        <f t="shared" si="12"/>
        <v>5.5108269195290868E-2</v>
      </c>
      <c r="N232" s="11">
        <f t="shared" si="12"/>
        <v>7.0074196207748612E-3</v>
      </c>
      <c r="O232" s="11">
        <f t="shared" si="12"/>
        <v>-1.661860239751406E-2</v>
      </c>
      <c r="P232" s="11">
        <f t="shared" si="12"/>
        <v>3.4635982317698282E-4</v>
      </c>
      <c r="Q232" s="11">
        <f t="shared" si="12"/>
        <v>-3.3637195273292808E-3</v>
      </c>
      <c r="R232" s="11">
        <f t="shared" si="14"/>
        <v>8.4033613445377228E-3</v>
      </c>
      <c r="S232" s="11">
        <f t="shared" si="14"/>
        <v>1.8527704240843736E-2</v>
      </c>
      <c r="T232" s="11">
        <f t="shared" si="14"/>
        <v>-7.4449748712343911E-3</v>
      </c>
      <c r="U232" s="11">
        <f t="shared" si="13"/>
        <v>7.4028499445414776E-3</v>
      </c>
    </row>
    <row r="233" spans="1:21" x14ac:dyDescent="0.2">
      <c r="A233" s="1">
        <v>44097</v>
      </c>
      <c r="B233" s="3">
        <v>53.650002000000001</v>
      </c>
      <c r="C233" s="3">
        <v>18.629999000000002</v>
      </c>
      <c r="D233" s="3">
        <v>24.26</v>
      </c>
      <c r="E233" s="3">
        <v>58.970001000000003</v>
      </c>
      <c r="F233" s="3">
        <v>28.805304</v>
      </c>
      <c r="G233" s="3">
        <v>20.809999000000001</v>
      </c>
      <c r="H233" s="3">
        <v>20.23</v>
      </c>
      <c r="I233" s="3">
        <v>37.467567000000003</v>
      </c>
      <c r="J233" s="3">
        <v>59.099997999999999</v>
      </c>
      <c r="L233" s="11">
        <f t="shared" si="12"/>
        <v>-2.7198548424350013E-2</v>
      </c>
      <c r="M233" s="11">
        <f t="shared" si="12"/>
        <v>-2.5627718324909971E-2</v>
      </c>
      <c r="N233" s="11">
        <f t="shared" si="12"/>
        <v>-2.8771064529386245E-3</v>
      </c>
      <c r="O233" s="11">
        <f t="shared" si="12"/>
        <v>0.1397371225459173</v>
      </c>
      <c r="P233" s="11">
        <f t="shared" si="12"/>
        <v>-9.2655479780236697E-3</v>
      </c>
      <c r="Q233" s="11">
        <f t="shared" si="12"/>
        <v>-2.5749156097885913E-2</v>
      </c>
      <c r="R233" s="11">
        <f t="shared" si="14"/>
        <v>-2.7403799394413397E-2</v>
      </c>
      <c r="S233" s="11">
        <f t="shared" si="14"/>
        <v>-1.0510947015983008E-2</v>
      </c>
      <c r="T233" s="11">
        <f t="shared" si="14"/>
        <v>2.2314426183801649E-2</v>
      </c>
      <c r="U233" s="11">
        <f t="shared" si="13"/>
        <v>3.7131916712460386E-3</v>
      </c>
    </row>
    <row r="234" spans="1:21" x14ac:dyDescent="0.2">
      <c r="A234" s="1">
        <v>44096</v>
      </c>
      <c r="B234" s="3">
        <v>55.150002000000001</v>
      </c>
      <c r="C234" s="3">
        <v>19.120000999999998</v>
      </c>
      <c r="D234" s="3">
        <v>24.33</v>
      </c>
      <c r="E234" s="3">
        <v>51.740001999999997</v>
      </c>
      <c r="F234" s="3">
        <v>29.074697</v>
      </c>
      <c r="G234" s="3">
        <v>21.360001</v>
      </c>
      <c r="H234" s="3">
        <v>20.799999</v>
      </c>
      <c r="I234" s="3">
        <v>37.865569999999998</v>
      </c>
      <c r="J234" s="3">
        <v>57.810001</v>
      </c>
      <c r="L234" s="11">
        <f t="shared" si="12"/>
        <v>1.9408577427304181E-2</v>
      </c>
      <c r="M234" s="11">
        <f t="shared" si="12"/>
        <v>2.2459891847064508E-2</v>
      </c>
      <c r="N234" s="11">
        <f t="shared" si="12"/>
        <v>-1.8159845917681775E-2</v>
      </c>
      <c r="O234" s="11">
        <f t="shared" si="12"/>
        <v>1.8303502887157926E-2</v>
      </c>
      <c r="P234" s="11">
        <f t="shared" si="12"/>
        <v>-1.1868408252444507E-2</v>
      </c>
      <c r="Q234" s="11">
        <f t="shared" si="12"/>
        <v>-3.7313431095454845E-3</v>
      </c>
      <c r="R234" s="11">
        <f t="shared" si="14"/>
        <v>-4.7847368421052106E-3</v>
      </c>
      <c r="S234" s="11">
        <f t="shared" si="14"/>
        <v>-1.7081040545913273E-3</v>
      </c>
      <c r="T234" s="11">
        <f t="shared" si="14"/>
        <v>-3.649998333333334E-2</v>
      </c>
      <c r="U234" s="11">
        <f t="shared" si="13"/>
        <v>-1.8422721497972257E-3</v>
      </c>
    </row>
    <row r="235" spans="1:21" x14ac:dyDescent="0.2">
      <c r="A235" s="1">
        <v>44095</v>
      </c>
      <c r="B235" s="3">
        <v>54.099997999999999</v>
      </c>
      <c r="C235" s="3">
        <v>18.700001</v>
      </c>
      <c r="D235" s="3">
        <v>24.780000999999999</v>
      </c>
      <c r="E235" s="3">
        <v>50.810001</v>
      </c>
      <c r="F235" s="3">
        <v>29.423912000000001</v>
      </c>
      <c r="G235" s="3">
        <v>21.440000999999999</v>
      </c>
      <c r="H235" s="3">
        <v>20.9</v>
      </c>
      <c r="I235" s="3">
        <v>37.930359000000003</v>
      </c>
      <c r="J235" s="3">
        <v>60</v>
      </c>
      <c r="L235" s="11">
        <f t="shared" si="12"/>
        <v>-7.3394862385321221E-3</v>
      </c>
      <c r="M235" s="11">
        <f t="shared" si="12"/>
        <v>-5.3436667741134077E-4</v>
      </c>
      <c r="N235" s="11">
        <f t="shared" si="12"/>
        <v>-2.0940261593846866E-2</v>
      </c>
      <c r="O235" s="11">
        <f t="shared" si="12"/>
        <v>-3.5863376928588681E-2</v>
      </c>
      <c r="P235" s="11">
        <f t="shared" si="12"/>
        <v>3.0612139845097018E-3</v>
      </c>
      <c r="Q235" s="11">
        <f t="shared" si="12"/>
        <v>-2.8545491617580496E-2</v>
      </c>
      <c r="R235" s="11">
        <f t="shared" si="14"/>
        <v>-3.4642032332563515E-2</v>
      </c>
      <c r="S235" s="11">
        <f t="shared" si="14"/>
        <v>2.0926754783681657E-2</v>
      </c>
      <c r="T235" s="11">
        <f t="shared" si="14"/>
        <v>-2.6921829386960697E-2</v>
      </c>
      <c r="U235" s="11">
        <f t="shared" si="13"/>
        <v>-1.4533208445254707E-2</v>
      </c>
    </row>
    <row r="236" spans="1:21" x14ac:dyDescent="0.2">
      <c r="A236" s="1">
        <v>44092</v>
      </c>
      <c r="B236" s="3">
        <v>54.5</v>
      </c>
      <c r="C236" s="3">
        <v>18.709999</v>
      </c>
      <c r="D236" s="3">
        <v>25.309999000000001</v>
      </c>
      <c r="E236" s="3">
        <v>52.700001</v>
      </c>
      <c r="F236" s="3">
        <v>29.334114</v>
      </c>
      <c r="G236" s="3">
        <v>22.07</v>
      </c>
      <c r="H236" s="3">
        <v>21.65</v>
      </c>
      <c r="I236" s="3">
        <v>37.15287</v>
      </c>
      <c r="J236" s="3">
        <v>61.66</v>
      </c>
      <c r="L236" s="11">
        <f t="shared" si="12"/>
        <v>-3.0249127575638305E-2</v>
      </c>
      <c r="M236" s="11">
        <f t="shared" si="12"/>
        <v>-9.7036346101557931E-3</v>
      </c>
      <c r="N236" s="11">
        <f t="shared" si="12"/>
        <v>-3.9354978354977921E-3</v>
      </c>
      <c r="O236" s="11">
        <f t="shared" si="12"/>
        <v>-4.7214352271683618E-3</v>
      </c>
      <c r="P236" s="11">
        <f t="shared" si="12"/>
        <v>-2.3580242458989153E-2</v>
      </c>
      <c r="Q236" s="11">
        <f t="shared" si="12"/>
        <v>-3.6665211697948487E-2</v>
      </c>
      <c r="R236" s="11">
        <f t="shared" si="14"/>
        <v>-2.2573363431151242E-2</v>
      </c>
      <c r="S236" s="11">
        <f t="shared" si="14"/>
        <v>-2.7144932581245628E-2</v>
      </c>
      <c r="T236" s="11">
        <f t="shared" si="14"/>
        <v>-6.7654959160601148E-3</v>
      </c>
      <c r="U236" s="11">
        <f t="shared" si="13"/>
        <v>-1.8370993481539432E-2</v>
      </c>
    </row>
    <row r="237" spans="1:21" x14ac:dyDescent="0.2">
      <c r="A237" s="1">
        <v>44091</v>
      </c>
      <c r="B237" s="3">
        <v>56.200001</v>
      </c>
      <c r="C237" s="3">
        <v>18.893332999999998</v>
      </c>
      <c r="D237" s="3">
        <v>25.41</v>
      </c>
      <c r="E237" s="3">
        <v>52.950001</v>
      </c>
      <c r="F237" s="3">
        <v>30.042524</v>
      </c>
      <c r="G237" s="3">
        <v>22.91</v>
      </c>
      <c r="H237" s="3">
        <v>22.15</v>
      </c>
      <c r="I237" s="3">
        <v>38.189521999999997</v>
      </c>
      <c r="J237" s="3">
        <v>62.080002</v>
      </c>
      <c r="L237" s="11">
        <f t="shared" si="12"/>
        <v>-8.9930877974447338E-3</v>
      </c>
      <c r="M237" s="11">
        <f t="shared" si="12"/>
        <v>-5.9628027345774793E-3</v>
      </c>
      <c r="N237" s="11">
        <f t="shared" si="12"/>
        <v>1.3562026326286392E-2</v>
      </c>
      <c r="O237" s="11">
        <f t="shared" si="12"/>
        <v>5.125303720577081E-3</v>
      </c>
      <c r="P237" s="11">
        <f t="shared" si="12"/>
        <v>-2.4935250786582951E-2</v>
      </c>
      <c r="Q237" s="11">
        <f t="shared" si="12"/>
        <v>-9.0830878424269252E-3</v>
      </c>
      <c r="R237" s="11">
        <f t="shared" si="14"/>
        <v>1.9328117809479895E-2</v>
      </c>
      <c r="S237" s="11">
        <f t="shared" si="14"/>
        <v>2.4240270504121976E-4</v>
      </c>
      <c r="T237" s="11">
        <f t="shared" si="14"/>
        <v>1.8205691025000914E-2</v>
      </c>
      <c r="U237" s="11">
        <f t="shared" si="13"/>
        <v>8.3214582503926776E-4</v>
      </c>
    </row>
    <row r="238" spans="1:21" x14ac:dyDescent="0.2">
      <c r="A238" s="1">
        <v>44090</v>
      </c>
      <c r="B238" s="3">
        <v>56.709999000000003</v>
      </c>
      <c r="C238" s="3">
        <v>19.006665999999999</v>
      </c>
      <c r="D238" s="3">
        <v>25.07</v>
      </c>
      <c r="E238" s="3">
        <v>52.68</v>
      </c>
      <c r="F238" s="3">
        <v>30.810798999999999</v>
      </c>
      <c r="G238" s="3">
        <v>23.120000999999998</v>
      </c>
      <c r="H238" s="3">
        <v>21.73</v>
      </c>
      <c r="I238" s="3">
        <v>38.180267000000001</v>
      </c>
      <c r="J238" s="3">
        <v>60.970001000000003</v>
      </c>
      <c r="L238" s="11">
        <f t="shared" si="12"/>
        <v>-1.459600372886186E-2</v>
      </c>
      <c r="M238" s="11">
        <f t="shared" si="12"/>
        <v>-4.5390715460246027E-3</v>
      </c>
      <c r="N238" s="11">
        <f t="shared" si="12"/>
        <v>-1.6862745098039204E-2</v>
      </c>
      <c r="O238" s="11">
        <f t="shared" si="12"/>
        <v>-2.6505111700113699E-3</v>
      </c>
      <c r="P238" s="11">
        <f t="shared" si="12"/>
        <v>-1.2156096321677004E-2</v>
      </c>
      <c r="Q238" s="11">
        <f t="shared" si="12"/>
        <v>2.3461752988047747E-2</v>
      </c>
      <c r="R238" s="11">
        <f t="shared" si="14"/>
        <v>2.7688047992615928E-3</v>
      </c>
      <c r="S238" s="11">
        <f t="shared" si="14"/>
        <v>-7.2675812823145159E-4</v>
      </c>
      <c r="T238" s="11">
        <f t="shared" si="14"/>
        <v>-2.6038291566718514E-2</v>
      </c>
      <c r="U238" s="11">
        <f t="shared" si="13"/>
        <v>-5.7043244191394065E-3</v>
      </c>
    </row>
    <row r="239" spans="1:21" x14ac:dyDescent="0.2">
      <c r="A239" s="1">
        <v>44089</v>
      </c>
      <c r="B239" s="3">
        <v>57.549999</v>
      </c>
      <c r="C239" s="3">
        <v>19.093332</v>
      </c>
      <c r="D239" s="3">
        <v>25.5</v>
      </c>
      <c r="E239" s="3">
        <v>52.82</v>
      </c>
      <c r="F239" s="3">
        <v>31.189947</v>
      </c>
      <c r="G239" s="3">
        <v>22.59</v>
      </c>
      <c r="H239" s="3">
        <v>21.67</v>
      </c>
      <c r="I239" s="3">
        <v>38.208035000000002</v>
      </c>
      <c r="J239" s="3">
        <v>62.599997999999999</v>
      </c>
      <c r="L239" s="11">
        <f t="shared" si="12"/>
        <v>6.6468604739150072E-3</v>
      </c>
      <c r="M239" s="11">
        <f t="shared" si="12"/>
        <v>-2.4689290811826654E-2</v>
      </c>
      <c r="N239" s="11">
        <f t="shared" si="12"/>
        <v>3.155343978776045E-2</v>
      </c>
      <c r="O239" s="11">
        <f t="shared" si="12"/>
        <v>-1.8932424041929937E-4</v>
      </c>
      <c r="P239" s="11">
        <f t="shared" si="12"/>
        <v>3.5313165526352683E-3</v>
      </c>
      <c r="Q239" s="11">
        <f t="shared" si="12"/>
        <v>-4.8458588173630676E-3</v>
      </c>
      <c r="R239" s="11">
        <f t="shared" si="14"/>
        <v>-4.6125461254603372E-4</v>
      </c>
      <c r="S239" s="11">
        <f t="shared" si="14"/>
        <v>-1.4326689624069338E-2</v>
      </c>
      <c r="T239" s="11">
        <f t="shared" si="14"/>
        <v>1.1145178484897477E-2</v>
      </c>
      <c r="U239" s="11">
        <f t="shared" si="13"/>
        <v>9.2937524366486723E-4</v>
      </c>
    </row>
    <row r="240" spans="1:21" x14ac:dyDescent="0.2">
      <c r="A240" s="1">
        <v>44088</v>
      </c>
      <c r="B240" s="3">
        <v>57.169998</v>
      </c>
      <c r="C240" s="3">
        <v>19.576665999999999</v>
      </c>
      <c r="D240" s="3">
        <v>24.719999000000001</v>
      </c>
      <c r="E240" s="3">
        <v>52.830002</v>
      </c>
      <c r="F240" s="3">
        <v>31.080193000000001</v>
      </c>
      <c r="G240" s="3">
        <v>22.700001</v>
      </c>
      <c r="H240" s="3">
        <v>21.68</v>
      </c>
      <c r="I240" s="3">
        <v>38.763385999999997</v>
      </c>
      <c r="J240" s="3">
        <v>61.91</v>
      </c>
      <c r="L240" s="11">
        <f t="shared" si="12"/>
        <v>2.5470816143497752E-2</v>
      </c>
      <c r="M240" s="11">
        <f t="shared" si="12"/>
        <v>4.8375619305649417E-2</v>
      </c>
      <c r="N240" s="11">
        <f t="shared" si="12"/>
        <v>2.1487519773243029E-2</v>
      </c>
      <c r="O240" s="11">
        <f t="shared" si="12"/>
        <v>4.531066392341393E-2</v>
      </c>
      <c r="P240" s="11">
        <f t="shared" si="12"/>
        <v>5.6290305653442674E-2</v>
      </c>
      <c r="Q240" s="11">
        <f t="shared" si="12"/>
        <v>4.2719384474046891E-2</v>
      </c>
      <c r="R240" s="11">
        <f t="shared" si="14"/>
        <v>-9.1407225384243299E-3</v>
      </c>
      <c r="S240" s="11">
        <f t="shared" si="14"/>
        <v>1.11058027186667E-2</v>
      </c>
      <c r="T240" s="11">
        <f t="shared" si="14"/>
        <v>-6.4569813324141399E-4</v>
      </c>
      <c r="U240" s="11">
        <f t="shared" si="13"/>
        <v>2.677485459114385E-2</v>
      </c>
    </row>
    <row r="241" spans="1:21" x14ac:dyDescent="0.2">
      <c r="A241" s="1">
        <v>44085</v>
      </c>
      <c r="B241" s="3">
        <v>55.75</v>
      </c>
      <c r="C241" s="3">
        <v>18.673331999999998</v>
      </c>
      <c r="D241" s="3">
        <v>24.200001</v>
      </c>
      <c r="E241" s="3">
        <v>50.540000999999997</v>
      </c>
      <c r="F241" s="3">
        <v>29.423912000000001</v>
      </c>
      <c r="G241" s="3">
        <v>21.77</v>
      </c>
      <c r="H241" s="3">
        <v>21.879999000000002</v>
      </c>
      <c r="I241" s="3">
        <v>38.337615999999997</v>
      </c>
      <c r="J241" s="3">
        <v>61.950001</v>
      </c>
      <c r="L241" s="11">
        <f t="shared" si="12"/>
        <v>-2.1242960344855403E-2</v>
      </c>
      <c r="M241" s="11">
        <f t="shared" si="12"/>
        <v>3.5710715561092552E-4</v>
      </c>
      <c r="N241" s="11">
        <f t="shared" si="12"/>
        <v>-1.3452914249779211E-2</v>
      </c>
      <c r="O241" s="11">
        <f t="shared" si="12"/>
        <v>-2.6579296093193282E-2</v>
      </c>
      <c r="P241" s="11">
        <f t="shared" si="12"/>
        <v>-2.1890582391039165E-2</v>
      </c>
      <c r="Q241" s="11">
        <f t="shared" si="12"/>
        <v>-2.4641577060931931E-2</v>
      </c>
      <c r="R241" s="11">
        <f t="shared" si="14"/>
        <v>-1.0849999509493556E-2</v>
      </c>
      <c r="S241" s="11">
        <f t="shared" si="14"/>
        <v>-1.3809531575671854E-2</v>
      </c>
      <c r="T241" s="11">
        <f t="shared" si="14"/>
        <v>5.8431608720854476E-2</v>
      </c>
      <c r="U241" s="11">
        <f t="shared" si="13"/>
        <v>-8.1864605942776648E-3</v>
      </c>
    </row>
    <row r="242" spans="1:21" x14ac:dyDescent="0.2">
      <c r="A242" s="1">
        <v>44084</v>
      </c>
      <c r="B242" s="3">
        <v>56.959999000000003</v>
      </c>
      <c r="C242" s="3">
        <v>18.666665999999999</v>
      </c>
      <c r="D242" s="3">
        <v>24.530000999999999</v>
      </c>
      <c r="E242" s="3">
        <v>51.919998</v>
      </c>
      <c r="F242" s="3">
        <v>30.082433999999999</v>
      </c>
      <c r="G242" s="3">
        <v>22.32</v>
      </c>
      <c r="H242" s="3">
        <v>22.120000999999998</v>
      </c>
      <c r="I242" s="3">
        <v>38.874454</v>
      </c>
      <c r="J242" s="3">
        <v>58.529998999999997</v>
      </c>
      <c r="L242" s="11">
        <f t="shared" si="12"/>
        <v>-5.4134871236551453E-2</v>
      </c>
      <c r="M242" s="11">
        <f t="shared" si="12"/>
        <v>-3.8791658084449142E-2</v>
      </c>
      <c r="N242" s="11">
        <f t="shared" si="12"/>
        <v>-1.2479830917874446E-2</v>
      </c>
      <c r="O242" s="11">
        <f t="shared" si="12"/>
        <v>-5.3763460064943695E-2</v>
      </c>
      <c r="P242" s="11">
        <f t="shared" si="12"/>
        <v>-2.458751707279579E-2</v>
      </c>
      <c r="Q242" s="11">
        <f t="shared" si="12"/>
        <v>-2.1052588642657369E-2</v>
      </c>
      <c r="R242" s="11">
        <f t="shared" si="14"/>
        <v>-2.6836735591729079E-2</v>
      </c>
      <c r="S242" s="11">
        <f t="shared" si="14"/>
        <v>-3.4260736767925529E-2</v>
      </c>
      <c r="T242" s="11">
        <f t="shared" si="14"/>
        <v>-2.4500016666666725E-2</v>
      </c>
      <c r="U242" s="11">
        <f t="shared" si="13"/>
        <v>-3.2267490560621476E-2</v>
      </c>
    </row>
    <row r="243" spans="1:21" x14ac:dyDescent="0.2">
      <c r="A243" s="1">
        <v>44083</v>
      </c>
      <c r="B243" s="3">
        <v>60.220001000000003</v>
      </c>
      <c r="C243" s="3">
        <v>19.420000000000002</v>
      </c>
      <c r="D243" s="3">
        <v>24.84</v>
      </c>
      <c r="E243" s="3">
        <v>54.869999</v>
      </c>
      <c r="F243" s="3">
        <v>30.840731000000002</v>
      </c>
      <c r="G243" s="3">
        <v>22.799999</v>
      </c>
      <c r="H243" s="3">
        <v>22.73</v>
      </c>
      <c r="I243" s="3">
        <v>40.253571000000001</v>
      </c>
      <c r="J243" s="3">
        <v>60</v>
      </c>
      <c r="L243" s="11">
        <f t="shared" si="12"/>
        <v>2.7294473341768627E-2</v>
      </c>
      <c r="M243" s="11">
        <f t="shared" si="12"/>
        <v>2.1388570924864899E-2</v>
      </c>
      <c r="N243" s="11">
        <f t="shared" si="12"/>
        <v>1.6782644289807618E-2</v>
      </c>
      <c r="O243" s="11">
        <f t="shared" si="12"/>
        <v>2.1217178485017741E-2</v>
      </c>
      <c r="P243" s="11">
        <f t="shared" si="12"/>
        <v>-1.9373735724264333E-3</v>
      </c>
      <c r="Q243" s="11">
        <f t="shared" si="12"/>
        <v>-1.5118833693304488E-2</v>
      </c>
      <c r="R243" s="11">
        <f t="shared" si="14"/>
        <v>2.1114106019766345E-2</v>
      </c>
      <c r="S243" s="11">
        <f t="shared" si="14"/>
        <v>-2.2993913318914208E-4</v>
      </c>
      <c r="T243" s="11">
        <f t="shared" si="14"/>
        <v>1.2316517631179295E-2</v>
      </c>
      <c r="U243" s="11">
        <f t="shared" si="13"/>
        <v>1.142526047705383E-2</v>
      </c>
    </row>
    <row r="244" spans="1:21" x14ac:dyDescent="0.2">
      <c r="A244" s="1">
        <v>44082</v>
      </c>
      <c r="B244" s="3">
        <v>58.619999</v>
      </c>
      <c r="C244" s="3">
        <v>19.013331999999998</v>
      </c>
      <c r="D244" s="3">
        <v>24.43</v>
      </c>
      <c r="E244" s="3">
        <v>53.73</v>
      </c>
      <c r="F244" s="3">
        <v>30.900597000000001</v>
      </c>
      <c r="G244" s="3">
        <v>23.15</v>
      </c>
      <c r="H244" s="3">
        <v>22.26</v>
      </c>
      <c r="I244" s="3">
        <v>40.262829000000004</v>
      </c>
      <c r="J244" s="3">
        <v>59.27</v>
      </c>
      <c r="L244" s="11">
        <f t="shared" si="12"/>
        <v>-3.5696582162278419E-3</v>
      </c>
      <c r="M244" s="11">
        <f t="shared" si="12"/>
        <v>-2.2115601270625812E-2</v>
      </c>
      <c r="N244" s="11">
        <f t="shared" si="12"/>
        <v>-2.3190723710515865E-2</v>
      </c>
      <c r="O244" s="11">
        <f t="shared" si="12"/>
        <v>5.8719211822660038E-2</v>
      </c>
      <c r="P244" s="11">
        <f t="shared" si="12"/>
        <v>4.2153480983503295E-3</v>
      </c>
      <c r="Q244" s="11">
        <f t="shared" si="12"/>
        <v>4.0449438202247126E-2</v>
      </c>
      <c r="R244" s="11">
        <f t="shared" si="14"/>
        <v>-2.879581151832461E-2</v>
      </c>
      <c r="S244" s="11">
        <f t="shared" si="14"/>
        <v>-1.3157828946826532E-2</v>
      </c>
      <c r="T244" s="11">
        <f t="shared" si="14"/>
        <v>-2.0168655309351684E-2</v>
      </c>
      <c r="U244" s="11">
        <f t="shared" si="13"/>
        <v>-8.4603120540165057E-4</v>
      </c>
    </row>
    <row r="245" spans="1:21" x14ac:dyDescent="0.2">
      <c r="A245" s="1">
        <v>44078</v>
      </c>
      <c r="B245" s="3">
        <v>58.830002</v>
      </c>
      <c r="C245" s="3">
        <v>19.443332999999999</v>
      </c>
      <c r="D245" s="3">
        <v>25.01</v>
      </c>
      <c r="E245" s="3">
        <v>50.75</v>
      </c>
      <c r="F245" s="3">
        <v>30.770886999999998</v>
      </c>
      <c r="G245" s="3">
        <v>22.25</v>
      </c>
      <c r="H245" s="3">
        <v>22.92</v>
      </c>
      <c r="I245" s="3">
        <v>40.799664</v>
      </c>
      <c r="J245" s="3">
        <v>60.490001999999997</v>
      </c>
      <c r="L245" s="11">
        <f t="shared" si="12"/>
        <v>1.1346123821424246E-2</v>
      </c>
      <c r="M245" s="11">
        <f t="shared" si="12"/>
        <v>8.8204774960303003E-3</v>
      </c>
      <c r="N245" s="11">
        <f t="shared" si="12"/>
        <v>-3.5856573705179222E-3</v>
      </c>
      <c r="O245" s="11">
        <f t="shared" si="12"/>
        <v>1.1836851683504619E-3</v>
      </c>
      <c r="P245" s="11">
        <f t="shared" si="12"/>
        <v>-6.4808230966866877E-4</v>
      </c>
      <c r="Q245" s="11">
        <f t="shared" si="12"/>
        <v>2.6765113059529222E-2</v>
      </c>
      <c r="R245" s="11">
        <f t="shared" si="14"/>
        <v>1.74829553095698E-3</v>
      </c>
      <c r="S245" s="11">
        <f t="shared" si="14"/>
        <v>4.1002080571829816E-3</v>
      </c>
      <c r="T245" s="11">
        <f t="shared" si="14"/>
        <v>1.9723567093728873E-2</v>
      </c>
      <c r="U245" s="11">
        <f t="shared" si="13"/>
        <v>7.7170811718907184E-3</v>
      </c>
    </row>
    <row r="246" spans="1:21" x14ac:dyDescent="0.2">
      <c r="A246" s="1">
        <v>44077</v>
      </c>
      <c r="B246" s="3">
        <v>58.169998</v>
      </c>
      <c r="C246" s="3">
        <v>19.273333000000001</v>
      </c>
      <c r="D246" s="3">
        <v>25.1</v>
      </c>
      <c r="E246" s="3">
        <v>50.689999</v>
      </c>
      <c r="F246" s="3">
        <v>30.790842000000001</v>
      </c>
      <c r="G246" s="3">
        <v>21.67</v>
      </c>
      <c r="H246" s="3">
        <v>22.879999000000002</v>
      </c>
      <c r="I246" s="3">
        <v>40.63306</v>
      </c>
      <c r="J246" s="3">
        <v>59.32</v>
      </c>
      <c r="L246" s="11">
        <f t="shared" si="12"/>
        <v>-2.0542196001720817E-2</v>
      </c>
      <c r="M246" s="11">
        <f t="shared" si="12"/>
        <v>-3.5851275637818786E-2</v>
      </c>
      <c r="N246" s="11">
        <f t="shared" si="12"/>
        <v>-1.142178067828983E-2</v>
      </c>
      <c r="O246" s="11">
        <f t="shared" si="12"/>
        <v>-7.0519100303997936E-3</v>
      </c>
      <c r="P246" s="11">
        <f t="shared" si="12"/>
        <v>-5.2211352997014127E-2</v>
      </c>
      <c r="Q246" s="11">
        <f t="shared" si="12"/>
        <v>-1.2756309213835507E-2</v>
      </c>
      <c r="R246" s="11">
        <f t="shared" si="14"/>
        <v>3.5087720837181551E-3</v>
      </c>
      <c r="S246" s="11">
        <f t="shared" si="14"/>
        <v>-6.1127899003617465E-3</v>
      </c>
      <c r="T246" s="11">
        <f t="shared" si="14"/>
        <v>-3.2615786040443573E-2</v>
      </c>
      <c r="U246" s="11">
        <f t="shared" si="13"/>
        <v>-1.9450514268462886E-2</v>
      </c>
    </row>
    <row r="247" spans="1:21" x14ac:dyDescent="0.2">
      <c r="A247" s="1">
        <v>44076</v>
      </c>
      <c r="B247" s="3">
        <v>59.389999000000003</v>
      </c>
      <c r="C247" s="3">
        <v>19.989999999999998</v>
      </c>
      <c r="D247" s="3">
        <v>25.389999</v>
      </c>
      <c r="E247" s="3">
        <v>51.049999</v>
      </c>
      <c r="F247" s="3">
        <v>32.487034000000001</v>
      </c>
      <c r="G247" s="3">
        <v>21.950001</v>
      </c>
      <c r="H247" s="3">
        <v>22.799999</v>
      </c>
      <c r="I247" s="3">
        <v>40.882969000000003</v>
      </c>
      <c r="J247" s="3">
        <v>61.32</v>
      </c>
      <c r="L247" s="11">
        <f t="shared" si="12"/>
        <v>8.8330220627318694E-3</v>
      </c>
      <c r="M247" s="11">
        <f t="shared" si="12"/>
        <v>-1.3321898861679712E-3</v>
      </c>
      <c r="N247" s="11">
        <f t="shared" si="12"/>
        <v>-2.68302414718283E-2</v>
      </c>
      <c r="O247" s="11">
        <f t="shared" ref="O247:T310" si="15">(E247-E248)/E248</f>
        <v>1.2896765361239451E-2</v>
      </c>
      <c r="P247" s="11">
        <f t="shared" si="15"/>
        <v>-1.3333334143229099E-2</v>
      </c>
      <c r="Q247" s="11">
        <f t="shared" si="15"/>
        <v>-5.4371998187584944E-3</v>
      </c>
      <c r="R247" s="11">
        <f t="shared" si="14"/>
        <v>-3.0608656291706672E-3</v>
      </c>
      <c r="S247" s="11">
        <f t="shared" si="14"/>
        <v>-4.5252643437468344E-4</v>
      </c>
      <c r="T247" s="11">
        <f t="shared" si="14"/>
        <v>-7.1243201788964237E-3</v>
      </c>
      <c r="U247" s="11">
        <f t="shared" si="13"/>
        <v>-3.9823211264949244E-3</v>
      </c>
    </row>
    <row r="248" spans="1:21" x14ac:dyDescent="0.2">
      <c r="A248" s="1">
        <v>44075</v>
      </c>
      <c r="B248" s="3">
        <v>58.869999</v>
      </c>
      <c r="C248" s="3">
        <v>20.016666000000001</v>
      </c>
      <c r="D248" s="3">
        <v>26.09</v>
      </c>
      <c r="E248" s="3">
        <v>50.400002000000001</v>
      </c>
      <c r="F248" s="3">
        <v>32.926048000000002</v>
      </c>
      <c r="G248" s="3">
        <v>22.07</v>
      </c>
      <c r="H248" s="3">
        <v>22.870000999999998</v>
      </c>
      <c r="I248" s="3">
        <v>40.901477999999997</v>
      </c>
      <c r="J248" s="3">
        <v>61.759998000000003</v>
      </c>
      <c r="L248" s="11">
        <f t="shared" ref="L248:Q311" si="16">(B248-B249)/B249</f>
        <v>4.9002139148291858E-2</v>
      </c>
      <c r="M248" s="11">
        <f t="shared" si="16"/>
        <v>2.1258469387755066E-2</v>
      </c>
      <c r="N248" s="11">
        <f t="shared" si="16"/>
        <v>1.3203883495145625E-2</v>
      </c>
      <c r="O248" s="11">
        <f t="shared" si="15"/>
        <v>4.4992784573916728E-2</v>
      </c>
      <c r="P248" s="11">
        <f t="shared" si="15"/>
        <v>2.2621595310346122E-2</v>
      </c>
      <c r="Q248" s="11">
        <f t="shared" si="15"/>
        <v>6.0038424591738714E-2</v>
      </c>
      <c r="R248" s="11">
        <f t="shared" si="14"/>
        <v>4.4769394461827018E-2</v>
      </c>
      <c r="S248" s="11">
        <f t="shared" si="14"/>
        <v>1.2371099062377653E-2</v>
      </c>
      <c r="T248" s="11">
        <f t="shared" si="14"/>
        <v>3.4852513404825793E-2</v>
      </c>
      <c r="U248" s="11">
        <f t="shared" si="13"/>
        <v>3.3678922604024962E-2</v>
      </c>
    </row>
    <row r="249" spans="1:21" x14ac:dyDescent="0.2">
      <c r="A249" s="1">
        <v>44074</v>
      </c>
      <c r="B249" s="3">
        <v>56.119999</v>
      </c>
      <c r="C249" s="3">
        <v>19.600000000000001</v>
      </c>
      <c r="D249" s="3">
        <v>25.75</v>
      </c>
      <c r="E249" s="3">
        <v>48.23</v>
      </c>
      <c r="F249" s="3">
        <v>32.197685</v>
      </c>
      <c r="G249" s="3">
        <v>20.82</v>
      </c>
      <c r="H249" s="3">
        <v>21.889999</v>
      </c>
      <c r="I249" s="3">
        <v>40.401665000000001</v>
      </c>
      <c r="J249" s="3">
        <v>59.68</v>
      </c>
      <c r="L249" s="11">
        <f t="shared" si="16"/>
        <v>-1.6473921898459129E-2</v>
      </c>
      <c r="M249" s="11">
        <f t="shared" si="16"/>
        <v>-3.6381514257620373E-2</v>
      </c>
      <c r="N249" s="11">
        <f t="shared" si="16"/>
        <v>-1.604891096675589E-2</v>
      </c>
      <c r="O249" s="11">
        <f t="shared" si="15"/>
        <v>-3.5400000000000063E-2</v>
      </c>
      <c r="P249" s="11">
        <f t="shared" si="15"/>
        <v>-2.8304712234082728E-2</v>
      </c>
      <c r="Q249" s="11">
        <f t="shared" si="15"/>
        <v>-3.6557194051032214E-2</v>
      </c>
      <c r="R249" s="11">
        <f t="shared" si="14"/>
        <v>-2.8837709457067044E-2</v>
      </c>
      <c r="S249" s="11">
        <f t="shared" si="14"/>
        <v>-2.5669629184178588E-2</v>
      </c>
      <c r="T249" s="11">
        <f t="shared" si="14"/>
        <v>-2.324055722555015E-2</v>
      </c>
      <c r="U249" s="11">
        <f t="shared" si="13"/>
        <v>-2.74349054749718E-2</v>
      </c>
    </row>
    <row r="250" spans="1:21" x14ac:dyDescent="0.2">
      <c r="A250" s="1">
        <v>44071</v>
      </c>
      <c r="B250" s="3">
        <v>57.060001</v>
      </c>
      <c r="C250" s="3">
        <v>20.34</v>
      </c>
      <c r="D250" s="3">
        <v>26.17</v>
      </c>
      <c r="E250" s="3">
        <v>50</v>
      </c>
      <c r="F250" s="3">
        <v>33.135578000000002</v>
      </c>
      <c r="G250" s="3">
        <v>21.610001</v>
      </c>
      <c r="H250" s="3">
        <v>22.540001</v>
      </c>
      <c r="I250" s="3">
        <v>41.466084000000002</v>
      </c>
      <c r="J250" s="3">
        <v>61.099997999999999</v>
      </c>
      <c r="L250" s="11">
        <f t="shared" si="16"/>
        <v>4.1240913161330536E-2</v>
      </c>
      <c r="M250" s="11">
        <f t="shared" si="16"/>
        <v>1.227611229436709E-2</v>
      </c>
      <c r="N250" s="11">
        <f t="shared" si="16"/>
        <v>3.450920245398904E-3</v>
      </c>
      <c r="O250" s="11">
        <f t="shared" si="15"/>
        <v>1.8122561227396496E-2</v>
      </c>
      <c r="P250" s="11">
        <f t="shared" si="15"/>
        <v>2.6266990214133468E-2</v>
      </c>
      <c r="Q250" s="11">
        <f t="shared" si="15"/>
        <v>5.1163255813953699E-3</v>
      </c>
      <c r="R250" s="11">
        <f t="shared" si="14"/>
        <v>1.7607268623024905E-2</v>
      </c>
      <c r="S250" s="11">
        <f t="shared" si="14"/>
        <v>1.5412488510025931E-2</v>
      </c>
      <c r="T250" s="11">
        <f t="shared" si="14"/>
        <v>5.0994735137445176E-3</v>
      </c>
      <c r="U250" s="11">
        <f t="shared" si="13"/>
        <v>1.606589481897969E-2</v>
      </c>
    </row>
    <row r="251" spans="1:21" x14ac:dyDescent="0.2">
      <c r="A251" s="1">
        <v>44070</v>
      </c>
      <c r="B251" s="3">
        <v>54.799999</v>
      </c>
      <c r="C251" s="3">
        <v>20.093332</v>
      </c>
      <c r="D251" s="3">
        <v>26.08</v>
      </c>
      <c r="E251" s="3">
        <v>49.110000999999997</v>
      </c>
      <c r="F251" s="3">
        <v>32.287483000000002</v>
      </c>
      <c r="G251" s="3">
        <v>21.5</v>
      </c>
      <c r="H251" s="3">
        <v>22.15</v>
      </c>
      <c r="I251" s="3">
        <v>40.836689</v>
      </c>
      <c r="J251" s="3">
        <v>60.790000999999997</v>
      </c>
      <c r="L251" s="11">
        <f t="shared" si="16"/>
        <v>1.1630072424961139E-2</v>
      </c>
      <c r="M251" s="11">
        <f t="shared" si="16"/>
        <v>-3.6363968144262977E-3</v>
      </c>
      <c r="N251" s="11">
        <f t="shared" si="16"/>
        <v>-3.8197097020626976E-3</v>
      </c>
      <c r="O251" s="11">
        <f t="shared" si="15"/>
        <v>1.4250372335826971E-2</v>
      </c>
      <c r="P251" s="11">
        <f t="shared" si="15"/>
        <v>7.4720375072170686E-3</v>
      </c>
      <c r="Q251" s="11">
        <f t="shared" si="15"/>
        <v>-4.6490004649007727E-4</v>
      </c>
      <c r="R251" s="11">
        <f t="shared" si="14"/>
        <v>-3.1502701687791618E-3</v>
      </c>
      <c r="S251" s="11">
        <f t="shared" si="14"/>
        <v>-1.2975422352186173E-2</v>
      </c>
      <c r="T251" s="11">
        <f t="shared" si="14"/>
        <v>-1.5546542510121513E-2</v>
      </c>
      <c r="U251" s="11">
        <f t="shared" si="13"/>
        <v>-6.9341770289563795E-4</v>
      </c>
    </row>
    <row r="252" spans="1:21" x14ac:dyDescent="0.2">
      <c r="A252" s="1">
        <v>44069</v>
      </c>
      <c r="B252" s="3">
        <v>54.169998</v>
      </c>
      <c r="C252" s="3">
        <v>20.166665999999999</v>
      </c>
      <c r="D252" s="3">
        <v>26.18</v>
      </c>
      <c r="E252" s="3">
        <v>48.419998</v>
      </c>
      <c r="F252" s="3">
        <v>32.048018999999996</v>
      </c>
      <c r="G252" s="3">
        <v>21.51</v>
      </c>
      <c r="H252" s="3">
        <v>22.219999000000001</v>
      </c>
      <c r="I252" s="3">
        <v>41.373528</v>
      </c>
      <c r="J252" s="3">
        <v>61.75</v>
      </c>
      <c r="L252" s="11">
        <f t="shared" si="16"/>
        <v>3.1481111111111046E-3</v>
      </c>
      <c r="M252" s="11">
        <f t="shared" si="16"/>
        <v>-2.1827048959950721E-2</v>
      </c>
      <c r="N252" s="11">
        <f t="shared" si="16"/>
        <v>1.9135477196152279E-3</v>
      </c>
      <c r="O252" s="11">
        <f t="shared" si="15"/>
        <v>-1.5253203793093504E-2</v>
      </c>
      <c r="P252" s="11">
        <f t="shared" si="15"/>
        <v>-2.6666698657549337E-2</v>
      </c>
      <c r="Q252" s="11">
        <f t="shared" si="15"/>
        <v>-5.5478042324458706E-3</v>
      </c>
      <c r="R252" s="11">
        <f t="shared" si="14"/>
        <v>-2.8421599107057195E-2</v>
      </c>
      <c r="S252" s="11">
        <f t="shared" si="14"/>
        <v>-1.8660767147345929E-2</v>
      </c>
      <c r="T252" s="11">
        <f t="shared" si="14"/>
        <v>2.1097209040850527E-3</v>
      </c>
      <c r="U252" s="11">
        <f t="shared" si="13"/>
        <v>-1.2133971351403462E-2</v>
      </c>
    </row>
    <row r="253" spans="1:21" x14ac:dyDescent="0.2">
      <c r="A253" s="1">
        <v>44068</v>
      </c>
      <c r="B253" s="3">
        <v>54</v>
      </c>
      <c r="C253" s="3">
        <v>20.616667</v>
      </c>
      <c r="D253" s="3">
        <v>26.129999000000002</v>
      </c>
      <c r="E253" s="3">
        <v>49.169998</v>
      </c>
      <c r="F253" s="3">
        <v>32.926048000000002</v>
      </c>
      <c r="G253" s="3">
        <v>21.629999000000002</v>
      </c>
      <c r="H253" s="3">
        <v>22.870000999999998</v>
      </c>
      <c r="I253" s="3">
        <v>42.160271000000002</v>
      </c>
      <c r="J253" s="3">
        <v>61.619999</v>
      </c>
      <c r="L253" s="11">
        <f t="shared" si="16"/>
        <v>1.8867924528301886E-2</v>
      </c>
      <c r="M253" s="11">
        <f t="shared" si="16"/>
        <v>1.5599409635438896E-2</v>
      </c>
      <c r="N253" s="11">
        <f t="shared" si="16"/>
        <v>-1.6930060195635695E-2</v>
      </c>
      <c r="O253" s="11">
        <f t="shared" si="15"/>
        <v>2.6508359981477782E-3</v>
      </c>
      <c r="P253" s="11">
        <f t="shared" si="15"/>
        <v>6.0975054526152513E-3</v>
      </c>
      <c r="Q253" s="11">
        <f t="shared" si="15"/>
        <v>-2.0823947487550853E-2</v>
      </c>
      <c r="R253" s="11">
        <f t="shared" si="14"/>
        <v>-4.3534176906147408E-3</v>
      </c>
      <c r="S253" s="11">
        <f t="shared" si="14"/>
        <v>-6.7596918816861008E-3</v>
      </c>
      <c r="T253" s="11">
        <f t="shared" si="14"/>
        <v>-2.1283354848846223E-2</v>
      </c>
      <c r="U253" s="11">
        <f t="shared" si="13"/>
        <v>-2.9927551655366449E-3</v>
      </c>
    </row>
    <row r="254" spans="1:21" x14ac:dyDescent="0.2">
      <c r="A254" s="1">
        <v>44067</v>
      </c>
      <c r="B254" s="3">
        <v>53</v>
      </c>
      <c r="C254" s="3">
        <v>20.299999</v>
      </c>
      <c r="D254" s="3">
        <v>26.58</v>
      </c>
      <c r="E254" s="3">
        <v>49.040000999999997</v>
      </c>
      <c r="F254" s="3">
        <v>32.726497999999999</v>
      </c>
      <c r="G254" s="3">
        <v>22.09</v>
      </c>
      <c r="H254" s="3">
        <v>22.969999000000001</v>
      </c>
      <c r="I254" s="3">
        <v>42.447201</v>
      </c>
      <c r="J254" s="3">
        <v>62.959999000000003</v>
      </c>
      <c r="L254" s="11">
        <f t="shared" si="16"/>
        <v>-3.7594172225673514E-3</v>
      </c>
      <c r="M254" s="11">
        <f t="shared" si="16"/>
        <v>-1.1481875955982144E-3</v>
      </c>
      <c r="N254" s="11">
        <f t="shared" si="16"/>
        <v>1.8000727001121059E-2</v>
      </c>
      <c r="O254" s="11">
        <f t="shared" si="15"/>
        <v>1.4294465707687686E-3</v>
      </c>
      <c r="P254" s="11">
        <f t="shared" si="15"/>
        <v>-6.6625684457079079E-3</v>
      </c>
      <c r="Q254" s="11">
        <f t="shared" si="15"/>
        <v>-2.7088036117380913E-3</v>
      </c>
      <c r="R254" s="11">
        <f t="shared" si="14"/>
        <v>1.8173759670822687E-2</v>
      </c>
      <c r="S254" s="11">
        <f t="shared" si="14"/>
        <v>-7.3592851280830061E-3</v>
      </c>
      <c r="T254" s="11">
        <f t="shared" si="14"/>
        <v>1.221861716690331E-2</v>
      </c>
      <c r="U254" s="11">
        <f t="shared" si="13"/>
        <v>3.1315876006579165E-3</v>
      </c>
    </row>
    <row r="255" spans="1:21" x14ac:dyDescent="0.2">
      <c r="A255" s="1">
        <v>44064</v>
      </c>
      <c r="B255" s="3">
        <v>53.200001</v>
      </c>
      <c r="C255" s="3">
        <v>20.323333999999999</v>
      </c>
      <c r="D255" s="3">
        <v>26.110001</v>
      </c>
      <c r="E255" s="3">
        <v>48.970001000000003</v>
      </c>
      <c r="F255" s="3">
        <v>32.946002999999997</v>
      </c>
      <c r="G255" s="3">
        <v>22.15</v>
      </c>
      <c r="H255" s="3">
        <v>22.559999000000001</v>
      </c>
      <c r="I255" s="3">
        <v>42.761898000000002</v>
      </c>
      <c r="J255" s="3">
        <v>62.200001</v>
      </c>
      <c r="L255" s="11">
        <f t="shared" si="16"/>
        <v>1.3175230318553971E-3</v>
      </c>
      <c r="M255" s="11">
        <f t="shared" si="16"/>
        <v>-2.1976274207109014E-2</v>
      </c>
      <c r="N255" s="11">
        <f t="shared" si="16"/>
        <v>-2.6737585943468014E-3</v>
      </c>
      <c r="O255" s="11">
        <f t="shared" si="15"/>
        <v>-1.9423268310437829E-2</v>
      </c>
      <c r="P255" s="11">
        <f t="shared" si="15"/>
        <v>1.2128148664497956E-3</v>
      </c>
      <c r="Q255" s="11">
        <f t="shared" si="15"/>
        <v>-1.1160714285714286E-2</v>
      </c>
      <c r="R255" s="11">
        <f t="shared" si="14"/>
        <v>-7.4791465024196735E-3</v>
      </c>
      <c r="S255" s="11">
        <f t="shared" si="14"/>
        <v>-1.1764723826730081E-2</v>
      </c>
      <c r="T255" s="11">
        <f t="shared" si="14"/>
        <v>-1.1914217443777323E-2</v>
      </c>
      <c r="U255" s="11">
        <f t="shared" si="13"/>
        <v>-9.3179739191366472E-3</v>
      </c>
    </row>
    <row r="256" spans="1:21" x14ac:dyDescent="0.2">
      <c r="A256" s="1">
        <v>44063</v>
      </c>
      <c r="B256" s="3">
        <v>53.130001</v>
      </c>
      <c r="C256" s="3">
        <v>20.780000999999999</v>
      </c>
      <c r="D256" s="3">
        <v>26.18</v>
      </c>
      <c r="E256" s="3">
        <v>49.939999</v>
      </c>
      <c r="F256" s="3">
        <v>32.906094000000003</v>
      </c>
      <c r="G256" s="3">
        <v>22.4</v>
      </c>
      <c r="H256" s="3">
        <v>22.73</v>
      </c>
      <c r="I256" s="3">
        <v>43.270969000000001</v>
      </c>
      <c r="J256" s="3">
        <v>62.950001</v>
      </c>
      <c r="L256" s="11">
        <f t="shared" si="16"/>
        <v>-1.6111092592592594E-2</v>
      </c>
      <c r="M256" s="11">
        <f t="shared" si="16"/>
        <v>4.6499948858486517E-2</v>
      </c>
      <c r="N256" s="11">
        <f t="shared" si="16"/>
        <v>1.5909972836631748E-2</v>
      </c>
      <c r="O256" s="11">
        <f t="shared" si="15"/>
        <v>1.8975740419332341E-2</v>
      </c>
      <c r="P256" s="11">
        <f t="shared" si="15"/>
        <v>7.0229135465067361E-3</v>
      </c>
      <c r="Q256" s="11">
        <f t="shared" si="15"/>
        <v>3.8961087150328588E-2</v>
      </c>
      <c r="R256" s="11">
        <f t="shared" si="14"/>
        <v>-6.9899085622502259E-3</v>
      </c>
      <c r="S256" s="11">
        <f t="shared" si="14"/>
        <v>7.3259848992482971E-3</v>
      </c>
      <c r="T256" s="11">
        <f t="shared" si="14"/>
        <v>8.9758296037157678E-3</v>
      </c>
      <c r="U256" s="11">
        <f t="shared" si="13"/>
        <v>1.3396719573267463E-2</v>
      </c>
    </row>
    <row r="257" spans="1:21" x14ac:dyDescent="0.2">
      <c r="A257" s="1">
        <v>44062</v>
      </c>
      <c r="B257" s="3">
        <v>54</v>
      </c>
      <c r="C257" s="3">
        <v>19.856667000000002</v>
      </c>
      <c r="D257" s="3">
        <v>25.77</v>
      </c>
      <c r="E257" s="3">
        <v>49.009998000000003</v>
      </c>
      <c r="F257" s="3">
        <v>32.676608999999999</v>
      </c>
      <c r="G257" s="3">
        <v>21.559999000000001</v>
      </c>
      <c r="H257" s="3">
        <v>22.889999</v>
      </c>
      <c r="I257" s="3">
        <v>42.956271999999998</v>
      </c>
      <c r="J257" s="3">
        <v>62.389999000000003</v>
      </c>
      <c r="L257" s="11">
        <f t="shared" si="16"/>
        <v>-3.8118971110063661E-2</v>
      </c>
      <c r="M257" s="11">
        <f t="shared" si="16"/>
        <v>-3.6084126213592221E-2</v>
      </c>
      <c r="N257" s="11">
        <f t="shared" si="16"/>
        <v>-3.8655197578074661E-3</v>
      </c>
      <c r="O257" s="11">
        <f t="shared" si="15"/>
        <v>-1.1895161769966127E-2</v>
      </c>
      <c r="P257" s="11">
        <f t="shared" si="15"/>
        <v>-2.7612771054658362E-2</v>
      </c>
      <c r="Q257" s="11">
        <f t="shared" si="15"/>
        <v>-1.2820558608058544E-2</v>
      </c>
      <c r="R257" s="11">
        <f t="shared" si="14"/>
        <v>-5.6473066898349274E-3</v>
      </c>
      <c r="S257" s="11">
        <f t="shared" si="14"/>
        <v>-4.2302896032199208E-2</v>
      </c>
      <c r="T257" s="11">
        <f t="shared" si="14"/>
        <v>-1.0624833323424728E-2</v>
      </c>
      <c r="U257" s="11">
        <f t="shared" si="13"/>
        <v>-2.099690495106725E-2</v>
      </c>
    </row>
    <row r="258" spans="1:21" x14ac:dyDescent="0.2">
      <c r="A258" s="1">
        <v>44061</v>
      </c>
      <c r="B258" s="3">
        <v>56.139999000000003</v>
      </c>
      <c r="C258" s="3">
        <v>20.6</v>
      </c>
      <c r="D258" s="3">
        <v>25.870000999999998</v>
      </c>
      <c r="E258" s="3">
        <v>49.599997999999999</v>
      </c>
      <c r="F258" s="3">
        <v>33.604523</v>
      </c>
      <c r="G258" s="3">
        <v>21.84</v>
      </c>
      <c r="H258" s="3">
        <v>23.02</v>
      </c>
      <c r="I258" s="3">
        <v>44.853713999999997</v>
      </c>
      <c r="J258" s="3">
        <v>63.060001</v>
      </c>
      <c r="L258" s="11">
        <f t="shared" si="16"/>
        <v>6.1849821483824938E-2</v>
      </c>
      <c r="M258" s="11">
        <f t="shared" si="16"/>
        <v>6.3683286339358339E-2</v>
      </c>
      <c r="N258" s="11">
        <f t="shared" si="16"/>
        <v>3.8805199844780323E-3</v>
      </c>
      <c r="O258" s="11">
        <f t="shared" si="15"/>
        <v>3.9396415771240152E-2</v>
      </c>
      <c r="P258" s="11">
        <f t="shared" si="15"/>
        <v>1.690814984545681E-2</v>
      </c>
      <c r="Q258" s="11">
        <f t="shared" si="15"/>
        <v>-4.5766590389023171E-4</v>
      </c>
      <c r="R258" s="11">
        <f t="shared" si="14"/>
        <v>1.8584070796460093E-2</v>
      </c>
      <c r="S258" s="11">
        <f t="shared" si="14"/>
        <v>3.2601776176624089E-2</v>
      </c>
      <c r="T258" s="11">
        <f t="shared" si="14"/>
        <v>1.3337634581391658E-2</v>
      </c>
      <c r="U258" s="11">
        <f t="shared" si="13"/>
        <v>2.7753778786104872E-2</v>
      </c>
    </row>
    <row r="259" spans="1:21" x14ac:dyDescent="0.2">
      <c r="A259" s="1">
        <v>44060</v>
      </c>
      <c r="B259" s="3">
        <v>52.869999</v>
      </c>
      <c r="C259" s="3">
        <v>19.366667</v>
      </c>
      <c r="D259" s="3">
        <v>25.77</v>
      </c>
      <c r="E259" s="3">
        <v>47.720001000000003</v>
      </c>
      <c r="F259" s="3">
        <v>33.045780000000001</v>
      </c>
      <c r="G259" s="3">
        <v>21.85</v>
      </c>
      <c r="H259" s="3">
        <v>22.6</v>
      </c>
      <c r="I259" s="3">
        <v>43.437572000000003</v>
      </c>
      <c r="J259" s="3">
        <v>62.23</v>
      </c>
      <c r="L259" s="11">
        <f t="shared" si="16"/>
        <v>-4.7387405405405404E-2</v>
      </c>
      <c r="M259" s="11">
        <f t="shared" si="16"/>
        <v>-4.0779294661748615E-2</v>
      </c>
      <c r="N259" s="11">
        <f t="shared" si="16"/>
        <v>2.4652087475149145E-2</v>
      </c>
      <c r="O259" s="11">
        <f t="shared" si="15"/>
        <v>-3.7515145723471269E-2</v>
      </c>
      <c r="P259" s="11">
        <f t="shared" si="15"/>
        <v>-3.2710247956657751E-2</v>
      </c>
      <c r="Q259" s="11">
        <f t="shared" si="15"/>
        <v>-3.6171151301279236E-2</v>
      </c>
      <c r="R259" s="11">
        <f t="shared" si="14"/>
        <v>-3.0877812086457998E-3</v>
      </c>
      <c r="S259" s="11">
        <f t="shared" si="14"/>
        <v>-1.4075718314585265E-2</v>
      </c>
      <c r="T259" s="11">
        <f t="shared" si="14"/>
        <v>1.4343961347806361E-2</v>
      </c>
      <c r="U259" s="11">
        <f t="shared" si="13"/>
        <v>-1.919229952764865E-2</v>
      </c>
    </row>
    <row r="260" spans="1:21" x14ac:dyDescent="0.2">
      <c r="A260" s="1">
        <v>44057</v>
      </c>
      <c r="B260" s="3">
        <v>55.5</v>
      </c>
      <c r="C260" s="3">
        <v>20.190000999999999</v>
      </c>
      <c r="D260" s="3">
        <v>25.15</v>
      </c>
      <c r="E260" s="3">
        <v>49.580002</v>
      </c>
      <c r="F260" s="3">
        <v>34.163269</v>
      </c>
      <c r="G260" s="3">
        <v>22.67</v>
      </c>
      <c r="H260" s="3">
        <v>22.67</v>
      </c>
      <c r="I260" s="3">
        <v>44.057715999999999</v>
      </c>
      <c r="J260" s="3">
        <v>61.349997999999999</v>
      </c>
      <c r="L260" s="11">
        <f t="shared" si="16"/>
        <v>0</v>
      </c>
      <c r="M260" s="11">
        <f t="shared" si="16"/>
        <v>-1.3189118976844225E-3</v>
      </c>
      <c r="N260" s="11">
        <f t="shared" si="16"/>
        <v>-3.9603960396040168E-3</v>
      </c>
      <c r="O260" s="11">
        <f t="shared" si="15"/>
        <v>1.1423949408404676E-2</v>
      </c>
      <c r="P260" s="11">
        <f t="shared" si="15"/>
        <v>-3.0028340563984592E-2</v>
      </c>
      <c r="Q260" s="11">
        <f t="shared" si="15"/>
        <v>2.905124697906292E-2</v>
      </c>
      <c r="R260" s="11">
        <f t="shared" si="14"/>
        <v>-7.4430823117337197E-3</v>
      </c>
      <c r="S260" s="11">
        <f t="shared" si="14"/>
        <v>1.1689709289462363E-2</v>
      </c>
      <c r="T260" s="11">
        <f t="shared" si="14"/>
        <v>1.6570008834134509E-2</v>
      </c>
      <c r="U260" s="11">
        <f t="shared" si="13"/>
        <v>2.8871315220064132E-3</v>
      </c>
    </row>
    <row r="261" spans="1:21" x14ac:dyDescent="0.2">
      <c r="A261" s="1">
        <v>44056</v>
      </c>
      <c r="B261" s="3">
        <v>55.5</v>
      </c>
      <c r="C261" s="3">
        <v>20.216664999999999</v>
      </c>
      <c r="D261" s="3">
        <v>25.25</v>
      </c>
      <c r="E261" s="3">
        <v>49.02</v>
      </c>
      <c r="F261" s="3">
        <v>35.220894000000001</v>
      </c>
      <c r="G261" s="3">
        <v>22.030000999999999</v>
      </c>
      <c r="H261" s="3">
        <v>22.84</v>
      </c>
      <c r="I261" s="3">
        <v>43.548645</v>
      </c>
      <c r="J261" s="3">
        <v>60.349997999999999</v>
      </c>
      <c r="L261" s="11">
        <f t="shared" si="16"/>
        <v>1.0744855217628911E-2</v>
      </c>
      <c r="M261" s="11">
        <f t="shared" si="16"/>
        <v>-1.3821219512195171E-2</v>
      </c>
      <c r="N261" s="11">
        <f t="shared" si="16"/>
        <v>2.9771615008156626E-2</v>
      </c>
      <c r="O261" s="11">
        <f t="shared" si="15"/>
        <v>-2.8344915196334627E-2</v>
      </c>
      <c r="P261" s="11">
        <f t="shared" si="15"/>
        <v>4.5532029331638718E-3</v>
      </c>
      <c r="Q261" s="11">
        <f t="shared" si="15"/>
        <v>-5.9350939368061614E-2</v>
      </c>
      <c r="R261" s="11">
        <f t="shared" si="14"/>
        <v>-2.7257240204429326E-2</v>
      </c>
      <c r="S261" s="11">
        <f t="shared" si="14"/>
        <v>-1.7129694234768258E-2</v>
      </c>
      <c r="T261" s="11">
        <f t="shared" si="14"/>
        <v>-1.8699219512195133E-2</v>
      </c>
      <c r="U261" s="11">
        <f t="shared" si="13"/>
        <v>-1.3281506096559415E-2</v>
      </c>
    </row>
    <row r="262" spans="1:21" x14ac:dyDescent="0.2">
      <c r="A262" s="1">
        <v>44055</v>
      </c>
      <c r="B262" s="3">
        <v>54.91</v>
      </c>
      <c r="C262" s="3">
        <v>20.5</v>
      </c>
      <c r="D262" s="3">
        <v>24.52</v>
      </c>
      <c r="E262" s="3">
        <v>50.450001</v>
      </c>
      <c r="F262" s="3">
        <v>35.061253000000001</v>
      </c>
      <c r="G262" s="3">
        <v>23.42</v>
      </c>
      <c r="H262" s="3">
        <v>23.48</v>
      </c>
      <c r="I262" s="3">
        <v>44.307620999999997</v>
      </c>
      <c r="J262" s="3">
        <v>61.5</v>
      </c>
      <c r="L262" s="11">
        <f t="shared" si="16"/>
        <v>-1.4536988253105143E-2</v>
      </c>
      <c r="M262" s="11">
        <f t="shared" si="16"/>
        <v>1.0848076388161983E-2</v>
      </c>
      <c r="N262" s="11">
        <f t="shared" si="16"/>
        <v>2.3372329856941969E-2</v>
      </c>
      <c r="O262" s="11">
        <f t="shared" si="15"/>
        <v>-6.6942310160615342E-3</v>
      </c>
      <c r="P262" s="11">
        <f t="shared" si="15"/>
        <v>1.3556454638002778E-2</v>
      </c>
      <c r="Q262" s="11">
        <f t="shared" si="15"/>
        <v>-1.1397255745155817E-2</v>
      </c>
      <c r="R262" s="11">
        <f t="shared" si="14"/>
        <v>1.7331022530329383E-2</v>
      </c>
      <c r="S262" s="11">
        <f t="shared" si="14"/>
        <v>-3.1755640375392247E-2</v>
      </c>
      <c r="T262" s="11">
        <f t="shared" si="14"/>
        <v>2.0238902127387288E-2</v>
      </c>
      <c r="U262" s="11">
        <f t="shared" si="13"/>
        <v>2.3291855723454064E-3</v>
      </c>
    </row>
    <row r="263" spans="1:21" x14ac:dyDescent="0.2">
      <c r="A263" s="1">
        <v>44054</v>
      </c>
      <c r="B263" s="3">
        <v>55.720001000000003</v>
      </c>
      <c r="C263" s="3">
        <v>20.280000999999999</v>
      </c>
      <c r="D263" s="3">
        <v>23.959999</v>
      </c>
      <c r="E263" s="3">
        <v>50.790000999999997</v>
      </c>
      <c r="F263" s="3">
        <v>34.592303999999999</v>
      </c>
      <c r="G263" s="3">
        <v>23.690000999999999</v>
      </c>
      <c r="H263" s="3">
        <v>23.08</v>
      </c>
      <c r="I263" s="3">
        <v>45.760784000000001</v>
      </c>
      <c r="J263" s="3">
        <v>60.279998999999997</v>
      </c>
      <c r="L263" s="11">
        <f t="shared" si="16"/>
        <v>3.2425420929675354E-2</v>
      </c>
      <c r="M263" s="11">
        <f t="shared" si="16"/>
        <v>-2.2650554216867538E-2</v>
      </c>
      <c r="N263" s="11">
        <f t="shared" si="16"/>
        <v>2.8326181473226679E-2</v>
      </c>
      <c r="O263" s="11">
        <f t="shared" si="15"/>
        <v>-2.3570811235513645E-3</v>
      </c>
      <c r="P263" s="11">
        <f t="shared" si="15"/>
        <v>2.0306041340259415E-2</v>
      </c>
      <c r="Q263" s="11">
        <f t="shared" si="15"/>
        <v>3.9947320458853366E-2</v>
      </c>
      <c r="R263" s="11">
        <f t="shared" si="14"/>
        <v>-1.5778293570222108E-2</v>
      </c>
      <c r="S263" s="11">
        <f t="shared" si="14"/>
        <v>6.9246225753166043E-3</v>
      </c>
      <c r="T263" s="11">
        <f t="shared" si="14"/>
        <v>-3.0868198860639951E-2</v>
      </c>
      <c r="U263" s="11">
        <f t="shared" ref="U263:U326" si="17">AVERAGE(L263:T263)</f>
        <v>6.2528287784500503E-3</v>
      </c>
    </row>
    <row r="264" spans="1:21" x14ac:dyDescent="0.2">
      <c r="A264" s="1">
        <v>44053</v>
      </c>
      <c r="B264" s="3">
        <v>53.970001000000003</v>
      </c>
      <c r="C264" s="3">
        <v>20.75</v>
      </c>
      <c r="D264" s="3">
        <v>23.299999</v>
      </c>
      <c r="E264" s="3">
        <v>50.91</v>
      </c>
      <c r="F264" s="3">
        <v>33.903851000000003</v>
      </c>
      <c r="G264" s="3">
        <v>22.780000999999999</v>
      </c>
      <c r="H264" s="3">
        <v>23.450001</v>
      </c>
      <c r="I264" s="3">
        <v>45.446086999999999</v>
      </c>
      <c r="J264" s="3">
        <v>62.200001</v>
      </c>
      <c r="L264" s="11">
        <f t="shared" si="16"/>
        <v>-1.5145949181495354E-2</v>
      </c>
      <c r="M264" s="11">
        <f t="shared" si="16"/>
        <v>-4.7961630695444327E-3</v>
      </c>
      <c r="N264" s="11">
        <f t="shared" si="16"/>
        <v>9.9696142175985866E-3</v>
      </c>
      <c r="O264" s="11">
        <f t="shared" si="15"/>
        <v>1.9680967925979147E-3</v>
      </c>
      <c r="P264" s="11">
        <f t="shared" si="15"/>
        <v>-1.4786892098116747E-2</v>
      </c>
      <c r="Q264" s="11">
        <f t="shared" si="15"/>
        <v>-8.7710530162747244E-4</v>
      </c>
      <c r="R264" s="11">
        <f t="shared" si="14"/>
        <v>2.8960068935495006E-2</v>
      </c>
      <c r="S264" s="11">
        <f t="shared" si="14"/>
        <v>-6.0729034922169375E-3</v>
      </c>
      <c r="T264" s="11">
        <f t="shared" si="14"/>
        <v>2.8949544599676681E-2</v>
      </c>
      <c r="U264" s="11">
        <f t="shared" si="17"/>
        <v>3.1298123780408049E-3</v>
      </c>
    </row>
    <row r="265" spans="1:21" x14ac:dyDescent="0.2">
      <c r="A265" s="1">
        <v>44050</v>
      </c>
      <c r="B265" s="3">
        <v>54.799999</v>
      </c>
      <c r="C265" s="3">
        <v>20.85</v>
      </c>
      <c r="D265" s="3">
        <v>23.07</v>
      </c>
      <c r="E265" s="3">
        <v>50.810001</v>
      </c>
      <c r="F265" s="3">
        <v>34.412708000000002</v>
      </c>
      <c r="G265" s="3">
        <v>22.799999</v>
      </c>
      <c r="H265" s="3">
        <v>22.790001</v>
      </c>
      <c r="I265" s="3">
        <v>45.723762999999998</v>
      </c>
      <c r="J265" s="3">
        <v>60.450001</v>
      </c>
      <c r="L265" s="11">
        <f t="shared" si="16"/>
        <v>0</v>
      </c>
      <c r="M265" s="11">
        <f t="shared" si="16"/>
        <v>-2.3419203747072598E-2</v>
      </c>
      <c r="N265" s="11">
        <f t="shared" si="16"/>
        <v>-1.072041166380789E-2</v>
      </c>
      <c r="O265" s="11">
        <f t="shared" si="15"/>
        <v>-1.588223870071202E-2</v>
      </c>
      <c r="P265" s="11">
        <f t="shared" si="15"/>
        <v>-1.7365690033223362E-3</v>
      </c>
      <c r="Q265" s="11">
        <f t="shared" si="15"/>
        <v>-3.4307580080153353E-2</v>
      </c>
      <c r="R265" s="11">
        <f t="shared" si="14"/>
        <v>-1.8518433183395105E-2</v>
      </c>
      <c r="S265" s="11">
        <f t="shared" si="14"/>
        <v>-2.9088035356973171E-2</v>
      </c>
      <c r="T265" s="11">
        <f t="shared" si="14"/>
        <v>-2.2319277945357336E-2</v>
      </c>
      <c r="U265" s="11">
        <f t="shared" si="17"/>
        <v>-1.7332416631199311E-2</v>
      </c>
    </row>
    <row r="266" spans="1:21" x14ac:dyDescent="0.2">
      <c r="A266" s="1">
        <v>44049</v>
      </c>
      <c r="B266" s="3">
        <v>54.799999</v>
      </c>
      <c r="C266" s="3">
        <v>21.35</v>
      </c>
      <c r="D266" s="3">
        <v>23.32</v>
      </c>
      <c r="E266" s="3">
        <v>51.630001</v>
      </c>
      <c r="F266" s="3">
        <v>34.472572</v>
      </c>
      <c r="G266" s="3">
        <v>23.610001</v>
      </c>
      <c r="H266" s="3">
        <v>23.219999000000001</v>
      </c>
      <c r="I266" s="3">
        <v>47.093623999999998</v>
      </c>
      <c r="J266" s="3">
        <v>61.830002</v>
      </c>
      <c r="L266" s="11">
        <f t="shared" si="16"/>
        <v>3.2793026144119372E-2</v>
      </c>
      <c r="M266" s="11">
        <f t="shared" si="16"/>
        <v>8.6614490916992835E-3</v>
      </c>
      <c r="N266" s="11">
        <f t="shared" si="16"/>
        <v>2.5054945054945068E-2</v>
      </c>
      <c r="O266" s="11">
        <f t="shared" si="15"/>
        <v>1.2154538802373546E-2</v>
      </c>
      <c r="P266" s="11">
        <f t="shared" si="15"/>
        <v>1.0529358275257398E-2</v>
      </c>
      <c r="Q266" s="11">
        <f t="shared" si="15"/>
        <v>7.6607432740538106E-2</v>
      </c>
      <c r="R266" s="11">
        <f t="shared" si="14"/>
        <v>1.7255823986195716E-3</v>
      </c>
      <c r="S266" s="11">
        <f t="shared" si="14"/>
        <v>1.9693171201400645E-3</v>
      </c>
      <c r="T266" s="11">
        <f t="shared" si="14"/>
        <v>-5.7886638653909597E-3</v>
      </c>
      <c r="U266" s="11">
        <f t="shared" si="17"/>
        <v>1.8189665084700164E-2</v>
      </c>
    </row>
    <row r="267" spans="1:21" x14ac:dyDescent="0.2">
      <c r="A267" s="1">
        <v>44048</v>
      </c>
      <c r="B267" s="3">
        <v>53.060001</v>
      </c>
      <c r="C267" s="3">
        <v>21.166665999999999</v>
      </c>
      <c r="D267" s="3">
        <v>22.75</v>
      </c>
      <c r="E267" s="3">
        <v>51.009998000000003</v>
      </c>
      <c r="F267" s="3">
        <v>34.113379999999999</v>
      </c>
      <c r="G267" s="3">
        <v>21.93</v>
      </c>
      <c r="H267" s="3">
        <v>23.18</v>
      </c>
      <c r="I267" s="3">
        <v>47.001064</v>
      </c>
      <c r="J267" s="3">
        <v>62.189999</v>
      </c>
      <c r="L267" s="11">
        <f t="shared" si="16"/>
        <v>2.829463287963694E-2</v>
      </c>
      <c r="M267" s="11">
        <f t="shared" si="16"/>
        <v>4.4289147602368092E-3</v>
      </c>
      <c r="N267" s="11">
        <f t="shared" si="16"/>
        <v>9.1127098321342845E-2</v>
      </c>
      <c r="O267" s="11">
        <f t="shared" si="15"/>
        <v>2.2244407926075883E-2</v>
      </c>
      <c r="P267" s="11">
        <f t="shared" si="15"/>
        <v>2.6392870685985332E-3</v>
      </c>
      <c r="Q267" s="11">
        <f t="shared" si="15"/>
        <v>8.0295619718996042E-2</v>
      </c>
      <c r="R267" s="11">
        <f t="shared" si="14"/>
        <v>6.4279106323273411E-2</v>
      </c>
      <c r="S267" s="11">
        <f t="shared" si="14"/>
        <v>1.2764268658213222E-2</v>
      </c>
      <c r="T267" s="11">
        <f t="shared" si="14"/>
        <v>2.4546918870726211E-2</v>
      </c>
      <c r="U267" s="11">
        <f t="shared" si="17"/>
        <v>3.6735583836344426E-2</v>
      </c>
    </row>
    <row r="268" spans="1:21" x14ac:dyDescent="0.2">
      <c r="A268" s="1">
        <v>44047</v>
      </c>
      <c r="B268" s="3">
        <v>51.599997999999999</v>
      </c>
      <c r="C268" s="3">
        <v>21.073333999999999</v>
      </c>
      <c r="D268" s="3">
        <v>20.85</v>
      </c>
      <c r="E268" s="3">
        <v>49.900002000000001</v>
      </c>
      <c r="F268" s="3">
        <v>34.023581999999998</v>
      </c>
      <c r="G268" s="3">
        <v>20.299999</v>
      </c>
      <c r="H268" s="3">
        <v>21.780000999999999</v>
      </c>
      <c r="I268" s="3">
        <v>46.408690999999997</v>
      </c>
      <c r="J268" s="3">
        <v>60.700001</v>
      </c>
      <c r="L268" s="11">
        <f t="shared" si="16"/>
        <v>-3.370793881243677E-2</v>
      </c>
      <c r="M268" s="11">
        <f t="shared" si="16"/>
        <v>-1.0486665400427799E-2</v>
      </c>
      <c r="N268" s="11">
        <f t="shared" si="16"/>
        <v>-9.5836123821925305E-4</v>
      </c>
      <c r="O268" s="11">
        <f t="shared" si="15"/>
        <v>-7.7550008400277424E-3</v>
      </c>
      <c r="P268" s="11">
        <f t="shared" si="15"/>
        <v>-8.4327674097248017E-3</v>
      </c>
      <c r="Q268" s="11">
        <f t="shared" si="15"/>
        <v>-1.3605490767735599E-2</v>
      </c>
      <c r="R268" s="11">
        <f t="shared" si="14"/>
        <v>-9.1733949162112671E-4</v>
      </c>
      <c r="S268" s="11">
        <f t="shared" si="14"/>
        <v>1.7981715858193259E-3</v>
      </c>
      <c r="T268" s="11">
        <f t="shared" si="14"/>
        <v>7.3017426917272258E-3</v>
      </c>
      <c r="U268" s="11">
        <f t="shared" si="17"/>
        <v>-7.4181832980718364E-3</v>
      </c>
    </row>
    <row r="269" spans="1:21" x14ac:dyDescent="0.2">
      <c r="A269" s="1">
        <v>44046</v>
      </c>
      <c r="B269" s="3">
        <v>53.400002000000001</v>
      </c>
      <c r="C269" s="3">
        <v>21.296665000000001</v>
      </c>
      <c r="D269" s="3">
        <v>20.870000999999998</v>
      </c>
      <c r="E269" s="3">
        <v>50.290000999999997</v>
      </c>
      <c r="F269" s="3">
        <v>34.312935000000003</v>
      </c>
      <c r="G269" s="3">
        <v>20.58</v>
      </c>
      <c r="H269" s="3">
        <v>21.799999</v>
      </c>
      <c r="I269" s="3">
        <v>46.325389999999999</v>
      </c>
      <c r="J269" s="3">
        <v>60.259998000000003</v>
      </c>
      <c r="L269" s="11">
        <f t="shared" si="16"/>
        <v>1.2130478094407766E-2</v>
      </c>
      <c r="M269" s="11">
        <f t="shared" si="16"/>
        <v>7.0932694543906407E-3</v>
      </c>
      <c r="N269" s="11">
        <f t="shared" si="16"/>
        <v>4.8146846413095277E-3</v>
      </c>
      <c r="O269" s="11">
        <f t="shared" si="15"/>
        <v>-1.2372290352407379E-2</v>
      </c>
      <c r="P269" s="11">
        <f t="shared" si="15"/>
        <v>8.5044837430698957E-3</v>
      </c>
      <c r="Q269" s="11">
        <f t="shared" si="15"/>
        <v>-2.649002017455163E-2</v>
      </c>
      <c r="R269" s="11">
        <f t="shared" si="14"/>
        <v>-1.8018107296481681E-2</v>
      </c>
      <c r="S269" s="11">
        <f t="shared" si="14"/>
        <v>-1.6312908940709248E-2</v>
      </c>
      <c r="T269" s="11">
        <f t="shared" si="14"/>
        <v>-7.4123045200511417E-3</v>
      </c>
      <c r="U269" s="11">
        <f t="shared" si="17"/>
        <v>-5.34030170566925E-3</v>
      </c>
    </row>
    <row r="270" spans="1:21" x14ac:dyDescent="0.2">
      <c r="A270" s="1">
        <v>44043</v>
      </c>
      <c r="B270" s="3">
        <v>52.759998000000003</v>
      </c>
      <c r="C270" s="3">
        <v>21.146666</v>
      </c>
      <c r="D270" s="3">
        <v>20.77</v>
      </c>
      <c r="E270" s="3">
        <v>50.919998</v>
      </c>
      <c r="F270" s="3">
        <v>34.023581999999998</v>
      </c>
      <c r="G270" s="3">
        <v>21.139999</v>
      </c>
      <c r="H270" s="3">
        <v>22.200001</v>
      </c>
      <c r="I270" s="3">
        <v>47.093623999999998</v>
      </c>
      <c r="J270" s="3">
        <v>60.709999000000003</v>
      </c>
      <c r="L270" s="11">
        <f t="shared" si="16"/>
        <v>1.4810462980940185E-2</v>
      </c>
      <c r="M270" s="11">
        <f t="shared" si="16"/>
        <v>-1.8108698063632668E-2</v>
      </c>
      <c r="N270" s="11">
        <f t="shared" si="16"/>
        <v>-2.4424658317301187E-2</v>
      </c>
      <c r="O270" s="11">
        <f t="shared" si="15"/>
        <v>1.921535266644013E-2</v>
      </c>
      <c r="P270" s="11">
        <f t="shared" si="15"/>
        <v>-2.6270722445081999E-2</v>
      </c>
      <c r="Q270" s="11">
        <f t="shared" si="15"/>
        <v>-2.1296342592592679E-2</v>
      </c>
      <c r="R270" s="11">
        <f t="shared" si="14"/>
        <v>-2.7169106047326905E-2</v>
      </c>
      <c r="S270" s="11">
        <f t="shared" si="14"/>
        <v>5.8996057375513655E-4</v>
      </c>
      <c r="T270" s="11">
        <f t="shared" si="14"/>
        <v>-9.13988901583156E-3</v>
      </c>
      <c r="U270" s="11">
        <f t="shared" si="17"/>
        <v>-1.0199293362292394E-2</v>
      </c>
    </row>
    <row r="271" spans="1:21" x14ac:dyDescent="0.2">
      <c r="A271" s="1">
        <v>44042</v>
      </c>
      <c r="B271" s="3">
        <v>51.990001999999997</v>
      </c>
      <c r="C271" s="3">
        <v>21.536667000000001</v>
      </c>
      <c r="D271" s="3">
        <v>21.290001</v>
      </c>
      <c r="E271" s="3">
        <v>49.959999000000003</v>
      </c>
      <c r="F271" s="3">
        <v>34.941521000000002</v>
      </c>
      <c r="G271" s="3">
        <v>21.6</v>
      </c>
      <c r="H271" s="3">
        <v>22.82</v>
      </c>
      <c r="I271" s="3">
        <v>47.065857000000001</v>
      </c>
      <c r="J271" s="3">
        <v>61.27</v>
      </c>
      <c r="L271" s="11">
        <f t="shared" si="16"/>
        <v>-2.8768124832531383E-3</v>
      </c>
      <c r="M271" s="11">
        <f t="shared" si="16"/>
        <v>-3.0942287342442193E-4</v>
      </c>
      <c r="N271" s="11">
        <f t="shared" si="16"/>
        <v>1.1401520731663716E-2</v>
      </c>
      <c r="O271" s="11">
        <f t="shared" si="15"/>
        <v>0.10849786998003114</v>
      </c>
      <c r="P271" s="11">
        <f t="shared" si="15"/>
        <v>5.7438020929728387E-3</v>
      </c>
      <c r="Q271" s="11">
        <f t="shared" si="15"/>
        <v>-1.3698630136986172E-2</v>
      </c>
      <c r="R271" s="11">
        <f t="shared" si="14"/>
        <v>-1.5105740181268942E-2</v>
      </c>
      <c r="S271" s="11">
        <f t="shared" si="14"/>
        <v>-1.127747073983933E-2</v>
      </c>
      <c r="T271" s="11">
        <f t="shared" si="14"/>
        <v>-2.6687862959684418E-2</v>
      </c>
      <c r="U271" s="11">
        <f t="shared" si="17"/>
        <v>6.1874726033568084E-3</v>
      </c>
    </row>
    <row r="272" spans="1:21" x14ac:dyDescent="0.2">
      <c r="A272" s="1">
        <v>44041</v>
      </c>
      <c r="B272" s="3">
        <v>52.139999000000003</v>
      </c>
      <c r="C272" s="3">
        <v>21.543333000000001</v>
      </c>
      <c r="D272" s="3">
        <v>21.049999</v>
      </c>
      <c r="E272" s="3">
        <v>45.07</v>
      </c>
      <c r="F272" s="3">
        <v>34.741970000000002</v>
      </c>
      <c r="G272" s="3">
        <v>21.9</v>
      </c>
      <c r="H272" s="3">
        <v>23.17</v>
      </c>
      <c r="I272" s="3">
        <v>47.602694999999997</v>
      </c>
      <c r="J272" s="3">
        <v>62.950001</v>
      </c>
      <c r="L272" s="11">
        <f t="shared" si="16"/>
        <v>3.2475227722772337E-2</v>
      </c>
      <c r="M272" s="11">
        <f t="shared" si="16"/>
        <v>-9.1982673862251434E-3</v>
      </c>
      <c r="N272" s="11">
        <f t="shared" si="16"/>
        <v>-6.6069841148190169E-3</v>
      </c>
      <c r="O272" s="11">
        <f t="shared" si="15"/>
        <v>4.0098241035825639E-3</v>
      </c>
      <c r="P272" s="11">
        <f t="shared" si="15"/>
        <v>2.8802160417501026E-3</v>
      </c>
      <c r="Q272" s="11">
        <f t="shared" si="15"/>
        <v>1.4358499305233845E-2</v>
      </c>
      <c r="R272" s="11">
        <f t="shared" si="14"/>
        <v>1.6228114746847228E-2</v>
      </c>
      <c r="S272" s="11">
        <f t="shared" si="14"/>
        <v>3.7104247302766451E-2</v>
      </c>
      <c r="T272" s="11">
        <f t="shared" si="14"/>
        <v>4.3254905535299912E-2</v>
      </c>
      <c r="U272" s="11">
        <f t="shared" si="17"/>
        <v>1.4945087028578699E-2</v>
      </c>
    </row>
    <row r="273" spans="1:21" x14ac:dyDescent="0.2">
      <c r="A273" s="1">
        <v>44040</v>
      </c>
      <c r="B273" s="3">
        <v>50.5</v>
      </c>
      <c r="C273" s="3">
        <v>21.743334000000001</v>
      </c>
      <c r="D273" s="3">
        <v>21.190000999999999</v>
      </c>
      <c r="E273" s="3">
        <v>44.889999000000003</v>
      </c>
      <c r="F273" s="3">
        <v>34.642192999999999</v>
      </c>
      <c r="G273" s="3">
        <v>21.59</v>
      </c>
      <c r="H273" s="3">
        <v>22.799999</v>
      </c>
      <c r="I273" s="3">
        <v>45.899624000000003</v>
      </c>
      <c r="J273" s="3">
        <v>60.34</v>
      </c>
      <c r="L273" s="11">
        <f t="shared" si="16"/>
        <v>-5.9054922422340931E-3</v>
      </c>
      <c r="M273" s="11">
        <f t="shared" si="16"/>
        <v>-1.5098837840822461E-2</v>
      </c>
      <c r="N273" s="11">
        <f t="shared" si="16"/>
        <v>-1.1660447217329888E-2</v>
      </c>
      <c r="O273" s="11">
        <f t="shared" si="15"/>
        <v>-1.1451244219334807E-2</v>
      </c>
      <c r="P273" s="11">
        <f t="shared" si="15"/>
        <v>-9.9800496744786252E-3</v>
      </c>
      <c r="Q273" s="11">
        <f t="shared" si="15"/>
        <v>1.5522107243649965E-2</v>
      </c>
      <c r="R273" s="11">
        <f t="shared" si="14"/>
        <v>-1.724146477407482E-2</v>
      </c>
      <c r="S273" s="11">
        <f t="shared" si="14"/>
        <v>-1.1560699865549532E-2</v>
      </c>
      <c r="T273" s="11">
        <f t="shared" si="14"/>
        <v>-1.6783428658683805E-2</v>
      </c>
      <c r="U273" s="11">
        <f t="shared" si="17"/>
        <v>-9.3510619165397841E-3</v>
      </c>
    </row>
    <row r="274" spans="1:21" x14ac:dyDescent="0.2">
      <c r="A274" s="1">
        <v>44039</v>
      </c>
      <c r="B274" s="3">
        <v>50.799999</v>
      </c>
      <c r="C274" s="3">
        <v>22.076665999999999</v>
      </c>
      <c r="D274" s="3">
        <v>21.440000999999999</v>
      </c>
      <c r="E274" s="3">
        <v>45.41</v>
      </c>
      <c r="F274" s="3">
        <v>34.991408999999997</v>
      </c>
      <c r="G274" s="3">
        <v>21.26</v>
      </c>
      <c r="H274" s="3">
        <v>23.200001</v>
      </c>
      <c r="I274" s="3">
        <v>46.436461999999999</v>
      </c>
      <c r="J274" s="3">
        <v>61.369999</v>
      </c>
      <c r="L274" s="11">
        <f t="shared" si="16"/>
        <v>-9.7465888839491019E-3</v>
      </c>
      <c r="M274" s="11">
        <f t="shared" si="16"/>
        <v>1.3465937466961576E-2</v>
      </c>
      <c r="N274" s="11">
        <f t="shared" si="16"/>
        <v>-5.1043157821028633E-3</v>
      </c>
      <c r="O274" s="11">
        <f t="shared" si="15"/>
        <v>1.5883646177099555E-2</v>
      </c>
      <c r="P274" s="11">
        <f t="shared" si="15"/>
        <v>-1.2946801300680159E-2</v>
      </c>
      <c r="Q274" s="11">
        <f t="shared" si="15"/>
        <v>-5.1474494549624454E-3</v>
      </c>
      <c r="R274" s="11">
        <f t="shared" si="14"/>
        <v>2.0677562692476899E-2</v>
      </c>
      <c r="S274" s="11">
        <f t="shared" si="14"/>
        <v>-1.181797423848969E-2</v>
      </c>
      <c r="T274" s="11">
        <f t="shared" si="14"/>
        <v>4.726964325152367E-2</v>
      </c>
      <c r="U274" s="11">
        <f t="shared" si="17"/>
        <v>5.8370733253197155E-3</v>
      </c>
    </row>
    <row r="275" spans="1:21" x14ac:dyDescent="0.2">
      <c r="A275" s="1">
        <v>44036</v>
      </c>
      <c r="B275" s="3">
        <v>51.299999</v>
      </c>
      <c r="C275" s="3">
        <v>21.783332999999999</v>
      </c>
      <c r="D275" s="3">
        <v>21.549999</v>
      </c>
      <c r="E275" s="3">
        <v>44.700001</v>
      </c>
      <c r="F275" s="3">
        <v>35.450378000000001</v>
      </c>
      <c r="G275" s="3">
        <v>21.370000999999998</v>
      </c>
      <c r="H275" s="3">
        <v>22.73</v>
      </c>
      <c r="I275" s="3">
        <v>46.991810000000001</v>
      </c>
      <c r="J275" s="3">
        <v>58.599997999999999</v>
      </c>
      <c r="L275" s="11">
        <f t="shared" si="16"/>
        <v>-1.0607502819961531E-2</v>
      </c>
      <c r="M275" s="11">
        <f t="shared" si="16"/>
        <v>-2.5946428571428991E-3</v>
      </c>
      <c r="N275" s="11">
        <f t="shared" si="16"/>
        <v>8.8950370367491659E-3</v>
      </c>
      <c r="O275" s="11">
        <f t="shared" si="15"/>
        <v>-2.5719267094174644E-2</v>
      </c>
      <c r="P275" s="11">
        <f t="shared" si="15"/>
        <v>-6.4317791803179527E-3</v>
      </c>
      <c r="Q275" s="11">
        <f t="shared" si="15"/>
        <v>-2.0174141227608619E-2</v>
      </c>
      <c r="R275" s="11">
        <f t="shared" si="14"/>
        <v>7.0890562693841442E-3</v>
      </c>
      <c r="S275" s="11">
        <f t="shared" si="14"/>
        <v>9.5446308419667118E-3</v>
      </c>
      <c r="T275" s="11">
        <f t="shared" si="14"/>
        <v>-4.2480885046079359E-3</v>
      </c>
      <c r="U275" s="11">
        <f t="shared" si="17"/>
        <v>-4.9162997261903959E-3</v>
      </c>
    </row>
    <row r="276" spans="1:21" x14ac:dyDescent="0.2">
      <c r="A276" s="1">
        <v>44035</v>
      </c>
      <c r="B276" s="3">
        <v>51.849997999999999</v>
      </c>
      <c r="C276" s="3">
        <v>21.84</v>
      </c>
      <c r="D276" s="3">
        <v>21.360001</v>
      </c>
      <c r="E276" s="3">
        <v>45.880001</v>
      </c>
      <c r="F276" s="3">
        <v>35.679862999999997</v>
      </c>
      <c r="G276" s="3">
        <v>21.809999000000001</v>
      </c>
      <c r="H276" s="3">
        <v>22.57</v>
      </c>
      <c r="I276" s="3">
        <v>46.547530999999999</v>
      </c>
      <c r="J276" s="3">
        <v>58.849997999999999</v>
      </c>
      <c r="L276" s="11">
        <f t="shared" si="16"/>
        <v>-3.7854908848671598E-2</v>
      </c>
      <c r="M276" s="11">
        <f t="shared" si="16"/>
        <v>-1.7691183877325795E-2</v>
      </c>
      <c r="N276" s="11">
        <f t="shared" si="16"/>
        <v>1.0885092800998189E-2</v>
      </c>
      <c r="O276" s="11">
        <f t="shared" si="15"/>
        <v>-1.099370577697152E-2</v>
      </c>
      <c r="P276" s="11">
        <f t="shared" si="15"/>
        <v>-2.295077720483928E-2</v>
      </c>
      <c r="Q276" s="11">
        <f t="shared" si="15"/>
        <v>-1.6238204781235922E-2</v>
      </c>
      <c r="R276" s="11">
        <f t="shared" si="14"/>
        <v>-2.0824252530336311E-2</v>
      </c>
      <c r="S276" s="11">
        <f t="shared" si="14"/>
        <v>-1.7389621986308137E-2</v>
      </c>
      <c r="T276" s="11">
        <f t="shared" si="14"/>
        <v>-6.5834569013012122E-3</v>
      </c>
      <c r="U276" s="11">
        <f t="shared" si="17"/>
        <v>-1.5515668789554623E-2</v>
      </c>
    </row>
    <row r="277" spans="1:21" x14ac:dyDescent="0.2">
      <c r="A277" s="1">
        <v>44034</v>
      </c>
      <c r="B277" s="3">
        <v>53.889999000000003</v>
      </c>
      <c r="C277" s="3">
        <v>22.233333999999999</v>
      </c>
      <c r="D277" s="3">
        <v>21.129999000000002</v>
      </c>
      <c r="E277" s="3">
        <v>46.389999000000003</v>
      </c>
      <c r="F277" s="3">
        <v>36.517978999999997</v>
      </c>
      <c r="G277" s="3">
        <v>22.17</v>
      </c>
      <c r="H277" s="3">
        <v>23.049999</v>
      </c>
      <c r="I277" s="3">
        <v>47.371299999999998</v>
      </c>
      <c r="J277" s="3">
        <v>59.240001999999997</v>
      </c>
      <c r="L277" s="11">
        <f t="shared" si="16"/>
        <v>-1.5887491449506626E-2</v>
      </c>
      <c r="M277" s="11">
        <f t="shared" si="16"/>
        <v>8.6194315532954462E-3</v>
      </c>
      <c r="N277" s="11">
        <f t="shared" si="16"/>
        <v>6.6697951405432637E-3</v>
      </c>
      <c r="O277" s="11">
        <f t="shared" si="15"/>
        <v>-1.0663254652660581E-2</v>
      </c>
      <c r="P277" s="11">
        <f t="shared" si="15"/>
        <v>2.6936008756548127E-2</v>
      </c>
      <c r="Q277" s="11">
        <f t="shared" si="15"/>
        <v>-3.7342638413259167E-2</v>
      </c>
      <c r="R277" s="11">
        <f t="shared" si="14"/>
        <v>-1.3692853500519696E-2</v>
      </c>
      <c r="S277" s="11">
        <f t="shared" si="14"/>
        <v>3.3326802071700461E-3</v>
      </c>
      <c r="T277" s="11">
        <f t="shared" si="14"/>
        <v>-7.705175750332121E-3</v>
      </c>
      <c r="U277" s="11">
        <f t="shared" si="17"/>
        <v>-4.4148331231912575E-3</v>
      </c>
    </row>
    <row r="278" spans="1:21" x14ac:dyDescent="0.2">
      <c r="A278" s="1">
        <v>44033</v>
      </c>
      <c r="B278" s="3">
        <v>54.759998000000003</v>
      </c>
      <c r="C278" s="3">
        <v>22.043333000000001</v>
      </c>
      <c r="D278" s="3">
        <v>20.99</v>
      </c>
      <c r="E278" s="3">
        <v>46.889999000000003</v>
      </c>
      <c r="F278" s="3">
        <v>35.560130999999998</v>
      </c>
      <c r="G278" s="3">
        <v>23.030000999999999</v>
      </c>
      <c r="H278" s="3">
        <v>23.370000999999998</v>
      </c>
      <c r="I278" s="3">
        <v>47.213951000000002</v>
      </c>
      <c r="J278" s="3">
        <v>59.700001</v>
      </c>
      <c r="L278" s="11">
        <f t="shared" si="16"/>
        <v>-9.7649368854418363E-3</v>
      </c>
      <c r="M278" s="11">
        <f t="shared" si="16"/>
        <v>-1.8842672020969668E-2</v>
      </c>
      <c r="N278" s="11">
        <f t="shared" si="16"/>
        <v>-1.3164080865068225E-2</v>
      </c>
      <c r="O278" s="11">
        <f t="shared" si="15"/>
        <v>1.471542987914801E-2</v>
      </c>
      <c r="P278" s="11">
        <f t="shared" si="15"/>
        <v>8.7743470876769161E-3</v>
      </c>
      <c r="Q278" s="11">
        <f t="shared" si="15"/>
        <v>-6.8995253600894688E-3</v>
      </c>
      <c r="R278" s="11">
        <f t="shared" si="14"/>
        <v>2.7704529463500441E-2</v>
      </c>
      <c r="S278" s="11">
        <f t="shared" si="14"/>
        <v>-7.3943875908821571E-3</v>
      </c>
      <c r="T278" s="11">
        <f t="shared" si="14"/>
        <v>-1.8092072665988026E-2</v>
      </c>
      <c r="U278" s="11">
        <f t="shared" si="17"/>
        <v>-2.5514854397904459E-3</v>
      </c>
    </row>
    <row r="279" spans="1:21" x14ac:dyDescent="0.2">
      <c r="A279" s="1">
        <v>44032</v>
      </c>
      <c r="B279" s="3">
        <v>55.299999</v>
      </c>
      <c r="C279" s="3">
        <v>22.466664999999999</v>
      </c>
      <c r="D279" s="3">
        <v>21.27</v>
      </c>
      <c r="E279" s="3">
        <v>46.209999000000003</v>
      </c>
      <c r="F279" s="3">
        <v>35.250827999999998</v>
      </c>
      <c r="G279" s="3">
        <v>23.190000999999999</v>
      </c>
      <c r="H279" s="3">
        <v>22.74</v>
      </c>
      <c r="I279" s="3">
        <v>47.565669999999997</v>
      </c>
      <c r="J279" s="3">
        <v>60.799999</v>
      </c>
      <c r="L279" s="11">
        <f t="shared" si="16"/>
        <v>5.2331114221334241E-2</v>
      </c>
      <c r="M279" s="11">
        <f t="shared" si="16"/>
        <v>5.4938179287695899E-2</v>
      </c>
      <c r="N279" s="11">
        <f t="shared" si="16"/>
        <v>1.5759263812833667E-2</v>
      </c>
      <c r="O279" s="11">
        <f t="shared" si="15"/>
        <v>5.6582806167948304E-3</v>
      </c>
      <c r="P279" s="11">
        <f t="shared" si="15"/>
        <v>-1.9772842908091673E-3</v>
      </c>
      <c r="Q279" s="11">
        <f t="shared" si="15"/>
        <v>1.8445366710584065E-2</v>
      </c>
      <c r="R279" s="11">
        <f t="shared" si="14"/>
        <v>0</v>
      </c>
      <c r="S279" s="11">
        <f t="shared" si="14"/>
        <v>4.8347616726071803E-2</v>
      </c>
      <c r="T279" s="11">
        <f t="shared" si="14"/>
        <v>-3.9318806695300829E-3</v>
      </c>
      <c r="U279" s="11">
        <f t="shared" si="17"/>
        <v>2.106340626833058E-2</v>
      </c>
    </row>
    <row r="280" spans="1:21" x14ac:dyDescent="0.2">
      <c r="A280" s="1">
        <v>44029</v>
      </c>
      <c r="B280" s="3">
        <v>52.549999</v>
      </c>
      <c r="C280" s="3">
        <v>21.296665000000001</v>
      </c>
      <c r="D280" s="3">
        <v>20.940000999999999</v>
      </c>
      <c r="E280" s="3">
        <v>45.950001</v>
      </c>
      <c r="F280" s="3">
        <v>35.320667</v>
      </c>
      <c r="G280" s="3">
        <v>22.77</v>
      </c>
      <c r="H280" s="3">
        <v>22.74</v>
      </c>
      <c r="I280" s="3">
        <v>45.372039999999998</v>
      </c>
      <c r="J280" s="3">
        <v>61.040000999999997</v>
      </c>
      <c r="L280" s="11">
        <f t="shared" si="16"/>
        <v>-1.7757028037383184E-2</v>
      </c>
      <c r="M280" s="11">
        <f t="shared" si="16"/>
        <v>3.886170731707321E-2</v>
      </c>
      <c r="N280" s="11">
        <f t="shared" si="16"/>
        <v>1.2572582205028967E-2</v>
      </c>
      <c r="O280" s="11">
        <f t="shared" si="15"/>
        <v>3.0500134559318159E-2</v>
      </c>
      <c r="P280" s="11">
        <f t="shared" si="15"/>
        <v>1.9585191965185385E-2</v>
      </c>
      <c r="Q280" s="11">
        <f t="shared" si="15"/>
        <v>1.0652418524082665E-2</v>
      </c>
      <c r="R280" s="11">
        <f t="shared" si="14"/>
        <v>8.8032574297195376E-4</v>
      </c>
      <c r="S280" s="11">
        <f t="shared" si="14"/>
        <v>5.2382958044744056E-2</v>
      </c>
      <c r="T280" s="11">
        <f t="shared" si="14"/>
        <v>1.5302761398914805E-2</v>
      </c>
      <c r="U280" s="11">
        <f t="shared" si="17"/>
        <v>1.8109005746659558E-2</v>
      </c>
    </row>
    <row r="281" spans="1:21" x14ac:dyDescent="0.2">
      <c r="A281" s="1">
        <v>44028</v>
      </c>
      <c r="B281" s="3">
        <v>53.5</v>
      </c>
      <c r="C281" s="3">
        <v>20.5</v>
      </c>
      <c r="D281" s="3">
        <v>20.68</v>
      </c>
      <c r="E281" s="3">
        <v>44.59</v>
      </c>
      <c r="F281" s="3">
        <v>34.642192999999999</v>
      </c>
      <c r="G281" s="3">
        <v>22.530000999999999</v>
      </c>
      <c r="H281" s="3">
        <v>22.719999000000001</v>
      </c>
      <c r="I281" s="3">
        <v>43.113621000000002</v>
      </c>
      <c r="J281" s="3">
        <v>60.119999</v>
      </c>
      <c r="L281" s="11">
        <f t="shared" si="16"/>
        <v>1.019639369706175E-2</v>
      </c>
      <c r="M281" s="11">
        <f t="shared" si="16"/>
        <v>-6.3014544983740197E-3</v>
      </c>
      <c r="N281" s="11">
        <f t="shared" si="16"/>
        <v>-1.3358731553374602E-2</v>
      </c>
      <c r="O281" s="11">
        <f t="shared" si="15"/>
        <v>-3.3527490678251096E-3</v>
      </c>
      <c r="P281" s="11">
        <f t="shared" si="15"/>
        <v>-1.6430616440343687E-2</v>
      </c>
      <c r="Q281" s="11">
        <f t="shared" si="15"/>
        <v>-9.6702857142857753E-3</v>
      </c>
      <c r="R281" s="11">
        <f t="shared" si="14"/>
        <v>-2.6563881748071914E-2</v>
      </c>
      <c r="S281" s="11">
        <f t="shared" si="14"/>
        <v>-7.8806915072998328E-3</v>
      </c>
      <c r="T281" s="11">
        <f t="shared" si="14"/>
        <v>-2.7027058957322183E-2</v>
      </c>
      <c r="U281" s="11">
        <f t="shared" si="17"/>
        <v>-1.1154341754426153E-2</v>
      </c>
    </row>
    <row r="282" spans="1:21" x14ac:dyDescent="0.2">
      <c r="A282" s="1">
        <v>44027</v>
      </c>
      <c r="B282" s="3">
        <v>52.959999000000003</v>
      </c>
      <c r="C282" s="3">
        <v>20.629999000000002</v>
      </c>
      <c r="D282" s="3">
        <v>20.959999</v>
      </c>
      <c r="E282" s="3">
        <v>44.740001999999997</v>
      </c>
      <c r="F282" s="3">
        <v>35.220894000000001</v>
      </c>
      <c r="G282" s="3">
        <v>22.75</v>
      </c>
      <c r="H282" s="3">
        <v>23.34</v>
      </c>
      <c r="I282" s="3">
        <v>43.456085000000002</v>
      </c>
      <c r="J282" s="3">
        <v>61.790000999999997</v>
      </c>
      <c r="L282" s="11">
        <f t="shared" si="16"/>
        <v>8.7618857142857786E-3</v>
      </c>
      <c r="M282" s="11">
        <f t="shared" si="16"/>
        <v>1.2266928963048524E-2</v>
      </c>
      <c r="N282" s="11">
        <f t="shared" si="16"/>
        <v>2.7450931372549083E-2</v>
      </c>
      <c r="O282" s="11">
        <f t="shared" si="15"/>
        <v>1.9134395483626544E-2</v>
      </c>
      <c r="P282" s="11">
        <f t="shared" si="15"/>
        <v>1.8759037207479418E-2</v>
      </c>
      <c r="Q282" s="11">
        <f t="shared" si="15"/>
        <v>-5.2470920311721231E-3</v>
      </c>
      <c r="R282" s="11">
        <f t="shared" si="14"/>
        <v>1.9213973799126694E-2</v>
      </c>
      <c r="S282" s="11">
        <f t="shared" si="14"/>
        <v>-1.3862672794097889E-2</v>
      </c>
      <c r="T282" s="11">
        <f t="shared" si="14"/>
        <v>1.4586709650133767E-3</v>
      </c>
      <c r="U282" s="11">
        <f t="shared" si="17"/>
        <v>9.7706731866510424E-3</v>
      </c>
    </row>
    <row r="283" spans="1:21" x14ac:dyDescent="0.2">
      <c r="A283" s="1">
        <v>44026</v>
      </c>
      <c r="B283" s="3">
        <v>52.5</v>
      </c>
      <c r="C283" s="3">
        <v>20.379999000000002</v>
      </c>
      <c r="D283" s="3">
        <v>20.399999999999999</v>
      </c>
      <c r="E283" s="3">
        <v>43.900002000000001</v>
      </c>
      <c r="F283" s="3">
        <v>34.57235</v>
      </c>
      <c r="G283" s="3">
        <v>22.870000999999998</v>
      </c>
      <c r="H283" s="3">
        <v>22.9</v>
      </c>
      <c r="I283" s="3">
        <v>44.066971000000002</v>
      </c>
      <c r="J283" s="3">
        <v>61.700001</v>
      </c>
      <c r="L283" s="11">
        <f t="shared" si="16"/>
        <v>-8.8729656622057347E-3</v>
      </c>
      <c r="M283" s="11">
        <f t="shared" si="16"/>
        <v>2.0871564883479271E-2</v>
      </c>
      <c r="N283" s="11">
        <f t="shared" si="16"/>
        <v>1.8981018981018932E-2</v>
      </c>
      <c r="O283" s="11">
        <f t="shared" si="15"/>
        <v>4.2755441461066135E-2</v>
      </c>
      <c r="P283" s="11">
        <f t="shared" si="15"/>
        <v>1.4641273265057216E-2</v>
      </c>
      <c r="Q283" s="11">
        <f t="shared" si="15"/>
        <v>-2.1814572425830382E-3</v>
      </c>
      <c r="R283" s="11">
        <f t="shared" si="14"/>
        <v>3.3393501805054078E-2</v>
      </c>
      <c r="S283" s="11">
        <f t="shared" si="14"/>
        <v>1.3410012526029283E-2</v>
      </c>
      <c r="T283" s="11">
        <f t="shared" si="14"/>
        <v>7.0251497996478812E-2</v>
      </c>
      <c r="U283" s="11">
        <f t="shared" si="17"/>
        <v>2.2583320890377217E-2</v>
      </c>
    </row>
    <row r="284" spans="1:21" x14ac:dyDescent="0.2">
      <c r="A284" s="1">
        <v>44025</v>
      </c>
      <c r="B284" s="3">
        <v>52.970001000000003</v>
      </c>
      <c r="C284" s="3">
        <v>19.963332999999999</v>
      </c>
      <c r="D284" s="3">
        <v>20.02</v>
      </c>
      <c r="E284" s="3">
        <v>42.099997999999999</v>
      </c>
      <c r="F284" s="3">
        <v>34.073470999999998</v>
      </c>
      <c r="G284" s="3">
        <v>22.92</v>
      </c>
      <c r="H284" s="3">
        <v>22.16</v>
      </c>
      <c r="I284" s="3">
        <v>43.483851999999999</v>
      </c>
      <c r="J284" s="3">
        <v>57.650002000000001</v>
      </c>
      <c r="L284" s="11">
        <f t="shared" si="16"/>
        <v>1.2810745942844162E-2</v>
      </c>
      <c r="M284" s="11">
        <f t="shared" si="16"/>
        <v>-1.0008840366677854E-3</v>
      </c>
      <c r="N284" s="11">
        <f t="shared" si="16"/>
        <v>-2.102694273706885E-2</v>
      </c>
      <c r="O284" s="11">
        <f t="shared" si="15"/>
        <v>-3.3073104431026477E-2</v>
      </c>
      <c r="P284" s="11">
        <f t="shared" si="15"/>
        <v>-2.8725807524239439E-2</v>
      </c>
      <c r="Q284" s="11">
        <f t="shared" si="15"/>
        <v>-2.0512820512820381E-2</v>
      </c>
      <c r="R284" s="11">
        <f t="shared" si="14"/>
        <v>-1.5548645046645998E-2</v>
      </c>
      <c r="S284" s="11">
        <f t="shared" si="14"/>
        <v>-1.4267799033900254E-2</v>
      </c>
      <c r="T284" s="11">
        <f t="shared" si="14"/>
        <v>1.1936124066418696E-2</v>
      </c>
      <c r="U284" s="11">
        <f t="shared" si="17"/>
        <v>-1.2156570368122925E-2</v>
      </c>
    </row>
    <row r="285" spans="1:21" x14ac:dyDescent="0.2">
      <c r="A285" s="1">
        <v>44022</v>
      </c>
      <c r="B285" s="3">
        <v>52.299999</v>
      </c>
      <c r="C285" s="3">
        <v>19.983333999999999</v>
      </c>
      <c r="D285" s="3">
        <v>20.450001</v>
      </c>
      <c r="E285" s="3">
        <v>43.540000999999997</v>
      </c>
      <c r="F285" s="3">
        <v>35.081206999999999</v>
      </c>
      <c r="G285" s="3">
        <v>23.4</v>
      </c>
      <c r="H285" s="3">
        <v>22.51</v>
      </c>
      <c r="I285" s="3">
        <v>44.113250999999998</v>
      </c>
      <c r="J285" s="3">
        <v>56.970001000000003</v>
      </c>
      <c r="L285" s="11">
        <f t="shared" si="16"/>
        <v>3.8387909343105984E-3</v>
      </c>
      <c r="M285" s="11">
        <f t="shared" si="16"/>
        <v>1.7999746204775544E-2</v>
      </c>
      <c r="N285" s="11">
        <f t="shared" si="16"/>
        <v>-9.2053299033589692E-3</v>
      </c>
      <c r="O285" s="11">
        <f t="shared" si="15"/>
        <v>4.8465033534961822E-3</v>
      </c>
      <c r="P285" s="11">
        <f t="shared" si="15"/>
        <v>-5.9372520330193412E-3</v>
      </c>
      <c r="Q285" s="11">
        <f t="shared" si="15"/>
        <v>1.2836542026677753E-3</v>
      </c>
      <c r="R285" s="11">
        <f t="shared" si="14"/>
        <v>1.6711879706950393E-2</v>
      </c>
      <c r="S285" s="11">
        <f t="shared" si="14"/>
        <v>1.4042592856733208E-2</v>
      </c>
      <c r="T285" s="11">
        <f t="shared" si="14"/>
        <v>9.7483697181273178E-3</v>
      </c>
      <c r="U285" s="11">
        <f t="shared" si="17"/>
        <v>5.9254394489647449E-3</v>
      </c>
    </row>
    <row r="286" spans="1:21" x14ac:dyDescent="0.2">
      <c r="A286" s="1">
        <v>44021</v>
      </c>
      <c r="B286" s="3">
        <v>52.099997999999999</v>
      </c>
      <c r="C286" s="3">
        <v>19.629999000000002</v>
      </c>
      <c r="D286" s="3">
        <v>20.639999</v>
      </c>
      <c r="E286" s="3">
        <v>43.330002</v>
      </c>
      <c r="F286" s="3">
        <v>35.290737</v>
      </c>
      <c r="G286" s="3">
        <v>23.370000999999998</v>
      </c>
      <c r="H286" s="3">
        <v>22.139999</v>
      </c>
      <c r="I286" s="3">
        <v>43.502364999999998</v>
      </c>
      <c r="J286" s="3">
        <v>56.419998</v>
      </c>
      <c r="L286" s="11">
        <f t="shared" si="16"/>
        <v>3.2735990756787917E-3</v>
      </c>
      <c r="M286" s="11">
        <f t="shared" si="16"/>
        <v>-2.9018930669326395E-2</v>
      </c>
      <c r="N286" s="11">
        <f t="shared" si="16"/>
        <v>-1.7142904761904783E-2</v>
      </c>
      <c r="O286" s="11">
        <f t="shared" si="15"/>
        <v>-2.4538407228203822E-2</v>
      </c>
      <c r="P286" s="11">
        <f t="shared" si="15"/>
        <v>0.10118310276838029</v>
      </c>
      <c r="Q286" s="11">
        <f t="shared" si="15"/>
        <v>2.2757155361050198E-2</v>
      </c>
      <c r="R286" s="11">
        <f t="shared" si="14"/>
        <v>-2.2516600441501063E-2</v>
      </c>
      <c r="S286" s="11">
        <f t="shared" si="14"/>
        <v>-6.9723415515335506E-3</v>
      </c>
      <c r="T286" s="11">
        <f t="shared" si="14"/>
        <v>-1.5701360781577123E-2</v>
      </c>
      <c r="U286" s="11">
        <f t="shared" si="17"/>
        <v>1.258145752340281E-3</v>
      </c>
    </row>
    <row r="287" spans="1:21" x14ac:dyDescent="0.2">
      <c r="A287" s="1">
        <v>44020</v>
      </c>
      <c r="B287" s="3">
        <v>51.93</v>
      </c>
      <c r="C287" s="3">
        <v>20.216664999999999</v>
      </c>
      <c r="D287" s="3">
        <v>21</v>
      </c>
      <c r="E287" s="3">
        <v>44.419998</v>
      </c>
      <c r="F287" s="3">
        <v>32.048018999999996</v>
      </c>
      <c r="G287" s="3">
        <v>22.85</v>
      </c>
      <c r="H287" s="3">
        <v>22.65</v>
      </c>
      <c r="I287" s="3">
        <v>43.807808000000001</v>
      </c>
      <c r="J287" s="3">
        <v>57.32</v>
      </c>
      <c r="L287" s="11">
        <f t="shared" si="16"/>
        <v>2.0837448807498497E-2</v>
      </c>
      <c r="M287" s="11">
        <f t="shared" si="16"/>
        <v>6.08710915577306E-2</v>
      </c>
      <c r="N287" s="11">
        <f t="shared" si="16"/>
        <v>1.9912578921806711E-2</v>
      </c>
      <c r="O287" s="11">
        <f t="shared" si="15"/>
        <v>9.3160649541496592E-3</v>
      </c>
      <c r="P287" s="11">
        <f t="shared" si="15"/>
        <v>1.1653548765409586E-2</v>
      </c>
      <c r="Q287" s="11">
        <f t="shared" si="15"/>
        <v>2.0089285714285844E-2</v>
      </c>
      <c r="R287" s="11">
        <f t="shared" si="14"/>
        <v>1.8893387314439864E-2</v>
      </c>
      <c r="S287" s="11">
        <f t="shared" si="14"/>
        <v>-3.9983249237347069E-3</v>
      </c>
      <c r="T287" s="11">
        <f t="shared" si="14"/>
        <v>1.6852953997746219E-2</v>
      </c>
      <c r="U287" s="11">
        <f t="shared" si="17"/>
        <v>1.9380892789925813E-2</v>
      </c>
    </row>
    <row r="288" spans="1:21" x14ac:dyDescent="0.2">
      <c r="A288" s="1">
        <v>44019</v>
      </c>
      <c r="B288" s="3">
        <v>50.869999</v>
      </c>
      <c r="C288" s="3">
        <v>19.056664999999999</v>
      </c>
      <c r="D288" s="3">
        <v>20.59</v>
      </c>
      <c r="E288" s="3">
        <v>44.009998000000003</v>
      </c>
      <c r="F288" s="3">
        <v>31.678847999999999</v>
      </c>
      <c r="G288" s="3">
        <v>22.4</v>
      </c>
      <c r="H288" s="3">
        <v>22.23</v>
      </c>
      <c r="I288" s="3">
        <v>43.983668999999999</v>
      </c>
      <c r="J288" s="3">
        <v>56.369999</v>
      </c>
      <c r="L288" s="11">
        <f t="shared" si="16"/>
        <v>1.7399979999999999E-2</v>
      </c>
      <c r="M288" s="11">
        <f t="shared" si="16"/>
        <v>1.1500265392781263E-2</v>
      </c>
      <c r="N288" s="11">
        <f t="shared" si="16"/>
        <v>-2.4224322879085255E-3</v>
      </c>
      <c r="O288" s="11">
        <f t="shared" si="15"/>
        <v>1.7572208092485619E-2</v>
      </c>
      <c r="P288" s="11">
        <f t="shared" si="15"/>
        <v>-2.6073615340980683E-2</v>
      </c>
      <c r="Q288" s="11">
        <f t="shared" si="15"/>
        <v>-1.7543816558939371E-2</v>
      </c>
      <c r="R288" s="11">
        <f t="shared" si="14"/>
        <v>-1.2438916037316798E-2</v>
      </c>
      <c r="S288" s="11">
        <f t="shared" si="14"/>
        <v>-1.123592348278858E-2</v>
      </c>
      <c r="T288" s="11">
        <f t="shared" si="14"/>
        <v>-3.5354604914265568E-3</v>
      </c>
      <c r="U288" s="11">
        <f t="shared" si="17"/>
        <v>-2.9753011904548477E-3</v>
      </c>
    </row>
    <row r="289" spans="1:21" x14ac:dyDescent="0.2">
      <c r="A289" s="1">
        <v>44018</v>
      </c>
      <c r="B289" s="3">
        <v>50</v>
      </c>
      <c r="C289" s="3">
        <v>18.84</v>
      </c>
      <c r="D289" s="3">
        <v>20.639999</v>
      </c>
      <c r="E289" s="3">
        <v>43.25</v>
      </c>
      <c r="F289" s="3">
        <v>32.526943000000003</v>
      </c>
      <c r="G289" s="3">
        <v>22.799999</v>
      </c>
      <c r="H289" s="3">
        <v>22.51</v>
      </c>
      <c r="I289" s="3">
        <v>44.483482000000002</v>
      </c>
      <c r="J289" s="3">
        <v>56.57</v>
      </c>
      <c r="L289" s="11">
        <f t="shared" si="16"/>
        <v>2.564102564102564E-2</v>
      </c>
      <c r="M289" s="11">
        <f t="shared" si="16"/>
        <v>3.540531224109058E-4</v>
      </c>
      <c r="N289" s="11">
        <f t="shared" si="16"/>
        <v>-1.1020699040694772E-2</v>
      </c>
      <c r="O289" s="11">
        <f t="shared" si="15"/>
        <v>1.2880538340034223E-2</v>
      </c>
      <c r="P289" s="11">
        <f t="shared" si="15"/>
        <v>5.1612822295226825E-2</v>
      </c>
      <c r="Q289" s="11">
        <f t="shared" si="15"/>
        <v>6.7915644028102962E-2</v>
      </c>
      <c r="R289" s="11">
        <f t="shared" si="15"/>
        <v>2.4112829845313974E-2</v>
      </c>
      <c r="S289" s="11">
        <f t="shared" si="15"/>
        <v>-1.0296559843870491E-2</v>
      </c>
      <c r="T289" s="11">
        <f t="shared" si="15"/>
        <v>2.3706153590523062E-2</v>
      </c>
      <c r="U289" s="11">
        <f t="shared" si="17"/>
        <v>2.054508977534137E-2</v>
      </c>
    </row>
    <row r="290" spans="1:21" x14ac:dyDescent="0.2">
      <c r="A290" s="1">
        <v>44015</v>
      </c>
      <c r="B290" s="3">
        <v>48.75</v>
      </c>
      <c r="C290" s="3">
        <v>18.833331999999999</v>
      </c>
      <c r="D290" s="3">
        <v>20.870000999999998</v>
      </c>
      <c r="E290" s="3">
        <v>42.700001</v>
      </c>
      <c r="F290" s="3">
        <v>30.930530999999998</v>
      </c>
      <c r="G290" s="3">
        <v>21.35</v>
      </c>
      <c r="H290" s="3">
        <v>21.98</v>
      </c>
      <c r="I290" s="3">
        <v>44.946274000000003</v>
      </c>
      <c r="J290" s="3">
        <v>55.259998000000003</v>
      </c>
      <c r="L290" s="11">
        <f t="shared" si="16"/>
        <v>8.6902127585262601E-3</v>
      </c>
      <c r="M290" s="11">
        <f t="shared" si="16"/>
        <v>5.3379713402856837E-3</v>
      </c>
      <c r="N290" s="11">
        <f t="shared" si="16"/>
        <v>7.2394791138743336E-3</v>
      </c>
      <c r="O290" s="11">
        <f t="shared" si="15"/>
        <v>7.313092883064168E-3</v>
      </c>
      <c r="P290" s="11">
        <f t="shared" si="15"/>
        <v>-6.41019854718663E-3</v>
      </c>
      <c r="Q290" s="11">
        <f t="shared" si="15"/>
        <v>2.891566265060248E-2</v>
      </c>
      <c r="R290" s="11">
        <f t="shared" si="15"/>
        <v>-3.6264280882334046E-3</v>
      </c>
      <c r="S290" s="11">
        <f t="shared" si="15"/>
        <v>5.1082297609895619E-2</v>
      </c>
      <c r="T290" s="11">
        <f t="shared" si="15"/>
        <v>-4.1449629070114992E-3</v>
      </c>
      <c r="U290" s="11">
        <f t="shared" si="17"/>
        <v>1.0488569645979669E-2</v>
      </c>
    </row>
    <row r="291" spans="1:21" x14ac:dyDescent="0.2">
      <c r="A291" s="1">
        <v>44014</v>
      </c>
      <c r="B291" s="3">
        <v>48.330002</v>
      </c>
      <c r="C291" s="3">
        <v>18.733333999999999</v>
      </c>
      <c r="D291" s="3">
        <v>20.719999000000001</v>
      </c>
      <c r="E291" s="3">
        <v>42.389999000000003</v>
      </c>
      <c r="F291" s="3">
        <v>31.130081000000001</v>
      </c>
      <c r="G291" s="3">
        <v>20.75</v>
      </c>
      <c r="H291" s="3">
        <v>22.059999000000001</v>
      </c>
      <c r="I291" s="3">
        <v>42.761898000000002</v>
      </c>
      <c r="J291" s="3">
        <v>55.490001999999997</v>
      </c>
      <c r="L291" s="11">
        <f t="shared" si="16"/>
        <v>7.0848090400163653E-3</v>
      </c>
      <c r="M291" s="11">
        <f t="shared" si="16"/>
        <v>3.0341603795880048E-3</v>
      </c>
      <c r="N291" s="11">
        <f t="shared" si="16"/>
        <v>-3.8461540310650156E-3</v>
      </c>
      <c r="O291" s="11">
        <f t="shared" si="15"/>
        <v>9.4453369277617747E-4</v>
      </c>
      <c r="P291" s="11">
        <f t="shared" si="15"/>
        <v>-4.2651178301740741E-2</v>
      </c>
      <c r="Q291" s="11">
        <f t="shared" si="15"/>
        <v>-9.5465866564875251E-3</v>
      </c>
      <c r="R291" s="11">
        <f t="shared" si="15"/>
        <v>1.6121603690539159E-2</v>
      </c>
      <c r="S291" s="11">
        <f t="shared" si="15"/>
        <v>-4.3104273269915444E-3</v>
      </c>
      <c r="T291" s="11">
        <f t="shared" si="15"/>
        <v>1.7418426523314517E-2</v>
      </c>
      <c r="U291" s="11">
        <f t="shared" si="17"/>
        <v>-1.7500903322278443E-3</v>
      </c>
    </row>
    <row r="292" spans="1:21" x14ac:dyDescent="0.2">
      <c r="A292" s="1">
        <v>44013</v>
      </c>
      <c r="B292" s="3">
        <v>47.990001999999997</v>
      </c>
      <c r="C292" s="3">
        <v>18.676666000000001</v>
      </c>
      <c r="D292" s="3">
        <v>20.799999</v>
      </c>
      <c r="E292" s="3">
        <v>42.349997999999999</v>
      </c>
      <c r="F292" s="3">
        <v>32.516967999999999</v>
      </c>
      <c r="G292" s="3">
        <v>20.950001</v>
      </c>
      <c r="H292" s="3">
        <v>21.709999</v>
      </c>
      <c r="I292" s="3">
        <v>42.947018</v>
      </c>
      <c r="J292" s="3">
        <v>54.540000999999997</v>
      </c>
      <c r="L292" s="11">
        <f t="shared" si="16"/>
        <v>1.8789143265588236E-3</v>
      </c>
      <c r="M292" s="11">
        <f t="shared" si="16"/>
        <v>1.7062969995697407E-2</v>
      </c>
      <c r="N292" s="11">
        <f t="shared" si="16"/>
        <v>5.8026595744680833E-3</v>
      </c>
      <c r="O292" s="11">
        <f t="shared" si="15"/>
        <v>3.5199168907357685E-2</v>
      </c>
      <c r="P292" s="11">
        <f t="shared" si="15"/>
        <v>1.2740952120698755E-2</v>
      </c>
      <c r="Q292" s="11">
        <f t="shared" si="15"/>
        <v>2.1951268292682943E-2</v>
      </c>
      <c r="R292" s="11">
        <f t="shared" si="15"/>
        <v>7.4245943120461464E-3</v>
      </c>
      <c r="S292" s="11">
        <f t="shared" si="15"/>
        <v>2.950969019267239E-2</v>
      </c>
      <c r="T292" s="11">
        <f t="shared" si="15"/>
        <v>-2.4678058822534345E-2</v>
      </c>
      <c r="U292" s="11">
        <f t="shared" si="17"/>
        <v>1.1876906544405319E-2</v>
      </c>
    </row>
    <row r="293" spans="1:21" x14ac:dyDescent="0.2">
      <c r="A293" s="1">
        <v>44012</v>
      </c>
      <c r="B293" s="3">
        <v>47.900002000000001</v>
      </c>
      <c r="C293" s="3">
        <v>18.363333000000001</v>
      </c>
      <c r="D293" s="3">
        <v>20.68</v>
      </c>
      <c r="E293" s="3">
        <v>40.909999999999997</v>
      </c>
      <c r="F293" s="3">
        <v>32.107883000000001</v>
      </c>
      <c r="G293" s="3">
        <v>20.5</v>
      </c>
      <c r="H293" s="3">
        <v>21.549999</v>
      </c>
      <c r="I293" s="3">
        <v>41.715992</v>
      </c>
      <c r="J293" s="3">
        <v>55.919998</v>
      </c>
      <c r="L293" s="11">
        <f t="shared" si="16"/>
        <v>9.483687892862221E-3</v>
      </c>
      <c r="M293" s="11">
        <f t="shared" si="16"/>
        <v>2.3653384279476259E-3</v>
      </c>
      <c r="N293" s="11">
        <f t="shared" si="16"/>
        <v>2.1739130434782674E-2</v>
      </c>
      <c r="O293" s="11">
        <f t="shared" si="15"/>
        <v>-7.2797623702928688E-3</v>
      </c>
      <c r="P293" s="11">
        <f t="shared" si="15"/>
        <v>5.6249177649325835E-3</v>
      </c>
      <c r="Q293" s="11">
        <f t="shared" si="15"/>
        <v>-1.0617712867650302E-2</v>
      </c>
      <c r="R293" s="11">
        <f t="shared" si="15"/>
        <v>-5.0785318559557003E-3</v>
      </c>
      <c r="S293" s="11">
        <f t="shared" si="15"/>
        <v>-1.9151196475414245E-2</v>
      </c>
      <c r="T293" s="11">
        <f t="shared" si="15"/>
        <v>5.2129605390443838E-3</v>
      </c>
      <c r="U293" s="11">
        <f t="shared" si="17"/>
        <v>2.5542572113959714E-4</v>
      </c>
    </row>
    <row r="294" spans="1:21" x14ac:dyDescent="0.2">
      <c r="A294" s="1">
        <v>44011</v>
      </c>
      <c r="B294" s="3">
        <v>47.450001</v>
      </c>
      <c r="C294" s="3">
        <v>18.32</v>
      </c>
      <c r="D294" s="3">
        <v>20.239999999999998</v>
      </c>
      <c r="E294" s="3">
        <v>41.209999000000003</v>
      </c>
      <c r="F294" s="3">
        <v>31.928288999999999</v>
      </c>
      <c r="G294" s="3">
        <v>20.719999000000001</v>
      </c>
      <c r="H294" s="3">
        <v>21.66</v>
      </c>
      <c r="I294" s="3">
        <v>42.530501999999998</v>
      </c>
      <c r="J294" s="3">
        <v>55.630001</v>
      </c>
      <c r="L294" s="11">
        <f t="shared" si="16"/>
        <v>2.5059407538142064E-2</v>
      </c>
      <c r="M294" s="11">
        <f t="shared" si="16"/>
        <v>2.8250740065509383E-2</v>
      </c>
      <c r="N294" s="11">
        <f t="shared" si="16"/>
        <v>-1.3164310092637889E-2</v>
      </c>
      <c r="O294" s="11">
        <f t="shared" si="15"/>
        <v>2.3850906832298222E-2</v>
      </c>
      <c r="P294" s="11">
        <f t="shared" si="15"/>
        <v>2.7947338974028509E-2</v>
      </c>
      <c r="Q294" s="11">
        <f t="shared" si="15"/>
        <v>2.4221403855659959E-2</v>
      </c>
      <c r="R294" s="11">
        <f t="shared" si="15"/>
        <v>3.9347408829174681E-2</v>
      </c>
      <c r="S294" s="11">
        <f t="shared" si="15"/>
        <v>7.4544829833280528E-3</v>
      </c>
      <c r="T294" s="11">
        <f t="shared" si="15"/>
        <v>1.7982740344889373E-4</v>
      </c>
      <c r="U294" s="11">
        <f t="shared" si="17"/>
        <v>1.8127467376550209E-2</v>
      </c>
    </row>
    <row r="295" spans="1:21" x14ac:dyDescent="0.2">
      <c r="A295" s="1">
        <v>44008</v>
      </c>
      <c r="B295" s="3">
        <v>46.290000999999997</v>
      </c>
      <c r="C295" s="3">
        <v>17.816666000000001</v>
      </c>
      <c r="D295" s="3">
        <v>20.51</v>
      </c>
      <c r="E295" s="3">
        <v>40.25</v>
      </c>
      <c r="F295" s="3">
        <v>31.060237999999998</v>
      </c>
      <c r="G295" s="3">
        <v>20.23</v>
      </c>
      <c r="H295" s="3">
        <v>20.84</v>
      </c>
      <c r="I295" s="3">
        <v>42.215805000000003</v>
      </c>
      <c r="J295" s="3">
        <v>55.619999</v>
      </c>
      <c r="L295" s="11">
        <f t="shared" si="16"/>
        <v>-3.36117104963796E-2</v>
      </c>
      <c r="M295" s="11">
        <f t="shared" si="16"/>
        <v>-2.8181783867765948E-2</v>
      </c>
      <c r="N295" s="11">
        <f t="shared" si="16"/>
        <v>2.4438417616736803E-3</v>
      </c>
      <c r="O295" s="11">
        <f t="shared" si="15"/>
        <v>-2.8950566249684777E-2</v>
      </c>
      <c r="P295" s="11">
        <f t="shared" si="15"/>
        <v>-3.9197562265537542E-2</v>
      </c>
      <c r="Q295" s="11">
        <f t="shared" si="15"/>
        <v>-5.0234697194117203E-2</v>
      </c>
      <c r="R295" s="11">
        <f t="shared" si="15"/>
        <v>-2.9343224468711036E-2</v>
      </c>
      <c r="S295" s="11">
        <f t="shared" si="15"/>
        <v>-1.8506570033353095E-2</v>
      </c>
      <c r="T295" s="11">
        <f t="shared" si="15"/>
        <v>-6.7857321428571437E-3</v>
      </c>
      <c r="U295" s="11">
        <f t="shared" si="17"/>
        <v>-2.5818667217414739E-2</v>
      </c>
    </row>
    <row r="296" spans="1:21" x14ac:dyDescent="0.2">
      <c r="A296" s="1">
        <v>44007</v>
      </c>
      <c r="B296" s="3">
        <v>47.900002000000001</v>
      </c>
      <c r="C296" s="3">
        <v>18.333331999999999</v>
      </c>
      <c r="D296" s="3">
        <v>20.459999</v>
      </c>
      <c r="E296" s="3">
        <v>41.450001</v>
      </c>
      <c r="F296" s="3">
        <v>32.327393000000001</v>
      </c>
      <c r="G296" s="3">
        <v>21.299999</v>
      </c>
      <c r="H296" s="3">
        <v>21.469999000000001</v>
      </c>
      <c r="I296" s="3">
        <v>43.011806</v>
      </c>
      <c r="J296" s="3">
        <v>56</v>
      </c>
      <c r="L296" s="11">
        <f t="shared" si="16"/>
        <v>5.4137391156192594E-2</v>
      </c>
      <c r="M296" s="11">
        <f t="shared" si="16"/>
        <v>4.4634361517627376E-2</v>
      </c>
      <c r="N296" s="11">
        <f t="shared" si="16"/>
        <v>-1.9512682926829353E-3</v>
      </c>
      <c r="O296" s="11">
        <f t="shared" si="15"/>
        <v>1.1469033674963481E-2</v>
      </c>
      <c r="P296" s="11">
        <f t="shared" si="15"/>
        <v>1.8867942962873117E-2</v>
      </c>
      <c r="Q296" s="11">
        <f t="shared" si="15"/>
        <v>-4.6729439252335934E-3</v>
      </c>
      <c r="R296" s="11">
        <f t="shared" si="15"/>
        <v>2.2380904761904827E-2</v>
      </c>
      <c r="S296" s="11">
        <f t="shared" si="15"/>
        <v>4.9932200319921689E-2</v>
      </c>
      <c r="T296" s="11">
        <f t="shared" si="15"/>
        <v>1.1012836450854546E-2</v>
      </c>
      <c r="U296" s="11">
        <f t="shared" si="17"/>
        <v>2.2867828736269011E-2</v>
      </c>
    </row>
    <row r="297" spans="1:21" x14ac:dyDescent="0.2">
      <c r="A297" s="1">
        <v>44006</v>
      </c>
      <c r="B297" s="3">
        <v>45.439999</v>
      </c>
      <c r="C297" s="3">
        <v>17.549999</v>
      </c>
      <c r="D297" s="3">
        <v>20.5</v>
      </c>
      <c r="E297" s="3">
        <v>40.98</v>
      </c>
      <c r="F297" s="3">
        <v>31.728736999999999</v>
      </c>
      <c r="G297" s="3">
        <v>21.4</v>
      </c>
      <c r="H297" s="3">
        <v>21</v>
      </c>
      <c r="I297" s="3">
        <v>40.966270000000002</v>
      </c>
      <c r="J297" s="3">
        <v>55.389999000000003</v>
      </c>
      <c r="L297" s="11">
        <f t="shared" si="16"/>
        <v>-4.6779926443462391E-2</v>
      </c>
      <c r="M297" s="11">
        <f t="shared" si="16"/>
        <v>7.0772573480204874E-3</v>
      </c>
      <c r="N297" s="11">
        <f t="shared" si="16"/>
        <v>2.6539861118670991E-2</v>
      </c>
      <c r="O297" s="11">
        <f t="shared" si="15"/>
        <v>-1.8678113921365758E-2</v>
      </c>
      <c r="P297" s="11">
        <f t="shared" si="15"/>
        <v>-2.7225405505718635E-2</v>
      </c>
      <c r="Q297" s="11">
        <f t="shared" si="15"/>
        <v>-2.327704244637159E-2</v>
      </c>
      <c r="R297" s="11">
        <f t="shared" si="15"/>
        <v>-3.0023094688221647E-2</v>
      </c>
      <c r="S297" s="11">
        <f t="shared" si="15"/>
        <v>-7.6233192981327354E-3</v>
      </c>
      <c r="T297" s="11">
        <f t="shared" si="15"/>
        <v>-3.5977873718294712E-3</v>
      </c>
      <c r="U297" s="11">
        <f t="shared" si="17"/>
        <v>-1.3731952356490083E-2</v>
      </c>
    </row>
    <row r="298" spans="1:21" x14ac:dyDescent="0.2">
      <c r="A298" s="1">
        <v>44005</v>
      </c>
      <c r="B298" s="3">
        <v>47.669998</v>
      </c>
      <c r="C298" s="3">
        <v>17.426666000000001</v>
      </c>
      <c r="D298" s="3">
        <v>19.969999000000001</v>
      </c>
      <c r="E298" s="3">
        <v>41.759998000000003</v>
      </c>
      <c r="F298" s="3">
        <v>32.616740999999998</v>
      </c>
      <c r="G298" s="3">
        <v>21.91</v>
      </c>
      <c r="H298" s="3">
        <v>21.65</v>
      </c>
      <c r="I298" s="3">
        <v>41.280968000000001</v>
      </c>
      <c r="J298" s="3">
        <v>55.59</v>
      </c>
      <c r="L298" s="11">
        <f t="shared" si="16"/>
        <v>2.9811988986563277E-2</v>
      </c>
      <c r="M298" s="11">
        <f t="shared" si="16"/>
        <v>3.8744227324772028E-2</v>
      </c>
      <c r="N298" s="11">
        <f t="shared" si="16"/>
        <v>-1.9155303577833765E-2</v>
      </c>
      <c r="O298" s="11">
        <f t="shared" si="15"/>
        <v>1.2609019757079695E-2</v>
      </c>
      <c r="P298" s="11">
        <f t="shared" si="15"/>
        <v>5.8460544043775894E-3</v>
      </c>
      <c r="Q298" s="11">
        <f t="shared" si="15"/>
        <v>-4.0909090909090843E-3</v>
      </c>
      <c r="R298" s="11">
        <f t="shared" si="15"/>
        <v>3.3412838500580418E-2</v>
      </c>
      <c r="S298" s="11">
        <f t="shared" si="15"/>
        <v>-6.7218228783808584E-4</v>
      </c>
      <c r="T298" s="11">
        <f t="shared" si="15"/>
        <v>1.072727272727279E-2</v>
      </c>
      <c r="U298" s="11">
        <f t="shared" si="17"/>
        <v>1.1914778527118319E-2</v>
      </c>
    </row>
    <row r="299" spans="1:21" x14ac:dyDescent="0.2">
      <c r="A299" s="1">
        <v>44004</v>
      </c>
      <c r="B299" s="3">
        <v>46.290000999999997</v>
      </c>
      <c r="C299" s="3">
        <v>16.776667</v>
      </c>
      <c r="D299" s="3">
        <v>20.360001</v>
      </c>
      <c r="E299" s="3">
        <v>41.240001999999997</v>
      </c>
      <c r="F299" s="3">
        <v>32.427169999999997</v>
      </c>
      <c r="G299" s="3">
        <v>22</v>
      </c>
      <c r="H299" s="3">
        <v>20.950001</v>
      </c>
      <c r="I299" s="3">
        <v>41.308734999999999</v>
      </c>
      <c r="J299" s="3">
        <v>55</v>
      </c>
      <c r="L299" s="11">
        <f t="shared" si="16"/>
        <v>3.8357983922925713E-2</v>
      </c>
      <c r="M299" s="11">
        <f t="shared" si="16"/>
        <v>-1.313723529411766E-2</v>
      </c>
      <c r="N299" s="11">
        <f t="shared" si="16"/>
        <v>-7.3134568503169716E-3</v>
      </c>
      <c r="O299" s="11">
        <f t="shared" si="15"/>
        <v>-1.5751789224258361E-2</v>
      </c>
      <c r="P299" s="11">
        <f t="shared" si="15"/>
        <v>-1.3057959676110068E-2</v>
      </c>
      <c r="Q299" s="11">
        <f t="shared" si="15"/>
        <v>-1.3618247225680386E-3</v>
      </c>
      <c r="R299" s="11">
        <f t="shared" si="15"/>
        <v>-2.4219749614333985E-2</v>
      </c>
      <c r="S299" s="11">
        <f t="shared" si="15"/>
        <v>-9.5428944838602033E-3</v>
      </c>
      <c r="T299" s="11">
        <f t="shared" si="15"/>
        <v>-3.0813486707032263E-3</v>
      </c>
      <c r="U299" s="11">
        <f t="shared" si="17"/>
        <v>-5.4564749570380888E-3</v>
      </c>
    </row>
    <row r="300" spans="1:21" x14ac:dyDescent="0.2">
      <c r="A300" s="1">
        <v>44001</v>
      </c>
      <c r="B300" s="3">
        <v>44.580002</v>
      </c>
      <c r="C300" s="3">
        <v>17</v>
      </c>
      <c r="D300" s="3">
        <v>20.51</v>
      </c>
      <c r="E300" s="3">
        <v>41.900002000000001</v>
      </c>
      <c r="F300" s="3">
        <v>32.856205000000003</v>
      </c>
      <c r="G300" s="3">
        <v>22.030000999999999</v>
      </c>
      <c r="H300" s="3">
        <v>21.469999000000001</v>
      </c>
      <c r="I300" s="3">
        <v>41.706738000000001</v>
      </c>
      <c r="J300" s="3">
        <v>55.169998</v>
      </c>
      <c r="L300" s="11">
        <f t="shared" si="16"/>
        <v>1.4334493416735077E-2</v>
      </c>
      <c r="M300" s="11">
        <f t="shared" si="16"/>
        <v>1.2708478699196132E-2</v>
      </c>
      <c r="N300" s="11">
        <f t="shared" si="16"/>
        <v>2.1414342629482237E-2</v>
      </c>
      <c r="O300" s="11">
        <f t="shared" si="15"/>
        <v>1.674358206123706E-2</v>
      </c>
      <c r="P300" s="11">
        <f t="shared" si="15"/>
        <v>-1.4071804628036122E-2</v>
      </c>
      <c r="Q300" s="11">
        <f t="shared" si="15"/>
        <v>1.0087208165392275E-2</v>
      </c>
      <c r="R300" s="11">
        <f t="shared" si="15"/>
        <v>-6.018564814814816E-3</v>
      </c>
      <c r="S300" s="11">
        <f t="shared" si="15"/>
        <v>3.0178412401284996E-2</v>
      </c>
      <c r="T300" s="11">
        <f t="shared" si="15"/>
        <v>-1.7803098372907188E-2</v>
      </c>
      <c r="U300" s="11">
        <f t="shared" si="17"/>
        <v>7.508116617507739E-3</v>
      </c>
    </row>
    <row r="301" spans="1:21" x14ac:dyDescent="0.2">
      <c r="A301" s="1">
        <v>44000</v>
      </c>
      <c r="B301" s="3">
        <v>43.950001</v>
      </c>
      <c r="C301" s="3">
        <v>16.786667000000001</v>
      </c>
      <c r="D301" s="3">
        <v>20.079999999999998</v>
      </c>
      <c r="E301" s="3">
        <v>41.209999000000003</v>
      </c>
      <c r="F301" s="3">
        <v>33.325150000000001</v>
      </c>
      <c r="G301" s="3">
        <v>21.809999000000001</v>
      </c>
      <c r="H301" s="3">
        <v>21.6</v>
      </c>
      <c r="I301" s="3">
        <v>40.484966</v>
      </c>
      <c r="J301" s="3">
        <v>56.169998</v>
      </c>
      <c r="L301" s="11">
        <f t="shared" si="16"/>
        <v>-4.3044405143734315E-3</v>
      </c>
      <c r="M301" s="11">
        <f t="shared" si="16"/>
        <v>-1.6406192047116883E-2</v>
      </c>
      <c r="N301" s="11">
        <f t="shared" si="16"/>
        <v>2.7110026962149647E-2</v>
      </c>
      <c r="O301" s="11">
        <f t="shared" si="15"/>
        <v>9.306808263198298E-3</v>
      </c>
      <c r="P301" s="11">
        <f t="shared" si="15"/>
        <v>2.1406687524826336E-2</v>
      </c>
      <c r="Q301" s="11">
        <f t="shared" si="15"/>
        <v>-3.452859672421419E-2</v>
      </c>
      <c r="R301" s="11">
        <f t="shared" si="15"/>
        <v>7.4626395773023831E-3</v>
      </c>
      <c r="S301" s="11">
        <f t="shared" si="15"/>
        <v>4.1428543279347405E-2</v>
      </c>
      <c r="T301" s="11">
        <f t="shared" si="15"/>
        <v>-5.3386120046511505E-4</v>
      </c>
      <c r="U301" s="11">
        <f t="shared" si="17"/>
        <v>5.6601794578504949E-3</v>
      </c>
    </row>
    <row r="302" spans="1:21" x14ac:dyDescent="0.2">
      <c r="A302" s="1">
        <v>43999</v>
      </c>
      <c r="B302" s="3">
        <v>44.139999000000003</v>
      </c>
      <c r="C302" s="3">
        <v>17.066666000000001</v>
      </c>
      <c r="D302" s="3">
        <v>19.549999</v>
      </c>
      <c r="E302" s="3">
        <v>40.830002</v>
      </c>
      <c r="F302" s="3">
        <v>32.626719999999999</v>
      </c>
      <c r="G302" s="3">
        <v>22.59</v>
      </c>
      <c r="H302" s="3">
        <v>21.440000999999999</v>
      </c>
      <c r="I302" s="3">
        <v>38.874454</v>
      </c>
      <c r="J302" s="3">
        <v>56.200001</v>
      </c>
      <c r="L302" s="11">
        <f t="shared" si="16"/>
        <v>2.6511604651162864E-2</v>
      </c>
      <c r="M302" s="11">
        <f t="shared" si="16"/>
        <v>3.4343393939394028E-2</v>
      </c>
      <c r="N302" s="11">
        <f t="shared" si="16"/>
        <v>2.3024488591078526E-2</v>
      </c>
      <c r="O302" s="11">
        <f t="shared" si="15"/>
        <v>1.6430272164813169E-2</v>
      </c>
      <c r="P302" s="11">
        <f t="shared" si="15"/>
        <v>3.6121663645796852E-2</v>
      </c>
      <c r="Q302" s="11">
        <f t="shared" si="15"/>
        <v>5.4621848739495708E-2</v>
      </c>
      <c r="R302" s="11">
        <f t="shared" si="15"/>
        <v>3.2756198747955273E-3</v>
      </c>
      <c r="S302" s="11">
        <f t="shared" si="15"/>
        <v>-3.7951134355676732E-3</v>
      </c>
      <c r="T302" s="11">
        <f t="shared" si="15"/>
        <v>1.4623614634836826E-2</v>
      </c>
      <c r="U302" s="11">
        <f t="shared" si="17"/>
        <v>2.2795265867311759E-2</v>
      </c>
    </row>
    <row r="303" spans="1:21" x14ac:dyDescent="0.2">
      <c r="A303" s="1">
        <v>43998</v>
      </c>
      <c r="B303" s="3">
        <v>43</v>
      </c>
      <c r="C303" s="3">
        <v>16.5</v>
      </c>
      <c r="D303" s="3">
        <v>19.110001</v>
      </c>
      <c r="E303" s="3">
        <v>40.169998</v>
      </c>
      <c r="F303" s="3">
        <v>31.489274999999999</v>
      </c>
      <c r="G303" s="3">
        <v>21.42</v>
      </c>
      <c r="H303" s="3">
        <v>21.370000999999998</v>
      </c>
      <c r="I303" s="3">
        <v>39.022548999999998</v>
      </c>
      <c r="J303" s="3">
        <v>55.389999000000003</v>
      </c>
      <c r="L303" s="11">
        <f t="shared" si="16"/>
        <v>-2.8906933805486236E-2</v>
      </c>
      <c r="M303" s="11">
        <f t="shared" si="16"/>
        <v>-2.0189862265391828E-4</v>
      </c>
      <c r="N303" s="11">
        <f t="shared" si="16"/>
        <v>-1.2403049095607284E-2</v>
      </c>
      <c r="O303" s="11">
        <f t="shared" si="15"/>
        <v>-1.3022186412231308E-2</v>
      </c>
      <c r="P303" s="11">
        <f t="shared" si="15"/>
        <v>-7.5471645782811845E-3</v>
      </c>
      <c r="Q303" s="11">
        <f t="shared" si="15"/>
        <v>-1.1992619926199171E-2</v>
      </c>
      <c r="R303" s="11">
        <f t="shared" si="15"/>
        <v>3.2367148194823669E-2</v>
      </c>
      <c r="S303" s="11">
        <f t="shared" si="15"/>
        <v>-3.1917255419092148E-2</v>
      </c>
      <c r="T303" s="11">
        <f t="shared" si="15"/>
        <v>2.802520363724572E-2</v>
      </c>
      <c r="U303" s="11">
        <f t="shared" si="17"/>
        <v>-5.0665284474979829E-3</v>
      </c>
    </row>
    <row r="304" spans="1:21" x14ac:dyDescent="0.2">
      <c r="A304" s="1">
        <v>43997</v>
      </c>
      <c r="B304" s="3">
        <v>44.279998999999997</v>
      </c>
      <c r="C304" s="3">
        <v>16.503332</v>
      </c>
      <c r="D304" s="3">
        <v>19.350000000000001</v>
      </c>
      <c r="E304" s="3">
        <v>40.700001</v>
      </c>
      <c r="F304" s="3">
        <v>31.728736999999999</v>
      </c>
      <c r="G304" s="3">
        <v>21.68</v>
      </c>
      <c r="H304" s="3">
        <v>20.700001</v>
      </c>
      <c r="I304" s="3">
        <v>40.309105000000002</v>
      </c>
      <c r="J304" s="3">
        <v>53.880001</v>
      </c>
      <c r="L304" s="11">
        <f t="shared" si="16"/>
        <v>1.3040494464435773E-2</v>
      </c>
      <c r="M304" s="11">
        <f t="shared" si="16"/>
        <v>-6.8205615482334276E-3</v>
      </c>
      <c r="N304" s="11">
        <f t="shared" si="16"/>
        <v>5.7172557172558728E-3</v>
      </c>
      <c r="O304" s="11">
        <f t="shared" si="15"/>
        <v>1.0176222135114956E-2</v>
      </c>
      <c r="P304" s="11">
        <f t="shared" si="15"/>
        <v>1.5974489283588026E-2</v>
      </c>
      <c r="Q304" s="11">
        <f t="shared" si="15"/>
        <v>-1.4545454545454558E-2</v>
      </c>
      <c r="R304" s="11">
        <f t="shared" si="15"/>
        <v>4.8544174757281016E-3</v>
      </c>
      <c r="S304" s="11">
        <f t="shared" si="15"/>
        <v>-2.7033124718102462E-2</v>
      </c>
      <c r="T304" s="11">
        <f t="shared" si="15"/>
        <v>8.9887449816949336E-3</v>
      </c>
      <c r="U304" s="11">
        <f t="shared" si="17"/>
        <v>1.1502759162252466E-3</v>
      </c>
    </row>
    <row r="305" spans="1:21" x14ac:dyDescent="0.2">
      <c r="A305" s="1">
        <v>43994</v>
      </c>
      <c r="B305" s="3">
        <v>43.709999000000003</v>
      </c>
      <c r="C305" s="3">
        <v>16.616667</v>
      </c>
      <c r="D305" s="3">
        <v>19.239999999999998</v>
      </c>
      <c r="E305" s="3">
        <v>40.290000999999997</v>
      </c>
      <c r="F305" s="3">
        <v>31.229856000000002</v>
      </c>
      <c r="G305" s="3">
        <v>22</v>
      </c>
      <c r="H305" s="3">
        <v>20.6</v>
      </c>
      <c r="I305" s="3">
        <v>41.429062000000002</v>
      </c>
      <c r="J305" s="3">
        <v>53.400002000000001</v>
      </c>
      <c r="L305" s="11">
        <f t="shared" si="16"/>
        <v>-2.6069562698984715E-2</v>
      </c>
      <c r="M305" s="11">
        <f t="shared" si="16"/>
        <v>-1.7540421066597478E-2</v>
      </c>
      <c r="N305" s="11">
        <f t="shared" si="16"/>
        <v>-1.5856727153796848E-2</v>
      </c>
      <c r="O305" s="11">
        <f t="shared" si="15"/>
        <v>-1.9707957163404309E-2</v>
      </c>
      <c r="P305" s="11">
        <f t="shared" si="15"/>
        <v>2.1873929101124141E-2</v>
      </c>
      <c r="Q305" s="11">
        <f t="shared" si="15"/>
        <v>-3.0837047099689568E-2</v>
      </c>
      <c r="R305" s="11">
        <f t="shared" si="15"/>
        <v>-3.738317757009333E-2</v>
      </c>
      <c r="S305" s="11">
        <f t="shared" si="15"/>
        <v>-6.8781775583809232E-3</v>
      </c>
      <c r="T305" s="11">
        <f t="shared" si="15"/>
        <v>-1.4760128878964406E-2</v>
      </c>
      <c r="U305" s="11">
        <f t="shared" si="17"/>
        <v>-1.6351030009865271E-2</v>
      </c>
    </row>
    <row r="306" spans="1:21" x14ac:dyDescent="0.2">
      <c r="A306" s="1">
        <v>43992</v>
      </c>
      <c r="B306" s="3">
        <v>44.880001</v>
      </c>
      <c r="C306" s="3">
        <v>16.913333999999999</v>
      </c>
      <c r="D306" s="3">
        <v>19.549999</v>
      </c>
      <c r="E306" s="3">
        <v>41.099997999999999</v>
      </c>
      <c r="F306" s="3">
        <v>30.561358999999999</v>
      </c>
      <c r="G306" s="3">
        <v>22.700001</v>
      </c>
      <c r="H306" s="3">
        <v>21.4</v>
      </c>
      <c r="I306" s="3">
        <v>41.715992</v>
      </c>
      <c r="J306" s="3">
        <v>54.200001</v>
      </c>
      <c r="L306" s="11">
        <f t="shared" si="16"/>
        <v>-3.8972161906377693E-2</v>
      </c>
      <c r="M306" s="11">
        <f t="shared" si="16"/>
        <v>-6.4616605925527015E-3</v>
      </c>
      <c r="N306" s="11">
        <f t="shared" si="16"/>
        <v>-6.6057418699187014E-3</v>
      </c>
      <c r="O306" s="11">
        <f t="shared" si="15"/>
        <v>-4.1958133242045101E-2</v>
      </c>
      <c r="P306" s="11">
        <f t="shared" si="15"/>
        <v>1.2561969035336766E-2</v>
      </c>
      <c r="Q306" s="11">
        <f t="shared" si="15"/>
        <v>-5.1399874634350161E-2</v>
      </c>
      <c r="R306" s="11">
        <f t="shared" si="15"/>
        <v>-1.4732919647003795E-2</v>
      </c>
      <c r="S306" s="11">
        <f t="shared" si="15"/>
        <v>-1.636840533023922E-2</v>
      </c>
      <c r="T306" s="11">
        <f t="shared" si="15"/>
        <v>-1.4366266071421432E-2</v>
      </c>
      <c r="U306" s="11">
        <f t="shared" si="17"/>
        <v>-1.9811466028730226E-2</v>
      </c>
    </row>
    <row r="307" spans="1:21" x14ac:dyDescent="0.2">
      <c r="A307" s="1">
        <v>43991</v>
      </c>
      <c r="B307" s="3">
        <v>46.700001</v>
      </c>
      <c r="C307" s="3">
        <v>17.023333000000001</v>
      </c>
      <c r="D307" s="3">
        <v>19.68</v>
      </c>
      <c r="E307" s="3">
        <v>42.900002000000001</v>
      </c>
      <c r="F307" s="3">
        <v>30.182210999999999</v>
      </c>
      <c r="G307" s="3">
        <v>23.93</v>
      </c>
      <c r="H307" s="3">
        <v>21.719999000000001</v>
      </c>
      <c r="I307" s="3">
        <v>42.410178999999999</v>
      </c>
      <c r="J307" s="3">
        <v>54.990001999999997</v>
      </c>
      <c r="L307" s="11">
        <f t="shared" si="16"/>
        <v>-1.2684947414058071E-2</v>
      </c>
      <c r="M307" s="11">
        <f t="shared" si="16"/>
        <v>-1.2567691415313081E-2</v>
      </c>
      <c r="N307" s="11">
        <f t="shared" si="16"/>
        <v>4.0816326530611373E-3</v>
      </c>
      <c r="O307" s="11">
        <f t="shared" si="15"/>
        <v>-6.9444211355457995E-3</v>
      </c>
      <c r="P307" s="11">
        <f t="shared" si="15"/>
        <v>1.5100685869229313E-2</v>
      </c>
      <c r="Q307" s="11">
        <f t="shared" si="15"/>
        <v>4.7264770240700138E-2</v>
      </c>
      <c r="R307" s="11">
        <f t="shared" si="15"/>
        <v>-3.5952151089562637E-2</v>
      </c>
      <c r="S307" s="11">
        <f t="shared" si="15"/>
        <v>-1.0367159467983509E-2</v>
      </c>
      <c r="T307" s="11">
        <f t="shared" si="15"/>
        <v>3.8335707162024664E-3</v>
      </c>
      <c r="U307" s="11">
        <f t="shared" si="17"/>
        <v>-9.1507900480778238E-4</v>
      </c>
    </row>
    <row r="308" spans="1:21" x14ac:dyDescent="0.2">
      <c r="A308" s="1">
        <v>43990</v>
      </c>
      <c r="B308" s="3">
        <v>47.299999</v>
      </c>
      <c r="C308" s="3">
        <v>17.239999999999998</v>
      </c>
      <c r="D308" s="3">
        <v>19.600000000000001</v>
      </c>
      <c r="E308" s="3">
        <v>43.200001</v>
      </c>
      <c r="F308" s="3">
        <v>29.733218999999998</v>
      </c>
      <c r="G308" s="3">
        <v>22.85</v>
      </c>
      <c r="H308" s="3">
        <v>22.530000999999999</v>
      </c>
      <c r="I308" s="3">
        <v>42.854458000000001</v>
      </c>
      <c r="J308" s="3">
        <v>54.779998999999997</v>
      </c>
      <c r="L308" s="11">
        <f t="shared" si="16"/>
        <v>2.6030391584832613E-2</v>
      </c>
      <c r="M308" s="11">
        <f t="shared" si="16"/>
        <v>5.400446191146379E-2</v>
      </c>
      <c r="N308" s="11">
        <f t="shared" si="16"/>
        <v>2.8331638422436439E-2</v>
      </c>
      <c r="O308" s="11">
        <f t="shared" si="15"/>
        <v>5.7786508325171321E-2</v>
      </c>
      <c r="P308" s="11">
        <f t="shared" si="15"/>
        <v>3.366972802756153E-3</v>
      </c>
      <c r="Q308" s="11">
        <f t="shared" si="15"/>
        <v>-1.0394110004330812E-2</v>
      </c>
      <c r="R308" s="11">
        <f t="shared" si="15"/>
        <v>1.9457058823529282E-2</v>
      </c>
      <c r="S308" s="11">
        <f t="shared" si="15"/>
        <v>2.1645437721215942E-3</v>
      </c>
      <c r="T308" s="11">
        <f t="shared" si="15"/>
        <v>3.1129462898196918E-3</v>
      </c>
      <c r="U308" s="11">
        <f t="shared" si="17"/>
        <v>2.0428934658644454E-2</v>
      </c>
    </row>
    <row r="309" spans="1:21" x14ac:dyDescent="0.2">
      <c r="A309" s="1">
        <v>43987</v>
      </c>
      <c r="B309" s="3">
        <v>46.099997999999999</v>
      </c>
      <c r="C309" s="3">
        <v>16.356667000000002</v>
      </c>
      <c r="D309" s="3">
        <v>19.059999000000001</v>
      </c>
      <c r="E309" s="3">
        <v>40.840000000000003</v>
      </c>
      <c r="F309" s="3">
        <v>29.633444000000001</v>
      </c>
      <c r="G309" s="3">
        <v>23.09</v>
      </c>
      <c r="H309" s="3">
        <v>22.1</v>
      </c>
      <c r="I309" s="3">
        <v>42.761898000000002</v>
      </c>
      <c r="J309" s="3">
        <v>54.610000999999997</v>
      </c>
      <c r="L309" s="11">
        <f t="shared" si="16"/>
        <v>1.6313866483380422E-2</v>
      </c>
      <c r="M309" s="11">
        <f t="shared" si="16"/>
        <v>-1.0286405601322889E-2</v>
      </c>
      <c r="N309" s="11">
        <f t="shared" si="16"/>
        <v>-3.2978185336285333E-2</v>
      </c>
      <c r="O309" s="11">
        <f t="shared" si="15"/>
        <v>2.1000000000000085E-2</v>
      </c>
      <c r="P309" s="11">
        <f t="shared" si="15"/>
        <v>-2.270484519141909E-2</v>
      </c>
      <c r="Q309" s="11">
        <f t="shared" si="15"/>
        <v>4.3497172683776173E-3</v>
      </c>
      <c r="R309" s="11">
        <f t="shared" si="15"/>
        <v>3.1264582361176005E-2</v>
      </c>
      <c r="S309" s="11">
        <f t="shared" si="15"/>
        <v>-1.282055100036465E-2</v>
      </c>
      <c r="T309" s="11">
        <f t="shared" si="15"/>
        <v>-1.8864516708587849E-2</v>
      </c>
      <c r="U309" s="11">
        <f t="shared" si="17"/>
        <v>-2.7473708583384093E-3</v>
      </c>
    </row>
    <row r="310" spans="1:21" x14ac:dyDescent="0.2">
      <c r="A310" s="1">
        <v>43986</v>
      </c>
      <c r="B310" s="3">
        <v>45.360000999999997</v>
      </c>
      <c r="C310" s="3">
        <v>16.526667</v>
      </c>
      <c r="D310" s="3">
        <v>19.709999</v>
      </c>
      <c r="E310" s="3">
        <v>40</v>
      </c>
      <c r="F310" s="3">
        <v>30.321898000000001</v>
      </c>
      <c r="G310" s="3">
        <v>22.99</v>
      </c>
      <c r="H310" s="3">
        <v>21.43</v>
      </c>
      <c r="I310" s="3">
        <v>43.317248999999997</v>
      </c>
      <c r="J310" s="3">
        <v>55.66</v>
      </c>
      <c r="L310" s="11">
        <f t="shared" si="16"/>
        <v>-2.9525052224002903E-2</v>
      </c>
      <c r="M310" s="11">
        <f t="shared" si="16"/>
        <v>1.5567431699455719E-2</v>
      </c>
      <c r="N310" s="11">
        <f t="shared" si="16"/>
        <v>1.1806930184804897E-2</v>
      </c>
      <c r="O310" s="11">
        <f t="shared" si="15"/>
        <v>-2.4865919063871356E-2</v>
      </c>
      <c r="P310" s="11">
        <f t="shared" si="15"/>
        <v>5.2928405151683993E-3</v>
      </c>
      <c r="Q310" s="11">
        <f t="shared" si="15"/>
        <v>-2.4193506969164252E-2</v>
      </c>
      <c r="R310" s="11">
        <f t="shared" ref="R310:T373" si="18">(H310-H311)/H311</f>
        <v>-1.8630182516543978E-3</v>
      </c>
      <c r="S310" s="11">
        <f t="shared" si="18"/>
        <v>-8.4745559030973069E-3</v>
      </c>
      <c r="T310" s="11">
        <f t="shared" si="18"/>
        <v>3.7271710771524413E-2</v>
      </c>
      <c r="U310" s="11">
        <f t="shared" si="17"/>
        <v>-2.1092376934263102E-3</v>
      </c>
    </row>
    <row r="311" spans="1:21" x14ac:dyDescent="0.2">
      <c r="A311" s="1">
        <v>43985</v>
      </c>
      <c r="B311" s="3">
        <v>46.740001999999997</v>
      </c>
      <c r="C311" s="3">
        <v>16.273333000000001</v>
      </c>
      <c r="D311" s="3">
        <v>19.48</v>
      </c>
      <c r="E311" s="3">
        <v>41.02</v>
      </c>
      <c r="F311" s="3">
        <v>30.162254000000001</v>
      </c>
      <c r="G311" s="3">
        <v>23.559999000000001</v>
      </c>
      <c r="H311" s="3">
        <v>21.469999000000001</v>
      </c>
      <c r="I311" s="3">
        <v>43.687480999999998</v>
      </c>
      <c r="J311" s="3">
        <v>53.66</v>
      </c>
      <c r="L311" s="11">
        <f t="shared" si="16"/>
        <v>-5.5318723404255967E-3</v>
      </c>
      <c r="M311" s="11">
        <f t="shared" si="16"/>
        <v>5.0796407696789052E-2</v>
      </c>
      <c r="N311" s="11">
        <f t="shared" si="16"/>
        <v>-1.1669153306400441E-2</v>
      </c>
      <c r="O311" s="11">
        <f t="shared" si="16"/>
        <v>7.241830065359485E-2</v>
      </c>
      <c r="P311" s="11">
        <f t="shared" si="16"/>
        <v>1.0023398243025453E-2</v>
      </c>
      <c r="Q311" s="11">
        <f t="shared" si="16"/>
        <v>3.7428447266774488E-2</v>
      </c>
      <c r="R311" s="11">
        <f t="shared" si="18"/>
        <v>3.2709813084113464E-3</v>
      </c>
      <c r="S311" s="11">
        <f t="shared" si="18"/>
        <v>2.6086964486888575E-2</v>
      </c>
      <c r="T311" s="11">
        <f t="shared" si="18"/>
        <v>4.4927369708998664E-3</v>
      </c>
      <c r="U311" s="11">
        <f t="shared" si="17"/>
        <v>2.0812912331061955E-2</v>
      </c>
    </row>
    <row r="312" spans="1:21" x14ac:dyDescent="0.2">
      <c r="A312" s="1">
        <v>43984</v>
      </c>
      <c r="B312" s="3">
        <v>47</v>
      </c>
      <c r="C312" s="3">
        <v>15.486666</v>
      </c>
      <c r="D312" s="3">
        <v>19.709999</v>
      </c>
      <c r="E312" s="3">
        <v>38.25</v>
      </c>
      <c r="F312" s="3">
        <v>29.862926000000002</v>
      </c>
      <c r="G312" s="3">
        <v>22.709999</v>
      </c>
      <c r="H312" s="3">
        <v>21.4</v>
      </c>
      <c r="I312" s="3">
        <v>42.576782000000001</v>
      </c>
      <c r="J312" s="3">
        <v>53.419998</v>
      </c>
      <c r="L312" s="11">
        <f t="shared" ref="L312:Q354" si="19">(B312-B313)/B313</f>
        <v>9.8130866778758583E-2</v>
      </c>
      <c r="M312" s="11">
        <f t="shared" si="19"/>
        <v>2.0426093583399588E-2</v>
      </c>
      <c r="N312" s="11">
        <f t="shared" si="19"/>
        <v>1.1806930184804897E-2</v>
      </c>
      <c r="O312" s="11">
        <f t="shared" si="19"/>
        <v>1.7016723823006629E-2</v>
      </c>
      <c r="P312" s="11">
        <f t="shared" si="19"/>
        <v>2.1501666242565057E-2</v>
      </c>
      <c r="Q312" s="11">
        <f t="shared" si="19"/>
        <v>1.9299729833943961E-2</v>
      </c>
      <c r="R312" s="11">
        <f t="shared" si="18"/>
        <v>5.2631578947368439E-2</v>
      </c>
      <c r="S312" s="11">
        <f t="shared" si="18"/>
        <v>6.3443009437967992E-3</v>
      </c>
      <c r="T312" s="11">
        <f t="shared" si="18"/>
        <v>0</v>
      </c>
      <c r="U312" s="11">
        <f t="shared" si="17"/>
        <v>2.746198781529377E-2</v>
      </c>
    </row>
    <row r="313" spans="1:21" x14ac:dyDescent="0.2">
      <c r="A313" s="1">
        <v>43983</v>
      </c>
      <c r="B313" s="3">
        <v>42.799999</v>
      </c>
      <c r="C313" s="3">
        <v>15.176666000000001</v>
      </c>
      <c r="D313" s="3">
        <v>19.48</v>
      </c>
      <c r="E313" s="3">
        <v>37.610000999999997</v>
      </c>
      <c r="F313" s="3">
        <v>29.234338999999999</v>
      </c>
      <c r="G313" s="3">
        <v>22.280000999999999</v>
      </c>
      <c r="H313" s="3">
        <v>20.329999999999998</v>
      </c>
      <c r="I313" s="3">
        <v>42.308365000000002</v>
      </c>
      <c r="J313" s="3">
        <v>53.419998</v>
      </c>
      <c r="L313" s="11">
        <f t="shared" si="19"/>
        <v>1.6627102927653355E-2</v>
      </c>
      <c r="M313" s="11">
        <f t="shared" si="19"/>
        <v>-4.3909989987036603E-4</v>
      </c>
      <c r="N313" s="11">
        <f t="shared" si="19"/>
        <v>-4.0899286344544712E-3</v>
      </c>
      <c r="O313" s="11">
        <f t="shared" si="19"/>
        <v>-2.2609121621621622E-2</v>
      </c>
      <c r="P313" s="11">
        <f t="shared" si="19"/>
        <v>3.7168179833524939E-2</v>
      </c>
      <c r="Q313" s="11">
        <f t="shared" si="19"/>
        <v>7.6848715473720852E-2</v>
      </c>
      <c r="R313" s="11">
        <f t="shared" si="18"/>
        <v>-4.9164208456251544E-4</v>
      </c>
      <c r="S313" s="11">
        <f t="shared" si="18"/>
        <v>2.2595051599177178E-2</v>
      </c>
      <c r="T313" s="11">
        <f t="shared" si="18"/>
        <v>7.9244905660377299E-3</v>
      </c>
      <c r="U313" s="11">
        <f t="shared" si="17"/>
        <v>1.483708312884501E-2</v>
      </c>
    </row>
    <row r="314" spans="1:21" x14ac:dyDescent="0.2">
      <c r="A314" s="1">
        <v>43980</v>
      </c>
      <c r="B314" s="3">
        <v>42.099997999999999</v>
      </c>
      <c r="C314" s="3">
        <v>15.183332999999999</v>
      </c>
      <c r="D314" s="3">
        <v>19.559999000000001</v>
      </c>
      <c r="E314" s="3">
        <v>38.479999999999997</v>
      </c>
      <c r="F314" s="3">
        <v>28.186691</v>
      </c>
      <c r="G314" s="3">
        <v>20.690000999999999</v>
      </c>
      <c r="H314" s="3">
        <v>20.34</v>
      </c>
      <c r="I314" s="3">
        <v>41.373528</v>
      </c>
      <c r="J314" s="3">
        <v>53</v>
      </c>
      <c r="L314" s="11">
        <f t="shared" si="19"/>
        <v>-3.4182197751778019E-2</v>
      </c>
      <c r="M314" s="11">
        <f t="shared" si="19"/>
        <v>-8.7050928707331204E-3</v>
      </c>
      <c r="N314" s="11">
        <f t="shared" si="19"/>
        <v>3.5915341200617144E-3</v>
      </c>
      <c r="O314" s="11">
        <f t="shared" si="19"/>
        <v>3.108252947481234E-2</v>
      </c>
      <c r="P314" s="11">
        <f t="shared" si="19"/>
        <v>-1.6022287494859597E-2</v>
      </c>
      <c r="Q314" s="11">
        <f t="shared" si="19"/>
        <v>-2.863840510039465E-2</v>
      </c>
      <c r="R314" s="11">
        <f t="shared" si="18"/>
        <v>2.8831562974203355E-2</v>
      </c>
      <c r="S314" s="11">
        <f t="shared" si="18"/>
        <v>1.6140096209970915E-2</v>
      </c>
      <c r="T314" s="11">
        <f t="shared" si="18"/>
        <v>5.8095428229187389E-2</v>
      </c>
      <c r="U314" s="11">
        <f t="shared" si="17"/>
        <v>5.5770186433855909E-3</v>
      </c>
    </row>
    <row r="315" spans="1:21" x14ac:dyDescent="0.2">
      <c r="A315" s="1">
        <v>43979</v>
      </c>
      <c r="B315" s="3">
        <v>43.59</v>
      </c>
      <c r="C315" s="3">
        <v>15.316666</v>
      </c>
      <c r="D315" s="3">
        <v>19.489999999999998</v>
      </c>
      <c r="E315" s="3">
        <v>37.32</v>
      </c>
      <c r="F315" s="3">
        <v>28.645659999999999</v>
      </c>
      <c r="G315" s="3">
        <v>21.299999</v>
      </c>
      <c r="H315" s="3">
        <v>19.77</v>
      </c>
      <c r="I315" s="3">
        <v>40.716361999999997</v>
      </c>
      <c r="J315" s="3">
        <v>50.09</v>
      </c>
      <c r="L315" s="11">
        <f t="shared" si="19"/>
        <v>-7.061548653232344E-3</v>
      </c>
      <c r="M315" s="11">
        <f t="shared" si="19"/>
        <v>-1.3736896329684462E-2</v>
      </c>
      <c r="N315" s="11">
        <f t="shared" si="19"/>
        <v>-1.5159221063202662E-2</v>
      </c>
      <c r="O315" s="11">
        <f t="shared" si="19"/>
        <v>-4.5524247852902683E-2</v>
      </c>
      <c r="P315" s="11">
        <f t="shared" si="19"/>
        <v>-6.5744563352975113E-3</v>
      </c>
      <c r="Q315" s="11">
        <f t="shared" si="19"/>
        <v>-5.5013395962138618E-2</v>
      </c>
      <c r="R315" s="11">
        <f t="shared" si="18"/>
        <v>-8.0280983442047229E-3</v>
      </c>
      <c r="S315" s="11">
        <f t="shared" si="18"/>
        <v>-4.5447543413366985E-4</v>
      </c>
      <c r="T315" s="11">
        <f t="shared" si="18"/>
        <v>-1.0860959930113736E-2</v>
      </c>
      <c r="U315" s="11">
        <f t="shared" si="17"/>
        <v>-1.8045922211656715E-2</v>
      </c>
    </row>
    <row r="316" spans="1:21" x14ac:dyDescent="0.2">
      <c r="A316" s="1">
        <v>43978</v>
      </c>
      <c r="B316" s="3">
        <v>43.900002000000001</v>
      </c>
      <c r="C316" s="3">
        <v>15.53</v>
      </c>
      <c r="D316" s="3">
        <v>19.790001</v>
      </c>
      <c r="E316" s="3">
        <v>39.099997999999999</v>
      </c>
      <c r="F316" s="3">
        <v>28.835235999999998</v>
      </c>
      <c r="G316" s="3">
        <v>22.540001</v>
      </c>
      <c r="H316" s="3">
        <v>19.93</v>
      </c>
      <c r="I316" s="3">
        <v>40.734875000000002</v>
      </c>
      <c r="J316" s="3">
        <v>50.639999000000003</v>
      </c>
      <c r="L316" s="11">
        <f t="shared" si="19"/>
        <v>5.681273334586593E-2</v>
      </c>
      <c r="M316" s="11">
        <f t="shared" si="19"/>
        <v>1.9354838709677007E-3</v>
      </c>
      <c r="N316" s="11">
        <f t="shared" si="19"/>
        <v>5.2659683652110857E-2</v>
      </c>
      <c r="O316" s="11">
        <f t="shared" si="19"/>
        <v>6.0195144788634886E-2</v>
      </c>
      <c r="P316" s="11">
        <f t="shared" si="19"/>
        <v>7.4349439886067237E-2</v>
      </c>
      <c r="Q316" s="11">
        <f t="shared" si="19"/>
        <v>3.4894396928631985E-2</v>
      </c>
      <c r="R316" s="11">
        <f t="shared" si="18"/>
        <v>1.3218098627351195E-2</v>
      </c>
      <c r="S316" s="11">
        <f t="shared" si="18"/>
        <v>-1.8144806667522409E-3</v>
      </c>
      <c r="T316" s="11">
        <f t="shared" si="18"/>
        <v>2.9268251437637224E-2</v>
      </c>
      <c r="U316" s="11">
        <f t="shared" si="17"/>
        <v>3.5724305763390536E-2</v>
      </c>
    </row>
    <row r="317" spans="1:21" x14ac:dyDescent="0.2">
      <c r="A317" s="1">
        <v>43977</v>
      </c>
      <c r="B317" s="3">
        <v>41.540000999999997</v>
      </c>
      <c r="C317" s="3">
        <v>15.5</v>
      </c>
      <c r="D317" s="3">
        <v>18.799999</v>
      </c>
      <c r="E317" s="3">
        <v>36.880001</v>
      </c>
      <c r="F317" s="3">
        <v>26.839718000000001</v>
      </c>
      <c r="G317" s="3">
        <v>21.780000999999999</v>
      </c>
      <c r="H317" s="3">
        <v>19.670000000000002</v>
      </c>
      <c r="I317" s="3">
        <v>40.808922000000003</v>
      </c>
      <c r="J317" s="3">
        <v>49.200001</v>
      </c>
      <c r="L317" s="11">
        <f t="shared" si="19"/>
        <v>-2.9439206295308631E-2</v>
      </c>
      <c r="M317" s="11">
        <f t="shared" si="19"/>
        <v>0</v>
      </c>
      <c r="N317" s="11">
        <f t="shared" si="19"/>
        <v>-9.4837197049526204E-3</v>
      </c>
      <c r="O317" s="11">
        <f t="shared" si="19"/>
        <v>4.9046320189473488E-3</v>
      </c>
      <c r="P317" s="11">
        <f t="shared" si="19"/>
        <v>4.4660198709379595E-2</v>
      </c>
      <c r="Q317" s="11">
        <f t="shared" si="19"/>
        <v>-3.7985779062976149E-2</v>
      </c>
      <c r="R317" s="11">
        <f t="shared" si="18"/>
        <v>9.7535934291581756E-3</v>
      </c>
      <c r="S317" s="11">
        <f t="shared" si="18"/>
        <v>1.9421962736132947E-2</v>
      </c>
      <c r="T317" s="11">
        <f t="shared" si="18"/>
        <v>-1.7964012693174141E-2</v>
      </c>
      <c r="U317" s="11">
        <f t="shared" si="17"/>
        <v>-1.792481206977053E-3</v>
      </c>
    </row>
    <row r="318" spans="1:21" x14ac:dyDescent="0.2">
      <c r="A318" s="1">
        <v>43976</v>
      </c>
      <c r="B318" s="3">
        <v>42.799999</v>
      </c>
      <c r="C318" s="3">
        <v>15.5</v>
      </c>
      <c r="D318" s="3">
        <v>18.98</v>
      </c>
      <c r="E318" s="3">
        <v>36.700001</v>
      </c>
      <c r="F318" s="3">
        <v>25.692295000000001</v>
      </c>
      <c r="G318" s="3">
        <v>22.639999</v>
      </c>
      <c r="H318" s="3">
        <v>19.48</v>
      </c>
      <c r="I318" s="3">
        <v>40.031433</v>
      </c>
      <c r="J318" s="3">
        <v>50.099997999999999</v>
      </c>
      <c r="L318" s="11">
        <f t="shared" si="19"/>
        <v>2.613282249179618E-2</v>
      </c>
      <c r="M318" s="11">
        <f t="shared" si="19"/>
        <v>5.9708343651246283E-2</v>
      </c>
      <c r="N318" s="11">
        <f t="shared" si="19"/>
        <v>-1.1458384819875786E-2</v>
      </c>
      <c r="O318" s="11">
        <f t="shared" si="19"/>
        <v>1.4092346341319326E-2</v>
      </c>
      <c r="P318" s="11">
        <f t="shared" si="19"/>
        <v>1.5779068138177268E-2</v>
      </c>
      <c r="Q318" s="11">
        <f t="shared" si="19"/>
        <v>6.8428406397904415E-2</v>
      </c>
      <c r="R318" s="11">
        <f t="shared" si="18"/>
        <v>4.3385109801821031E-2</v>
      </c>
      <c r="S318" s="11">
        <f t="shared" si="18"/>
        <v>4.8484888803946795E-2</v>
      </c>
      <c r="T318" s="11">
        <f t="shared" si="18"/>
        <v>-3.3817783966581211E-3</v>
      </c>
      <c r="U318" s="11">
        <f t="shared" si="17"/>
        <v>2.9018980267741936E-2</v>
      </c>
    </row>
    <row r="319" spans="1:21" x14ac:dyDescent="0.2">
      <c r="A319" s="1">
        <v>43973</v>
      </c>
      <c r="B319" s="3">
        <v>41.709999000000003</v>
      </c>
      <c r="C319" s="3">
        <v>14.626666</v>
      </c>
      <c r="D319" s="3">
        <v>19.200001</v>
      </c>
      <c r="E319" s="3">
        <v>36.189999</v>
      </c>
      <c r="F319" s="3">
        <v>25.293192000000001</v>
      </c>
      <c r="G319" s="3">
        <v>21.190000999999999</v>
      </c>
      <c r="H319" s="3">
        <v>18.670000000000002</v>
      </c>
      <c r="I319" s="3">
        <v>38.180267000000001</v>
      </c>
      <c r="J319" s="3">
        <v>50.27</v>
      </c>
      <c r="L319" s="11">
        <f t="shared" si="19"/>
        <v>-4.378725455725014E-2</v>
      </c>
      <c r="M319" s="11">
        <f t="shared" si="19"/>
        <v>5.9605226960110745E-3</v>
      </c>
      <c r="N319" s="11">
        <f t="shared" si="19"/>
        <v>6.8170424750917686E-3</v>
      </c>
      <c r="O319" s="11">
        <f t="shared" si="19"/>
        <v>-2.7556350852676026E-3</v>
      </c>
      <c r="P319" s="11">
        <f t="shared" si="19"/>
        <v>-5.5865866109111775E-2</v>
      </c>
      <c r="Q319" s="11">
        <f t="shared" si="19"/>
        <v>-2.350230306441007E-2</v>
      </c>
      <c r="R319" s="11">
        <f t="shared" si="18"/>
        <v>-2.7097497285174559E-2</v>
      </c>
      <c r="S319" s="11">
        <f t="shared" si="18"/>
        <v>-3.3278680285238935E-2</v>
      </c>
      <c r="T319" s="11">
        <f t="shared" si="18"/>
        <v>-1.6819890146295847E-2</v>
      </c>
      <c r="U319" s="11">
        <f t="shared" si="17"/>
        <v>-2.1147729040182896E-2</v>
      </c>
    </row>
    <row r="320" spans="1:21" x14ac:dyDescent="0.2">
      <c r="A320" s="1">
        <v>43972</v>
      </c>
      <c r="B320" s="3">
        <v>43.619999</v>
      </c>
      <c r="C320" s="3">
        <v>14.54</v>
      </c>
      <c r="D320" s="3">
        <v>19.07</v>
      </c>
      <c r="E320" s="3">
        <v>36.290000999999997</v>
      </c>
      <c r="F320" s="3">
        <v>26.789829000000001</v>
      </c>
      <c r="G320" s="3">
        <v>21.700001</v>
      </c>
      <c r="H320" s="3">
        <v>19.190000999999999</v>
      </c>
      <c r="I320" s="3">
        <v>39.494594999999997</v>
      </c>
      <c r="J320" s="3">
        <v>51.130001</v>
      </c>
      <c r="L320" s="11">
        <f t="shared" si="19"/>
        <v>7.7037012345679015E-2</v>
      </c>
      <c r="M320" s="11">
        <f t="shared" si="19"/>
        <v>7.3326824474745228E-2</v>
      </c>
      <c r="N320" s="11">
        <f t="shared" si="19"/>
        <v>-3.9294710327455976E-2</v>
      </c>
      <c r="O320" s="11">
        <f t="shared" si="19"/>
        <v>2.8045383230747314E-2</v>
      </c>
      <c r="P320" s="11">
        <f t="shared" si="19"/>
        <v>3.7255620382066473E-4</v>
      </c>
      <c r="Q320" s="11">
        <f t="shared" si="19"/>
        <v>5.2376331116569877E-2</v>
      </c>
      <c r="R320" s="11">
        <f t="shared" si="18"/>
        <v>-5.6993785336466041E-3</v>
      </c>
      <c r="S320" s="11">
        <f t="shared" si="18"/>
        <v>4.943435187391107E-2</v>
      </c>
      <c r="T320" s="11">
        <f t="shared" si="18"/>
        <v>-2.6095219047619047E-2</v>
      </c>
      <c r="U320" s="11">
        <f t="shared" si="17"/>
        <v>2.3278127926305722E-2</v>
      </c>
    </row>
    <row r="321" spans="1:21" x14ac:dyDescent="0.2">
      <c r="A321" s="1">
        <v>43971</v>
      </c>
      <c r="B321" s="3">
        <v>40.5</v>
      </c>
      <c r="C321" s="3">
        <v>13.546666</v>
      </c>
      <c r="D321" s="3">
        <v>19.850000000000001</v>
      </c>
      <c r="E321" s="3">
        <v>35.299999</v>
      </c>
      <c r="F321" s="3">
        <v>26.779852000000002</v>
      </c>
      <c r="G321" s="3">
        <v>20.620000999999998</v>
      </c>
      <c r="H321" s="3">
        <v>19.299999</v>
      </c>
      <c r="I321" s="3">
        <v>37.634174000000002</v>
      </c>
      <c r="J321" s="3">
        <v>52.5</v>
      </c>
      <c r="L321" s="11">
        <f t="shared" si="19"/>
        <v>-2.8543992049508089E-2</v>
      </c>
      <c r="M321" s="11">
        <f t="shared" si="19"/>
        <v>-1.9646611484445105E-3</v>
      </c>
      <c r="N321" s="11">
        <f t="shared" si="19"/>
        <v>-9.4810873512430841E-3</v>
      </c>
      <c r="O321" s="11">
        <f t="shared" si="19"/>
        <v>6.5582834331337153E-3</v>
      </c>
      <c r="P321" s="11">
        <f t="shared" si="19"/>
        <v>-3.4879565962976568E-2</v>
      </c>
      <c r="Q321" s="11">
        <f t="shared" si="19"/>
        <v>4.8296949669547368E-2</v>
      </c>
      <c r="R321" s="11">
        <f t="shared" si="18"/>
        <v>3.3190524625267663E-2</v>
      </c>
      <c r="S321" s="11">
        <f t="shared" si="18"/>
        <v>1.7008451340610724E-2</v>
      </c>
      <c r="T321" s="11">
        <f t="shared" si="18"/>
        <v>3.8241109717803306E-3</v>
      </c>
      <c r="U321" s="11">
        <f t="shared" si="17"/>
        <v>3.7787792809075055E-3</v>
      </c>
    </row>
    <row r="322" spans="1:21" x14ac:dyDescent="0.2">
      <c r="A322" s="1">
        <v>43970</v>
      </c>
      <c r="B322" s="3">
        <v>41.689999</v>
      </c>
      <c r="C322" s="3">
        <v>13.573333</v>
      </c>
      <c r="D322" s="3">
        <v>20.040001</v>
      </c>
      <c r="E322" s="3">
        <v>35.07</v>
      </c>
      <c r="F322" s="3">
        <v>27.747679000000002</v>
      </c>
      <c r="G322" s="3">
        <v>19.670000000000002</v>
      </c>
      <c r="H322" s="3">
        <v>18.68</v>
      </c>
      <c r="I322" s="3">
        <v>37.004779999999997</v>
      </c>
      <c r="J322" s="3">
        <v>52.299999</v>
      </c>
      <c r="L322" s="11">
        <f t="shared" si="19"/>
        <v>5.1450110897850634E-2</v>
      </c>
      <c r="M322" s="11">
        <f t="shared" si="19"/>
        <v>-3.0245274124566488E-2</v>
      </c>
      <c r="N322" s="11">
        <f t="shared" si="19"/>
        <v>2.0000500000000089E-3</v>
      </c>
      <c r="O322" s="11">
        <f t="shared" si="19"/>
        <v>4.6553330143439493E-2</v>
      </c>
      <c r="P322" s="11">
        <f t="shared" si="19"/>
        <v>3.4213449917388436E-2</v>
      </c>
      <c r="Q322" s="11">
        <f t="shared" si="19"/>
        <v>1.4440485530711073E-2</v>
      </c>
      <c r="R322" s="11">
        <f t="shared" si="18"/>
        <v>7.5511862162250983E-3</v>
      </c>
      <c r="S322" s="11">
        <f t="shared" si="18"/>
        <v>2.5128300396706493E-2</v>
      </c>
      <c r="T322" s="11">
        <f t="shared" si="18"/>
        <v>2.0288744451375056E-2</v>
      </c>
      <c r="U322" s="11">
        <f t="shared" si="17"/>
        <v>1.9042264825458868E-2</v>
      </c>
    </row>
    <row r="323" spans="1:21" x14ac:dyDescent="0.2">
      <c r="A323" s="1">
        <v>43969</v>
      </c>
      <c r="B323" s="3">
        <v>39.650002000000001</v>
      </c>
      <c r="C323" s="3">
        <v>13.996665999999999</v>
      </c>
      <c r="D323" s="3">
        <v>20</v>
      </c>
      <c r="E323" s="3">
        <v>33.509998000000003</v>
      </c>
      <c r="F323" s="3">
        <v>26.829740999999999</v>
      </c>
      <c r="G323" s="3">
        <v>19.389999</v>
      </c>
      <c r="H323" s="3">
        <v>18.540001</v>
      </c>
      <c r="I323" s="3">
        <v>36.097706000000002</v>
      </c>
      <c r="J323" s="3">
        <v>51.259998000000003</v>
      </c>
      <c r="L323" s="11">
        <f t="shared" si="19"/>
        <v>2.3225858064516144E-2</v>
      </c>
      <c r="M323" s="11">
        <f t="shared" si="19"/>
        <v>6.1962518968133512E-2</v>
      </c>
      <c r="N323" s="11">
        <f t="shared" si="19"/>
        <v>-7.9613437643810417E-2</v>
      </c>
      <c r="O323" s="11">
        <f t="shared" si="19"/>
        <v>0.10960254603965089</v>
      </c>
      <c r="P323" s="11">
        <f t="shared" si="19"/>
        <v>1.4334311635392642E-2</v>
      </c>
      <c r="Q323" s="11">
        <f t="shared" si="19"/>
        <v>7.1270662983425298E-2</v>
      </c>
      <c r="R323" s="11">
        <f t="shared" si="18"/>
        <v>8.1049620991253749E-2</v>
      </c>
      <c r="S323" s="11">
        <f t="shared" si="18"/>
        <v>5.5480331964689086E-2</v>
      </c>
      <c r="T323" s="11">
        <f t="shared" si="18"/>
        <v>6.6805391608853168E-2</v>
      </c>
      <c r="U323" s="11">
        <f t="shared" si="17"/>
        <v>4.4901978290233791E-2</v>
      </c>
    </row>
    <row r="324" spans="1:21" x14ac:dyDescent="0.2">
      <c r="A324" s="1">
        <v>43966</v>
      </c>
      <c r="B324" s="3">
        <v>38.75</v>
      </c>
      <c r="C324" s="3">
        <v>13.18</v>
      </c>
      <c r="D324" s="3">
        <v>21.73</v>
      </c>
      <c r="E324" s="3">
        <v>30.200001</v>
      </c>
      <c r="F324" s="3">
        <v>26.450589999999998</v>
      </c>
      <c r="G324" s="3">
        <v>18.100000000000001</v>
      </c>
      <c r="H324" s="3">
        <v>17.149999999999999</v>
      </c>
      <c r="I324" s="3">
        <v>34.200263999999997</v>
      </c>
      <c r="J324" s="3">
        <v>48.049999</v>
      </c>
      <c r="L324" s="11">
        <f t="shared" si="19"/>
        <v>1.0957421812813881E-2</v>
      </c>
      <c r="M324" s="11">
        <f t="shared" si="19"/>
        <v>4.5478638047521773E-2</v>
      </c>
      <c r="N324" s="11">
        <f t="shared" si="19"/>
        <v>-2.7305282005371505E-2</v>
      </c>
      <c r="O324" s="11">
        <f t="shared" si="19"/>
        <v>3.1068623043065111E-2</v>
      </c>
      <c r="P324" s="11">
        <f t="shared" si="19"/>
        <v>-2.4291537103834363E-2</v>
      </c>
      <c r="Q324" s="11">
        <f t="shared" si="19"/>
        <v>-3.053026245313338E-2</v>
      </c>
      <c r="R324" s="11">
        <f t="shared" si="18"/>
        <v>-1.4367816091954025E-2</v>
      </c>
      <c r="S324" s="11">
        <f t="shared" si="18"/>
        <v>-2.429364540480098E-2</v>
      </c>
      <c r="T324" s="11">
        <f t="shared" si="18"/>
        <v>-8.3179455188196554E-4</v>
      </c>
      <c r="U324" s="11">
        <f t="shared" si="17"/>
        <v>-3.7906283008417169E-3</v>
      </c>
    </row>
    <row r="325" spans="1:21" x14ac:dyDescent="0.2">
      <c r="A325" s="1">
        <v>43965</v>
      </c>
      <c r="B325" s="3">
        <v>38.330002</v>
      </c>
      <c r="C325" s="3">
        <v>12.606666000000001</v>
      </c>
      <c r="D325" s="3">
        <v>22.34</v>
      </c>
      <c r="E325" s="3">
        <v>29.290001</v>
      </c>
      <c r="F325" s="3">
        <v>27.109112</v>
      </c>
      <c r="G325" s="3">
        <v>18.670000000000002</v>
      </c>
      <c r="H325" s="3">
        <v>17.399999999999999</v>
      </c>
      <c r="I325" s="3">
        <v>35.0518</v>
      </c>
      <c r="J325" s="3">
        <v>48.09</v>
      </c>
      <c r="L325" s="11">
        <f t="shared" si="19"/>
        <v>-2.6910307867740811E-2</v>
      </c>
      <c r="M325" s="11">
        <f t="shared" si="19"/>
        <v>4.5907053260703927E-2</v>
      </c>
      <c r="N325" s="11">
        <f t="shared" si="19"/>
        <v>-4.1613000498198278E-2</v>
      </c>
      <c r="O325" s="11">
        <f t="shared" si="19"/>
        <v>7.2500991303588072E-2</v>
      </c>
      <c r="P325" s="11">
        <f t="shared" si="19"/>
        <v>-1.4700713171151695E-3</v>
      </c>
      <c r="Q325" s="11">
        <f t="shared" si="19"/>
        <v>2.5824119460213291E-2</v>
      </c>
      <c r="R325" s="11">
        <f t="shared" si="18"/>
        <v>-1.0801591813530487E-2</v>
      </c>
      <c r="S325" s="11">
        <f t="shared" si="18"/>
        <v>-6.9075635327235596E-2</v>
      </c>
      <c r="T325" s="11">
        <f t="shared" si="18"/>
        <v>-9.2707249841217192E-3</v>
      </c>
      <c r="U325" s="11">
        <f t="shared" si="17"/>
        <v>-1.6565741981596413E-3</v>
      </c>
    </row>
    <row r="326" spans="1:21" x14ac:dyDescent="0.2">
      <c r="A326" s="1">
        <v>43964</v>
      </c>
      <c r="B326" s="3">
        <v>39.389999000000003</v>
      </c>
      <c r="C326" s="3">
        <v>12.053333</v>
      </c>
      <c r="D326" s="3">
        <v>23.309999000000001</v>
      </c>
      <c r="E326" s="3">
        <v>27.309999000000001</v>
      </c>
      <c r="F326" s="3">
        <v>27.149023</v>
      </c>
      <c r="G326" s="3">
        <v>18.200001</v>
      </c>
      <c r="H326" s="3">
        <v>17.59</v>
      </c>
      <c r="I326" s="3">
        <v>37.652683000000003</v>
      </c>
      <c r="J326" s="3">
        <v>48.540000999999997</v>
      </c>
      <c r="L326" s="11">
        <f t="shared" si="19"/>
        <v>-2.6205240390476066E-2</v>
      </c>
      <c r="M326" s="11">
        <f t="shared" si="19"/>
        <v>1.203467674223343E-2</v>
      </c>
      <c r="N326" s="11">
        <f t="shared" si="19"/>
        <v>7.9166620370370352E-2</v>
      </c>
      <c r="O326" s="11">
        <f t="shared" si="19"/>
        <v>-7.2701199563795097E-3</v>
      </c>
      <c r="P326" s="11">
        <f t="shared" si="19"/>
        <v>3.775741992677558E-2</v>
      </c>
      <c r="Q326" s="11">
        <f t="shared" si="19"/>
        <v>1.1673207337409777E-2</v>
      </c>
      <c r="R326" s="11">
        <f t="shared" si="18"/>
        <v>-3.0319681936035372E-2</v>
      </c>
      <c r="S326" s="11">
        <f t="shared" si="18"/>
        <v>0</v>
      </c>
      <c r="T326" s="11">
        <f t="shared" si="18"/>
        <v>2.2756047677118432E-2</v>
      </c>
      <c r="U326" s="11">
        <f t="shared" si="17"/>
        <v>1.1065881085668512E-2</v>
      </c>
    </row>
    <row r="327" spans="1:21" x14ac:dyDescent="0.2">
      <c r="A327" s="1">
        <v>43963</v>
      </c>
      <c r="B327" s="3">
        <v>40.450001</v>
      </c>
      <c r="C327" s="3">
        <v>11.91</v>
      </c>
      <c r="D327" s="3">
        <v>21.6</v>
      </c>
      <c r="E327" s="3">
        <v>27.51</v>
      </c>
      <c r="F327" s="3">
        <v>26.161242000000001</v>
      </c>
      <c r="G327" s="3">
        <v>17.989999999999998</v>
      </c>
      <c r="H327" s="3">
        <v>18.139999</v>
      </c>
      <c r="I327" s="3">
        <v>37.652683000000003</v>
      </c>
      <c r="J327" s="3">
        <v>47.459999000000003</v>
      </c>
      <c r="L327" s="11">
        <f t="shared" si="19"/>
        <v>-4.3735178338893094E-2</v>
      </c>
      <c r="M327" s="11">
        <f t="shared" si="19"/>
        <v>-2.9076034188914947E-2</v>
      </c>
      <c r="N327" s="11">
        <f t="shared" si="19"/>
        <v>-2.7700831024930158E-3</v>
      </c>
      <c r="O327" s="11">
        <f t="shared" si="19"/>
        <v>-2.0996441281138783E-2</v>
      </c>
      <c r="P327" s="11">
        <f t="shared" si="19"/>
        <v>-1.903237434115663E-3</v>
      </c>
      <c r="Q327" s="11">
        <f t="shared" si="19"/>
        <v>-2.1218662743126539E-2</v>
      </c>
      <c r="R327" s="11">
        <f t="shared" si="18"/>
        <v>-5.5101928374650354E-4</v>
      </c>
      <c r="S327" s="11">
        <f t="shared" si="18"/>
        <v>-2.795711099905223E-2</v>
      </c>
      <c r="T327" s="11">
        <f t="shared" si="18"/>
        <v>-5.6568405614915883E-3</v>
      </c>
      <c r="U327" s="11">
        <f t="shared" ref="U327:U390" si="20">AVERAGE(L327:T327)</f>
        <v>-1.7096067548108038E-2</v>
      </c>
    </row>
    <row r="328" spans="1:21" x14ac:dyDescent="0.2">
      <c r="A328" s="1">
        <v>43962</v>
      </c>
      <c r="B328" s="3">
        <v>42.299999</v>
      </c>
      <c r="C328" s="3">
        <v>12.266666000000001</v>
      </c>
      <c r="D328" s="3">
        <v>21.66</v>
      </c>
      <c r="E328" s="3">
        <v>28.1</v>
      </c>
      <c r="F328" s="3">
        <v>26.211127999999999</v>
      </c>
      <c r="G328" s="3">
        <v>18.379999000000002</v>
      </c>
      <c r="H328" s="3">
        <v>18.149999999999999</v>
      </c>
      <c r="I328" s="3">
        <v>38.735619</v>
      </c>
      <c r="J328" s="3">
        <v>47.73</v>
      </c>
      <c r="L328" s="11">
        <f t="shared" si="19"/>
        <v>1.4388440901955839E-2</v>
      </c>
      <c r="M328" s="11">
        <f t="shared" si="19"/>
        <v>-2.5423730160155082E-2</v>
      </c>
      <c r="N328" s="11">
        <f t="shared" si="19"/>
        <v>7.9106561191252551E-3</v>
      </c>
      <c r="O328" s="11">
        <f t="shared" si="19"/>
        <v>-5.2276559865092657E-2</v>
      </c>
      <c r="P328" s="11">
        <f t="shared" si="19"/>
        <v>-2.3420141746645872E-2</v>
      </c>
      <c r="Q328" s="11">
        <f t="shared" si="19"/>
        <v>-2.4416188959660207E-2</v>
      </c>
      <c r="R328" s="11">
        <f t="shared" si="18"/>
        <v>-1.7857142857142957E-2</v>
      </c>
      <c r="S328" s="11">
        <f t="shared" si="18"/>
        <v>-3.593631512250664E-2</v>
      </c>
      <c r="T328" s="11">
        <f t="shared" si="18"/>
        <v>-2.2927288553829674E-2</v>
      </c>
      <c r="U328" s="11">
        <f t="shared" si="20"/>
        <v>-1.9995363360439108E-2</v>
      </c>
    </row>
    <row r="329" spans="1:21" x14ac:dyDescent="0.2">
      <c r="A329" s="1">
        <v>43959</v>
      </c>
      <c r="B329" s="3">
        <v>41.700001</v>
      </c>
      <c r="C329" s="3">
        <v>12.586665999999999</v>
      </c>
      <c r="D329" s="3">
        <v>21.49</v>
      </c>
      <c r="E329" s="3">
        <v>29.65</v>
      </c>
      <c r="F329" s="3">
        <v>26.839718000000001</v>
      </c>
      <c r="G329" s="3">
        <v>18.84</v>
      </c>
      <c r="H329" s="3">
        <v>18.48</v>
      </c>
      <c r="I329" s="3">
        <v>40.179523000000003</v>
      </c>
      <c r="J329" s="3">
        <v>48.849997999999999</v>
      </c>
      <c r="L329" s="11">
        <f t="shared" si="19"/>
        <v>9.6017762842063681E-4</v>
      </c>
      <c r="M329" s="11">
        <f t="shared" si="19"/>
        <v>2.4694681809896264E-2</v>
      </c>
      <c r="N329" s="11">
        <f t="shared" si="19"/>
        <v>5.0342182323664761E-2</v>
      </c>
      <c r="O329" s="11">
        <f t="shared" si="19"/>
        <v>-4.0309035942224054E-3</v>
      </c>
      <c r="P329" s="11">
        <f t="shared" si="19"/>
        <v>3.7313093748928732E-3</v>
      </c>
      <c r="Q329" s="11">
        <f t="shared" si="19"/>
        <v>2.1691918563345042E-2</v>
      </c>
      <c r="R329" s="11">
        <f t="shared" si="18"/>
        <v>5.9632966764164852E-2</v>
      </c>
      <c r="S329" s="11">
        <f t="shared" si="18"/>
        <v>-1.2735955652103254E-2</v>
      </c>
      <c r="T329" s="11">
        <f t="shared" si="18"/>
        <v>6.0803454089108658E-2</v>
      </c>
      <c r="U329" s="11">
        <f t="shared" si="20"/>
        <v>2.2787759034129711E-2</v>
      </c>
    </row>
    <row r="330" spans="1:21" x14ac:dyDescent="0.2">
      <c r="A330" s="1">
        <v>43958</v>
      </c>
      <c r="B330" s="3">
        <v>41.66</v>
      </c>
      <c r="C330" s="3">
        <v>12.283333000000001</v>
      </c>
      <c r="D330" s="3">
        <v>20.459999</v>
      </c>
      <c r="E330" s="3">
        <v>29.77</v>
      </c>
      <c r="F330" s="3">
        <v>26.739943</v>
      </c>
      <c r="G330" s="3">
        <v>18.440000999999999</v>
      </c>
      <c r="H330" s="3">
        <v>17.440000999999999</v>
      </c>
      <c r="I330" s="3">
        <v>40.697848999999998</v>
      </c>
      <c r="J330" s="3">
        <v>46.049999</v>
      </c>
      <c r="L330" s="11">
        <f t="shared" si="19"/>
        <v>-2.7317346377896592E-2</v>
      </c>
      <c r="M330" s="11">
        <f t="shared" si="19"/>
        <v>-4.1363164447532845E-2</v>
      </c>
      <c r="N330" s="11">
        <f t="shared" si="19"/>
        <v>0.1011840150699678</v>
      </c>
      <c r="O330" s="11">
        <f t="shared" si="19"/>
        <v>-8.4000000000000019E-2</v>
      </c>
      <c r="P330" s="11">
        <f t="shared" si="19"/>
        <v>-2.2611210468623844E-2</v>
      </c>
      <c r="Q330" s="11">
        <f t="shared" si="19"/>
        <v>-4.4559484174066584E-2</v>
      </c>
      <c r="R330" s="11">
        <f t="shared" si="18"/>
        <v>9.2592587234225365E-3</v>
      </c>
      <c r="S330" s="11">
        <f t="shared" si="18"/>
        <v>-1.5008958930697215E-2</v>
      </c>
      <c r="T330" s="11">
        <f t="shared" si="18"/>
        <v>3.8799840342890114E-2</v>
      </c>
      <c r="U330" s="11">
        <f t="shared" si="20"/>
        <v>-9.5130055847262932E-3</v>
      </c>
    </row>
    <row r="331" spans="1:21" x14ac:dyDescent="0.2">
      <c r="A331" s="1">
        <v>43957</v>
      </c>
      <c r="B331" s="3">
        <v>42.830002</v>
      </c>
      <c r="C331" s="3">
        <v>12.813333</v>
      </c>
      <c r="D331" s="3">
        <v>18.579999999999998</v>
      </c>
      <c r="E331" s="3">
        <v>32.5</v>
      </c>
      <c r="F331" s="3">
        <v>27.358553000000001</v>
      </c>
      <c r="G331" s="3">
        <v>19.299999</v>
      </c>
      <c r="H331" s="3">
        <v>17.280000999999999</v>
      </c>
      <c r="I331" s="3">
        <v>41.317988999999997</v>
      </c>
      <c r="J331" s="3">
        <v>44.330002</v>
      </c>
      <c r="L331" s="11">
        <f t="shared" si="19"/>
        <v>2.956740526766374E-2</v>
      </c>
      <c r="M331" s="11">
        <f t="shared" si="19"/>
        <v>-7.743934118325582E-3</v>
      </c>
      <c r="N331" s="11">
        <f t="shared" si="19"/>
        <v>-6.417165432237251E-3</v>
      </c>
      <c r="O331" s="11">
        <f t="shared" si="19"/>
        <v>-3.3600980267589051E-2</v>
      </c>
      <c r="P331" s="11">
        <f t="shared" si="19"/>
        <v>7.3610065469740041E-2</v>
      </c>
      <c r="Q331" s="11">
        <f t="shared" si="19"/>
        <v>-1.9807109202279832E-2</v>
      </c>
      <c r="R331" s="11">
        <f t="shared" si="18"/>
        <v>-3.6789295608177515E-2</v>
      </c>
      <c r="S331" s="11">
        <f t="shared" si="18"/>
        <v>1.5006740346182273E-2</v>
      </c>
      <c r="T331" s="11">
        <f t="shared" si="18"/>
        <v>1.4416498525938249E-2</v>
      </c>
      <c r="U331" s="11">
        <f t="shared" si="20"/>
        <v>3.1380249978794515E-3</v>
      </c>
    </row>
    <row r="332" spans="1:21" x14ac:dyDescent="0.2">
      <c r="A332" s="1">
        <v>43956</v>
      </c>
      <c r="B332" s="3">
        <v>41.599997999999999</v>
      </c>
      <c r="C332" s="3">
        <v>12.913333</v>
      </c>
      <c r="D332" s="3">
        <v>18.700001</v>
      </c>
      <c r="E332" s="3">
        <v>33.630001</v>
      </c>
      <c r="F332" s="3">
        <v>25.482765000000001</v>
      </c>
      <c r="G332" s="3">
        <v>19.690000999999999</v>
      </c>
      <c r="H332" s="3">
        <v>17.940000999999999</v>
      </c>
      <c r="I332" s="3">
        <v>40.707107999999998</v>
      </c>
      <c r="J332" s="3">
        <v>43.700001</v>
      </c>
      <c r="L332" s="11">
        <f t="shared" si="19"/>
        <v>1.7114815789006532E-2</v>
      </c>
      <c r="M332" s="11">
        <f t="shared" si="19"/>
        <v>9.3798856013518304E-3</v>
      </c>
      <c r="N332" s="11">
        <f t="shared" si="19"/>
        <v>5.1743529148283049E-2</v>
      </c>
      <c r="O332" s="11">
        <f t="shared" si="19"/>
        <v>6.584884765040511E-3</v>
      </c>
      <c r="P332" s="11">
        <f t="shared" si="19"/>
        <v>1.108465788377554E-2</v>
      </c>
      <c r="Q332" s="11">
        <f t="shared" si="19"/>
        <v>-1.4514464464464548E-2</v>
      </c>
      <c r="R332" s="11">
        <f t="shared" si="18"/>
        <v>3.2221060542063161E-2</v>
      </c>
      <c r="S332" s="11">
        <f t="shared" si="18"/>
        <v>2.5174854973161381E-2</v>
      </c>
      <c r="T332" s="11">
        <f t="shared" si="18"/>
        <v>-5.2355793307534574E-3</v>
      </c>
      <c r="U332" s="11">
        <f t="shared" si="20"/>
        <v>1.4839293878607111E-2</v>
      </c>
    </row>
    <row r="333" spans="1:21" x14ac:dyDescent="0.2">
      <c r="A333" s="1">
        <v>43955</v>
      </c>
      <c r="B333" s="3">
        <v>40.900002000000001</v>
      </c>
      <c r="C333" s="3">
        <v>12.793333000000001</v>
      </c>
      <c r="D333" s="3">
        <v>17.780000999999999</v>
      </c>
      <c r="E333" s="3">
        <v>33.409999999999997</v>
      </c>
      <c r="F333" s="3">
        <v>25.203393999999999</v>
      </c>
      <c r="G333" s="3">
        <v>19.98</v>
      </c>
      <c r="H333" s="3">
        <v>17.379999000000002</v>
      </c>
      <c r="I333" s="3">
        <v>39.707478000000002</v>
      </c>
      <c r="J333" s="3">
        <v>43.93</v>
      </c>
      <c r="L333" s="11">
        <f t="shared" si="19"/>
        <v>-3.7647011764705869E-2</v>
      </c>
      <c r="M333" s="11">
        <f t="shared" si="19"/>
        <v>-1.041098440452759E-3</v>
      </c>
      <c r="N333" s="11">
        <f t="shared" si="19"/>
        <v>-1.6843347380312954E-3</v>
      </c>
      <c r="O333" s="11">
        <f t="shared" si="19"/>
        <v>-2.281365963187082E-2</v>
      </c>
      <c r="P333" s="11">
        <f t="shared" si="19"/>
        <v>1.5273375495342344E-2</v>
      </c>
      <c r="Q333" s="11">
        <f t="shared" si="19"/>
        <v>-4.3561466900979708E-2</v>
      </c>
      <c r="R333" s="11">
        <f t="shared" si="18"/>
        <v>-3.7119115629867798E-2</v>
      </c>
      <c r="S333" s="11">
        <f t="shared" si="18"/>
        <v>-4.3478252490709787E-2</v>
      </c>
      <c r="T333" s="11">
        <f t="shared" si="18"/>
        <v>-2.0731185449594555E-2</v>
      </c>
      <c r="U333" s="11">
        <f t="shared" si="20"/>
        <v>-2.1422527727874476E-2</v>
      </c>
    </row>
    <row r="334" spans="1:21" x14ac:dyDescent="0.2">
      <c r="A334" s="1">
        <v>43951</v>
      </c>
      <c r="B334" s="3">
        <v>42.5</v>
      </c>
      <c r="C334" s="3">
        <v>12.806666</v>
      </c>
      <c r="D334" s="3">
        <v>17.809999000000001</v>
      </c>
      <c r="E334" s="3">
        <v>34.189999</v>
      </c>
      <c r="F334" s="3">
        <v>24.824244</v>
      </c>
      <c r="G334" s="3">
        <v>20.889999</v>
      </c>
      <c r="H334" s="3">
        <v>18.049999</v>
      </c>
      <c r="I334" s="3">
        <v>41.512363000000001</v>
      </c>
      <c r="J334" s="3">
        <v>44.860000999999997</v>
      </c>
      <c r="L334" s="11">
        <f t="shared" si="19"/>
        <v>-7.7691012252994268E-2</v>
      </c>
      <c r="M334" s="11">
        <f t="shared" si="19"/>
        <v>-3.7092781954887279E-2</v>
      </c>
      <c r="N334" s="11">
        <f t="shared" si="19"/>
        <v>1.8878661327231167E-2</v>
      </c>
      <c r="O334" s="11">
        <f t="shared" si="19"/>
        <v>-5.4218613874488869E-2</v>
      </c>
      <c r="P334" s="11">
        <f t="shared" si="19"/>
        <v>-3.4536300790479271E-2</v>
      </c>
      <c r="Q334" s="11">
        <f t="shared" si="19"/>
        <v>-6.6160122210097316E-2</v>
      </c>
      <c r="R334" s="11">
        <f t="shared" si="18"/>
        <v>-8.2418676790182947E-3</v>
      </c>
      <c r="S334" s="11">
        <f t="shared" si="18"/>
        <v>-5.8564244105498459E-2</v>
      </c>
      <c r="T334" s="11">
        <f t="shared" si="18"/>
        <v>-4.001709822383908E-2</v>
      </c>
      <c r="U334" s="11">
        <f t="shared" si="20"/>
        <v>-3.9738153307119072E-2</v>
      </c>
    </row>
    <row r="335" spans="1:21" x14ac:dyDescent="0.2">
      <c r="A335" s="1">
        <v>43950</v>
      </c>
      <c r="B335" s="3">
        <v>46.080002</v>
      </c>
      <c r="C335" s="3">
        <v>13.3</v>
      </c>
      <c r="D335" s="3">
        <v>17.48</v>
      </c>
      <c r="E335" s="3">
        <v>36.150002000000001</v>
      </c>
      <c r="F335" s="3">
        <v>25.712250000000001</v>
      </c>
      <c r="G335" s="3">
        <v>22.370000999999998</v>
      </c>
      <c r="H335" s="3">
        <v>18.200001</v>
      </c>
      <c r="I335" s="3">
        <v>44.094738</v>
      </c>
      <c r="J335" s="3">
        <v>46.73</v>
      </c>
      <c r="L335" s="11">
        <f t="shared" si="19"/>
        <v>1.0748014915551588E-2</v>
      </c>
      <c r="M335" s="11">
        <f t="shared" si="19"/>
        <v>2.5126131915886004E-3</v>
      </c>
      <c r="N335" s="11">
        <f t="shared" si="19"/>
        <v>-2.5641079953116968E-2</v>
      </c>
      <c r="O335" s="11">
        <f t="shared" si="19"/>
        <v>2.6988664006003873E-2</v>
      </c>
      <c r="P335" s="11">
        <f t="shared" si="19"/>
        <v>2.3024959744048914E-2</v>
      </c>
      <c r="Q335" s="11">
        <f t="shared" si="19"/>
        <v>2.8033134191176326E-2</v>
      </c>
      <c r="R335" s="11">
        <f t="shared" si="18"/>
        <v>5.5072521739130451E-2</v>
      </c>
      <c r="S335" s="11">
        <f t="shared" si="18"/>
        <v>1.6428458248088716E-2</v>
      </c>
      <c r="T335" s="11">
        <f t="shared" si="18"/>
        <v>4.7522953429209744E-2</v>
      </c>
      <c r="U335" s="11">
        <f t="shared" si="20"/>
        <v>2.0521137723520138E-2</v>
      </c>
    </row>
    <row r="336" spans="1:21" x14ac:dyDescent="0.2">
      <c r="A336" s="1">
        <v>43949</v>
      </c>
      <c r="B336" s="3">
        <v>45.59</v>
      </c>
      <c r="C336" s="3">
        <v>13.266666000000001</v>
      </c>
      <c r="D336" s="3">
        <v>17.940000999999999</v>
      </c>
      <c r="E336" s="3">
        <v>35.200001</v>
      </c>
      <c r="F336" s="3">
        <v>25.133551000000001</v>
      </c>
      <c r="G336" s="3">
        <v>21.76</v>
      </c>
      <c r="H336" s="3">
        <v>17.25</v>
      </c>
      <c r="I336" s="3">
        <v>43.382038000000001</v>
      </c>
      <c r="J336" s="3">
        <v>44.610000999999997</v>
      </c>
      <c r="L336" s="11">
        <f t="shared" si="19"/>
        <v>7.0187843670790881E-2</v>
      </c>
      <c r="M336" s="11">
        <f t="shared" si="19"/>
        <v>1.4529697401463131E-2</v>
      </c>
      <c r="N336" s="11">
        <f t="shared" si="19"/>
        <v>-3.8866740699612882E-3</v>
      </c>
      <c r="O336" s="11">
        <f t="shared" si="19"/>
        <v>5.0746298507462699E-2</v>
      </c>
      <c r="P336" s="11">
        <f t="shared" si="19"/>
        <v>4.958336425331817E-2</v>
      </c>
      <c r="Q336" s="11">
        <f t="shared" si="19"/>
        <v>3.3238415633353086E-2</v>
      </c>
      <c r="R336" s="11">
        <f t="shared" si="18"/>
        <v>4.8632155098349214E-2</v>
      </c>
      <c r="S336" s="11">
        <f t="shared" si="18"/>
        <v>4.2714055738067393E-2</v>
      </c>
      <c r="T336" s="11">
        <f t="shared" si="18"/>
        <v>1.3468462704117508E-3</v>
      </c>
      <c r="U336" s="11">
        <f t="shared" si="20"/>
        <v>3.4121333611472786E-2</v>
      </c>
    </row>
    <row r="337" spans="1:21" x14ac:dyDescent="0.2">
      <c r="A337" s="1">
        <v>43948</v>
      </c>
      <c r="B337" s="3">
        <v>42.599997999999999</v>
      </c>
      <c r="C337" s="3">
        <v>13.076665999999999</v>
      </c>
      <c r="D337" s="3">
        <v>18.010000000000002</v>
      </c>
      <c r="E337" s="3">
        <v>33.5</v>
      </c>
      <c r="F337" s="3">
        <v>23.946217000000001</v>
      </c>
      <c r="G337" s="3">
        <v>21.059999000000001</v>
      </c>
      <c r="H337" s="3">
        <v>16.450001</v>
      </c>
      <c r="I337" s="3">
        <v>41.604922999999999</v>
      </c>
      <c r="J337" s="3">
        <v>44.549999</v>
      </c>
      <c r="L337" s="11">
        <f t="shared" si="19"/>
        <v>-9.0719698035835773E-3</v>
      </c>
      <c r="M337" s="11">
        <f t="shared" si="19"/>
        <v>6.0270244872168768E-2</v>
      </c>
      <c r="N337" s="11">
        <f t="shared" si="19"/>
        <v>5.9411764705882442E-2</v>
      </c>
      <c r="O337" s="11">
        <f t="shared" si="19"/>
        <v>1.57671315949061E-2</v>
      </c>
      <c r="P337" s="11">
        <f t="shared" si="19"/>
        <v>6.666673496787931E-2</v>
      </c>
      <c r="Q337" s="11">
        <f t="shared" si="19"/>
        <v>2.3323566569485081E-2</v>
      </c>
      <c r="R337" s="11">
        <f t="shared" si="18"/>
        <v>3.1348025078369972E-2</v>
      </c>
      <c r="S337" s="11">
        <f t="shared" si="18"/>
        <v>2.0894852248722371E-2</v>
      </c>
      <c r="T337" s="11">
        <f t="shared" si="18"/>
        <v>1.8053040130394809E-2</v>
      </c>
      <c r="U337" s="11">
        <f t="shared" si="20"/>
        <v>3.1851487818247259E-2</v>
      </c>
    </row>
    <row r="338" spans="1:21" x14ac:dyDescent="0.2">
      <c r="A338" s="1">
        <v>43945</v>
      </c>
      <c r="B338" s="3">
        <v>42.990001999999997</v>
      </c>
      <c r="C338" s="3">
        <v>12.333333</v>
      </c>
      <c r="D338" s="3">
        <v>17</v>
      </c>
      <c r="E338" s="3">
        <v>32.979999999999997</v>
      </c>
      <c r="F338" s="3">
        <v>22.449577000000001</v>
      </c>
      <c r="G338" s="3">
        <v>20.58</v>
      </c>
      <c r="H338" s="3">
        <v>15.95</v>
      </c>
      <c r="I338" s="3">
        <v>40.753386999999996</v>
      </c>
      <c r="J338" s="3">
        <v>43.759998000000003</v>
      </c>
      <c r="L338" s="11">
        <f t="shared" si="19"/>
        <v>-3.328084026802712E-2</v>
      </c>
      <c r="M338" s="11">
        <f t="shared" si="19"/>
        <v>-0.1030303272727273</v>
      </c>
      <c r="N338" s="11">
        <f t="shared" si="19"/>
        <v>2.3585496673673256E-3</v>
      </c>
      <c r="O338" s="11">
        <f t="shared" si="19"/>
        <v>-5.7175528873642086E-2</v>
      </c>
      <c r="P338" s="11">
        <f t="shared" si="19"/>
        <v>-8.0130878740280811E-2</v>
      </c>
      <c r="Q338" s="11">
        <f t="shared" si="19"/>
        <v>-0.10443864229765022</v>
      </c>
      <c r="R338" s="11">
        <f t="shared" si="18"/>
        <v>-5.8997105663887633E-2</v>
      </c>
      <c r="S338" s="11">
        <f t="shared" si="18"/>
        <v>-2.5453726577621048E-2</v>
      </c>
      <c r="T338" s="11">
        <f t="shared" si="18"/>
        <v>5.7458058260540477E-3</v>
      </c>
      <c r="U338" s="11">
        <f t="shared" si="20"/>
        <v>-5.0489188244490543E-2</v>
      </c>
    </row>
    <row r="339" spans="1:21" x14ac:dyDescent="0.2">
      <c r="A339" s="1">
        <v>43944</v>
      </c>
      <c r="B339" s="3">
        <v>44.470001000000003</v>
      </c>
      <c r="C339" s="3">
        <v>13.75</v>
      </c>
      <c r="D339" s="3">
        <v>16.959999</v>
      </c>
      <c r="E339" s="3">
        <v>34.979999999999997</v>
      </c>
      <c r="F339" s="3">
        <v>24.405186</v>
      </c>
      <c r="G339" s="3">
        <v>22.98</v>
      </c>
      <c r="H339" s="3">
        <v>16.950001</v>
      </c>
      <c r="I339" s="3">
        <v>41.817805999999997</v>
      </c>
      <c r="J339" s="3">
        <v>43.509998000000003</v>
      </c>
      <c r="L339" s="11">
        <f t="shared" si="19"/>
        <v>-6.9470599090382806E-2</v>
      </c>
      <c r="M339" s="11">
        <f t="shared" si="19"/>
        <v>-1.8090907357555489E-2</v>
      </c>
      <c r="N339" s="11">
        <f t="shared" si="19"/>
        <v>2.6013186569075298E-2</v>
      </c>
      <c r="O339" s="11">
        <f t="shared" si="19"/>
        <v>-4.1643835616438439E-2</v>
      </c>
      <c r="P339" s="11">
        <f t="shared" si="19"/>
        <v>-2.8208148941167029E-2</v>
      </c>
      <c r="Q339" s="11">
        <f t="shared" si="19"/>
        <v>-9.4828013153964909E-3</v>
      </c>
      <c r="R339" s="11">
        <f t="shared" si="18"/>
        <v>1.1940358208955244E-2</v>
      </c>
      <c r="S339" s="11">
        <f t="shared" si="18"/>
        <v>-5.0840356772012464E-2</v>
      </c>
      <c r="T339" s="11">
        <f t="shared" si="18"/>
        <v>1.4219020316129646E-2</v>
      </c>
      <c r="U339" s="11">
        <f t="shared" si="20"/>
        <v>-1.8396009333199168E-2</v>
      </c>
    </row>
    <row r="340" spans="1:21" x14ac:dyDescent="0.2">
      <c r="A340" s="1">
        <v>43943</v>
      </c>
      <c r="B340" s="3">
        <v>47.790000999999997</v>
      </c>
      <c r="C340" s="3">
        <v>14.003333</v>
      </c>
      <c r="D340" s="3">
        <v>16.530000999999999</v>
      </c>
      <c r="E340" s="3">
        <v>36.5</v>
      </c>
      <c r="F340" s="3">
        <v>25.113593999999999</v>
      </c>
      <c r="G340" s="3">
        <v>23.200001</v>
      </c>
      <c r="H340" s="3">
        <v>16.75</v>
      </c>
      <c r="I340" s="3">
        <v>44.057715999999999</v>
      </c>
      <c r="J340" s="3">
        <v>42.900002000000001</v>
      </c>
      <c r="L340" s="11">
        <f t="shared" si="19"/>
        <v>6.3654596038281705E-2</v>
      </c>
      <c r="M340" s="11">
        <f t="shared" si="19"/>
        <v>3.4983961566888412E-2</v>
      </c>
      <c r="N340" s="11">
        <f t="shared" si="19"/>
        <v>3.6363699059561085E-2</v>
      </c>
      <c r="O340" s="11">
        <f t="shared" si="19"/>
        <v>7.3529411764705885E-2</v>
      </c>
      <c r="P340" s="11">
        <f t="shared" si="19"/>
        <v>0.10249676047991386</v>
      </c>
      <c r="Q340" s="11">
        <f t="shared" si="19"/>
        <v>7.4074120370370311E-2</v>
      </c>
      <c r="R340" s="11">
        <f t="shared" si="18"/>
        <v>5.0156739811912272E-2</v>
      </c>
      <c r="S340" s="11">
        <f t="shared" si="18"/>
        <v>3.9301357016730563E-2</v>
      </c>
      <c r="T340" s="11">
        <f t="shared" si="18"/>
        <v>1.0362765199311409E-2</v>
      </c>
      <c r="U340" s="11">
        <f t="shared" si="20"/>
        <v>5.388037903418616E-2</v>
      </c>
    </row>
    <row r="341" spans="1:21" x14ac:dyDescent="0.2">
      <c r="A341" s="1">
        <v>43941</v>
      </c>
      <c r="B341" s="3">
        <v>44.93</v>
      </c>
      <c r="C341" s="3">
        <v>13.53</v>
      </c>
      <c r="D341" s="3">
        <v>15.95</v>
      </c>
      <c r="E341" s="3">
        <v>34</v>
      </c>
      <c r="F341" s="3">
        <v>22.778836999999999</v>
      </c>
      <c r="G341" s="3">
        <v>21.6</v>
      </c>
      <c r="H341" s="3">
        <v>15.95</v>
      </c>
      <c r="I341" s="3">
        <v>42.391666000000001</v>
      </c>
      <c r="J341" s="3">
        <v>42.459999000000003</v>
      </c>
      <c r="L341" s="11">
        <f t="shared" si="19"/>
        <v>6.2174966008864449E-2</v>
      </c>
      <c r="M341" s="11">
        <f t="shared" si="19"/>
        <v>2.6815129107772669E-2</v>
      </c>
      <c r="N341" s="11">
        <f t="shared" si="19"/>
        <v>6.3091482649842053E-3</v>
      </c>
      <c r="O341" s="11">
        <f t="shared" si="19"/>
        <v>6.1504872354195314E-2</v>
      </c>
      <c r="P341" s="11">
        <f t="shared" si="19"/>
        <v>4.9655139808024037E-2</v>
      </c>
      <c r="Q341" s="11">
        <f t="shared" si="19"/>
        <v>3.1026203769632329E-2</v>
      </c>
      <c r="R341" s="11">
        <f t="shared" si="18"/>
        <v>-1.1159269135726681E-2</v>
      </c>
      <c r="S341" s="11">
        <f t="shared" si="18"/>
        <v>5.2147900716087693E-2</v>
      </c>
      <c r="T341" s="11">
        <f t="shared" si="18"/>
        <v>-3.5000022727272651E-2</v>
      </c>
      <c r="U341" s="11">
        <f t="shared" si="20"/>
        <v>2.7052674240729047E-2</v>
      </c>
    </row>
    <row r="342" spans="1:21" x14ac:dyDescent="0.2">
      <c r="A342" s="1">
        <v>43938</v>
      </c>
      <c r="B342" s="3">
        <v>42.299999</v>
      </c>
      <c r="C342" s="3">
        <v>13.176666000000001</v>
      </c>
      <c r="D342" s="3">
        <v>15.85</v>
      </c>
      <c r="E342" s="3">
        <v>32.029998999999997</v>
      </c>
      <c r="F342" s="3">
        <v>21.701257999999999</v>
      </c>
      <c r="G342" s="3">
        <v>20.950001</v>
      </c>
      <c r="H342" s="3">
        <v>16.129999000000002</v>
      </c>
      <c r="I342" s="3">
        <v>40.290596000000001</v>
      </c>
      <c r="J342" s="3">
        <v>44</v>
      </c>
      <c r="L342" s="11">
        <f t="shared" si="19"/>
        <v>5.4862870566726722E-2</v>
      </c>
      <c r="M342" s="11">
        <f t="shared" si="19"/>
        <v>5.5965150240783511E-3</v>
      </c>
      <c r="N342" s="11">
        <f t="shared" si="19"/>
        <v>-5.6461731493099038E-3</v>
      </c>
      <c r="O342" s="11">
        <f t="shared" si="19"/>
        <v>8.3558866155577172E-2</v>
      </c>
      <c r="P342" s="11">
        <f t="shared" si="19"/>
        <v>-2.7715665701965635E-2</v>
      </c>
      <c r="Q342" s="11">
        <f t="shared" si="19"/>
        <v>0.11436181459371358</v>
      </c>
      <c r="R342" s="11">
        <f t="shared" si="18"/>
        <v>2.6081361323155271E-2</v>
      </c>
      <c r="S342" s="11">
        <f t="shared" si="18"/>
        <v>2.7863122801473159E-2</v>
      </c>
      <c r="T342" s="11">
        <f t="shared" si="18"/>
        <v>2.899911267535599E-2</v>
      </c>
      <c r="U342" s="11">
        <f t="shared" si="20"/>
        <v>3.4217980476533856E-2</v>
      </c>
    </row>
    <row r="343" spans="1:21" x14ac:dyDescent="0.2">
      <c r="A343" s="1">
        <v>43937</v>
      </c>
      <c r="B343" s="3">
        <v>40.099997999999999</v>
      </c>
      <c r="C343" s="3">
        <v>13.103332999999999</v>
      </c>
      <c r="D343" s="3">
        <v>15.94</v>
      </c>
      <c r="E343" s="3">
        <v>29.559999000000001</v>
      </c>
      <c r="F343" s="3">
        <v>22.319868</v>
      </c>
      <c r="G343" s="3">
        <v>18.799999</v>
      </c>
      <c r="H343" s="3">
        <v>15.72</v>
      </c>
      <c r="I343" s="3">
        <v>39.198405999999999</v>
      </c>
      <c r="J343" s="3">
        <v>42.759998000000003</v>
      </c>
      <c r="L343" s="11">
        <f t="shared" si="19"/>
        <v>4.4814928483196216E-2</v>
      </c>
      <c r="M343" s="11">
        <f t="shared" si="19"/>
        <v>-1.5280536837702295E-2</v>
      </c>
      <c r="N343" s="11">
        <f t="shared" si="19"/>
        <v>-1.1166314443776956E-2</v>
      </c>
      <c r="O343" s="11">
        <f t="shared" si="19"/>
        <v>-1.8592363260545617E-2</v>
      </c>
      <c r="P343" s="11">
        <f t="shared" si="19"/>
        <v>3.9015350239156393E-2</v>
      </c>
      <c r="Q343" s="11">
        <f t="shared" si="19"/>
        <v>-1.2605146396788555E-2</v>
      </c>
      <c r="R343" s="11">
        <f t="shared" si="18"/>
        <v>-4.029298170286829E-2</v>
      </c>
      <c r="S343" s="11">
        <f t="shared" si="18"/>
        <v>-3.1114190579530833E-2</v>
      </c>
      <c r="T343" s="11">
        <f t="shared" si="18"/>
        <v>-9.9560317192875416E-3</v>
      </c>
      <c r="U343" s="11">
        <f t="shared" si="20"/>
        <v>-6.130809579794165E-3</v>
      </c>
    </row>
    <row r="344" spans="1:21" x14ac:dyDescent="0.2">
      <c r="A344" s="1">
        <v>43936</v>
      </c>
      <c r="B344" s="3">
        <v>38.380001</v>
      </c>
      <c r="C344" s="3">
        <v>13.306666</v>
      </c>
      <c r="D344" s="3">
        <v>16.120000999999998</v>
      </c>
      <c r="E344" s="3">
        <v>30.120000999999998</v>
      </c>
      <c r="F344" s="3">
        <v>21.481750000000002</v>
      </c>
      <c r="G344" s="3">
        <v>19.040001</v>
      </c>
      <c r="H344" s="3">
        <v>16.379999000000002</v>
      </c>
      <c r="I344" s="3">
        <v>40.457199000000003</v>
      </c>
      <c r="J344" s="3">
        <v>43.189999</v>
      </c>
      <c r="L344" s="11">
        <f t="shared" si="19"/>
        <v>2.6203180416942206E-2</v>
      </c>
      <c r="M344" s="11">
        <f t="shared" si="19"/>
        <v>9.1001015723003228E-3</v>
      </c>
      <c r="N344" s="11">
        <f t="shared" si="19"/>
        <v>-2.2437780473013948E-2</v>
      </c>
      <c r="O344" s="11">
        <f t="shared" si="19"/>
        <v>-1.2135093473269925E-2</v>
      </c>
      <c r="P344" s="11">
        <f t="shared" si="19"/>
        <v>2.4262506439859659E-2</v>
      </c>
      <c r="Q344" s="11">
        <f t="shared" si="19"/>
        <v>-2.8571377551020471E-2</v>
      </c>
      <c r="R344" s="11">
        <f t="shared" si="18"/>
        <v>-2.0920561864913263E-2</v>
      </c>
      <c r="S344" s="11">
        <f t="shared" si="18"/>
        <v>-1.2872583746273229E-2</v>
      </c>
      <c r="T344" s="11">
        <f t="shared" si="18"/>
        <v>-3.0092073435707835E-2</v>
      </c>
      <c r="U344" s="11">
        <f t="shared" si="20"/>
        <v>-7.4959646794551648E-3</v>
      </c>
    </row>
    <row r="345" spans="1:21" x14ac:dyDescent="0.2">
      <c r="A345" s="1">
        <v>43935</v>
      </c>
      <c r="B345" s="3">
        <v>37.400002000000001</v>
      </c>
      <c r="C345" s="3">
        <v>13.186666000000001</v>
      </c>
      <c r="D345" s="3">
        <v>16.489999999999998</v>
      </c>
      <c r="E345" s="3">
        <v>30.49</v>
      </c>
      <c r="F345" s="3">
        <v>20.972895000000001</v>
      </c>
      <c r="G345" s="3">
        <v>19.600000000000001</v>
      </c>
      <c r="H345" s="3">
        <v>16.73</v>
      </c>
      <c r="I345" s="3">
        <v>40.984779000000003</v>
      </c>
      <c r="J345" s="3">
        <v>44.529998999999997</v>
      </c>
      <c r="L345" s="11">
        <f t="shared" si="19"/>
        <v>2.3255896669108007E-2</v>
      </c>
      <c r="M345" s="11">
        <f t="shared" si="19"/>
        <v>5.5922472189183225E-3</v>
      </c>
      <c r="N345" s="11">
        <f t="shared" si="19"/>
        <v>1.7901171734495454E-2</v>
      </c>
      <c r="O345" s="11">
        <f t="shared" si="19"/>
        <v>2.487394957983188E-2</v>
      </c>
      <c r="P345" s="11">
        <f t="shared" si="19"/>
        <v>1.5949710407106184E-2</v>
      </c>
      <c r="Q345" s="11">
        <f t="shared" si="19"/>
        <v>-5.0761926357262063E-3</v>
      </c>
      <c r="R345" s="11">
        <f t="shared" si="18"/>
        <v>-1.1813349084465404E-2</v>
      </c>
      <c r="S345" s="11">
        <f t="shared" si="18"/>
        <v>8.6625706343658987E-2</v>
      </c>
      <c r="T345" s="11">
        <f t="shared" si="18"/>
        <v>-8.9748709894556266E-4</v>
      </c>
      <c r="U345" s="11">
        <f t="shared" si="20"/>
        <v>1.7379072570442407E-2</v>
      </c>
    </row>
    <row r="346" spans="1:21" x14ac:dyDescent="0.2">
      <c r="A346" s="1">
        <v>43934</v>
      </c>
      <c r="B346" s="3">
        <v>36.549999</v>
      </c>
      <c r="C346" s="3">
        <v>13.113333000000001</v>
      </c>
      <c r="D346" s="3">
        <v>16.200001</v>
      </c>
      <c r="E346" s="3">
        <v>29.75</v>
      </c>
      <c r="F346" s="3">
        <v>20.643635</v>
      </c>
      <c r="G346" s="3">
        <v>19.700001</v>
      </c>
      <c r="H346" s="3">
        <v>16.93</v>
      </c>
      <c r="I346" s="3">
        <v>37.717475999999998</v>
      </c>
      <c r="J346" s="3">
        <v>44.57</v>
      </c>
      <c r="L346" s="11">
        <f t="shared" si="19"/>
        <v>-2.7925506804548226E-2</v>
      </c>
      <c r="M346" s="11">
        <f t="shared" si="19"/>
        <v>8.4593696093148742E-3</v>
      </c>
      <c r="N346" s="11">
        <f t="shared" si="19"/>
        <v>1.250006250000002E-2</v>
      </c>
      <c r="O346" s="11">
        <f t="shared" si="19"/>
        <v>-1.3266998341625161E-2</v>
      </c>
      <c r="P346" s="11">
        <f t="shared" si="19"/>
        <v>-2.8638496371304986E-2</v>
      </c>
      <c r="Q346" s="11">
        <f t="shared" si="19"/>
        <v>7.1575668280964158E-3</v>
      </c>
      <c r="R346" s="11">
        <f t="shared" si="18"/>
        <v>6.539833531510073E-3</v>
      </c>
      <c r="S346" s="11">
        <f t="shared" si="18"/>
        <v>3.6895696020338604E-2</v>
      </c>
      <c r="T346" s="11">
        <f t="shared" si="18"/>
        <v>2.9805938766311057E-2</v>
      </c>
      <c r="U346" s="11">
        <f t="shared" si="20"/>
        <v>3.5030517486769638E-3</v>
      </c>
    </row>
    <row r="347" spans="1:21" x14ac:dyDescent="0.2">
      <c r="A347" s="1">
        <v>43930</v>
      </c>
      <c r="B347" s="3">
        <v>37.599997999999999</v>
      </c>
      <c r="C347" s="3">
        <v>13.003333</v>
      </c>
      <c r="D347" s="3">
        <v>16</v>
      </c>
      <c r="E347" s="3">
        <v>30.15</v>
      </c>
      <c r="F347" s="3">
        <v>21.252268000000001</v>
      </c>
      <c r="G347" s="3">
        <v>19.559999000000001</v>
      </c>
      <c r="H347" s="3">
        <v>16.82</v>
      </c>
      <c r="I347" s="3">
        <v>36.375380999999997</v>
      </c>
      <c r="J347" s="3">
        <v>43.279998999999997</v>
      </c>
      <c r="L347" s="11">
        <f t="shared" si="19"/>
        <v>-4.9785241344452891E-2</v>
      </c>
      <c r="M347" s="11">
        <f t="shared" si="19"/>
        <v>-7.6316460857706698E-3</v>
      </c>
      <c r="N347" s="11">
        <f t="shared" si="19"/>
        <v>-1.4778325123152615E-2</v>
      </c>
      <c r="O347" s="11">
        <f t="shared" si="19"/>
        <v>-5.4858934169278999E-2</v>
      </c>
      <c r="P347" s="11">
        <f t="shared" si="19"/>
        <v>-2.6952864308429136E-2</v>
      </c>
      <c r="Q347" s="11">
        <f t="shared" si="19"/>
        <v>-3.0242984630639583E-2</v>
      </c>
      <c r="R347" s="11">
        <f t="shared" si="18"/>
        <v>-2.8868360277136258E-2</v>
      </c>
      <c r="S347" s="11">
        <f t="shared" si="18"/>
        <v>-3.5582842287750126E-2</v>
      </c>
      <c r="T347" s="11">
        <f t="shared" si="18"/>
        <v>-5.2861183767465699E-3</v>
      </c>
      <c r="U347" s="11">
        <f t="shared" si="20"/>
        <v>-2.8220812955928543E-2</v>
      </c>
    </row>
    <row r="348" spans="1:21" x14ac:dyDescent="0.2">
      <c r="A348" s="1">
        <v>43929</v>
      </c>
      <c r="B348" s="3">
        <v>39.57</v>
      </c>
      <c r="C348" s="3">
        <v>13.103332999999999</v>
      </c>
      <c r="D348" s="3">
        <v>16.239999999999998</v>
      </c>
      <c r="E348" s="3">
        <v>31.9</v>
      </c>
      <c r="F348" s="3">
        <v>21.840944</v>
      </c>
      <c r="G348" s="3">
        <v>20.170000000000002</v>
      </c>
      <c r="H348" s="3">
        <v>17.32</v>
      </c>
      <c r="I348" s="3">
        <v>37.717475999999998</v>
      </c>
      <c r="J348" s="3">
        <v>43.509998000000003</v>
      </c>
      <c r="L348" s="11">
        <f t="shared" si="19"/>
        <v>1.7485240871309798E-2</v>
      </c>
      <c r="M348" s="11">
        <f t="shared" si="19"/>
        <v>2.1038961585427542E-2</v>
      </c>
      <c r="N348" s="11">
        <f t="shared" si="19"/>
        <v>8.695652173912858E-3</v>
      </c>
      <c r="O348" s="11">
        <f t="shared" si="19"/>
        <v>9.1718038730938936E-2</v>
      </c>
      <c r="P348" s="11">
        <f t="shared" si="19"/>
        <v>6.9892507882278479E-2</v>
      </c>
      <c r="Q348" s="11">
        <f t="shared" si="19"/>
        <v>2.4850396379206561E-3</v>
      </c>
      <c r="R348" s="11">
        <f t="shared" si="18"/>
        <v>5.6097560975609868E-2</v>
      </c>
      <c r="S348" s="11">
        <f t="shared" si="18"/>
        <v>2.5931529012820826E-2</v>
      </c>
      <c r="T348" s="11">
        <f t="shared" si="18"/>
        <v>-6.1672226168847906E-3</v>
      </c>
      <c r="U348" s="11">
        <f t="shared" si="20"/>
        <v>3.1908589805926015E-2</v>
      </c>
    </row>
    <row r="349" spans="1:21" x14ac:dyDescent="0.2">
      <c r="A349" s="1">
        <v>43928</v>
      </c>
      <c r="B349" s="3">
        <v>38.889999000000003</v>
      </c>
      <c r="C349" s="3">
        <v>12.833333</v>
      </c>
      <c r="D349" s="3">
        <v>16.100000000000001</v>
      </c>
      <c r="E349" s="3">
        <v>29.219999000000001</v>
      </c>
      <c r="F349" s="3">
        <v>20.414148000000001</v>
      </c>
      <c r="G349" s="3">
        <v>20.120000999999998</v>
      </c>
      <c r="H349" s="3">
        <v>16.399999999999999</v>
      </c>
      <c r="I349" s="3">
        <v>36.764125999999997</v>
      </c>
      <c r="J349" s="3">
        <v>43.779998999999997</v>
      </c>
      <c r="L349" s="11">
        <f t="shared" si="19"/>
        <v>3.7066640000000081E-2</v>
      </c>
      <c r="M349" s="11">
        <f t="shared" si="19"/>
        <v>3.4668100904813225E-2</v>
      </c>
      <c r="N349" s="11">
        <f t="shared" si="19"/>
        <v>-2.3650697392358828E-2</v>
      </c>
      <c r="O349" s="11">
        <f t="shared" si="19"/>
        <v>4.3571392857142906E-2</v>
      </c>
      <c r="P349" s="11">
        <f t="shared" si="19"/>
        <v>4.9230683674147568E-2</v>
      </c>
      <c r="Q349" s="11">
        <f t="shared" si="19"/>
        <v>2.2357774390243841E-2</v>
      </c>
      <c r="R349" s="11">
        <f t="shared" si="18"/>
        <v>3.9949270767279582E-2</v>
      </c>
      <c r="S349" s="11">
        <f t="shared" si="18"/>
        <v>3.2224504410256934E-2</v>
      </c>
      <c r="T349" s="11">
        <f t="shared" si="18"/>
        <v>1.5070669717814207E-2</v>
      </c>
      <c r="U349" s="11">
        <f t="shared" si="20"/>
        <v>2.7832037703259944E-2</v>
      </c>
    </row>
    <row r="350" spans="1:21" x14ac:dyDescent="0.2">
      <c r="A350" s="1">
        <v>43927</v>
      </c>
      <c r="B350" s="3">
        <v>37.5</v>
      </c>
      <c r="C350" s="3">
        <v>12.403333</v>
      </c>
      <c r="D350" s="3">
        <v>16.489999999999998</v>
      </c>
      <c r="E350" s="3">
        <v>28</v>
      </c>
      <c r="F350" s="3">
        <v>19.456301</v>
      </c>
      <c r="G350" s="3">
        <v>19.68</v>
      </c>
      <c r="H350" s="3">
        <v>15.77</v>
      </c>
      <c r="I350" s="3">
        <v>35.616405</v>
      </c>
      <c r="J350" s="3">
        <v>43.130001</v>
      </c>
      <c r="L350" s="11">
        <f t="shared" si="19"/>
        <v>0.13533155117564502</v>
      </c>
      <c r="M350" s="11">
        <f t="shared" si="19"/>
        <v>3.793581589958165E-2</v>
      </c>
      <c r="N350" s="11">
        <f t="shared" si="19"/>
        <v>-7.2246232856940842E-3</v>
      </c>
      <c r="O350" s="11">
        <f t="shared" si="19"/>
        <v>0.20120125273278641</v>
      </c>
      <c r="P350" s="11">
        <f t="shared" si="19"/>
        <v>0.11811929221891009</v>
      </c>
      <c r="Q350" s="11">
        <f t="shared" si="19"/>
        <v>8.48953189027188E-2</v>
      </c>
      <c r="R350" s="11">
        <f t="shared" si="18"/>
        <v>2.8031290743155132E-2</v>
      </c>
      <c r="S350" s="11">
        <f t="shared" si="18"/>
        <v>0.12153898111344923</v>
      </c>
      <c r="T350" s="11">
        <f t="shared" si="18"/>
        <v>6.49382962962963E-2</v>
      </c>
      <c r="U350" s="11">
        <f t="shared" si="20"/>
        <v>8.7196352866316496E-2</v>
      </c>
    </row>
    <row r="351" spans="1:21" x14ac:dyDescent="0.2">
      <c r="A351" s="1">
        <v>43924</v>
      </c>
      <c r="B351" s="3">
        <v>33.029998999999997</v>
      </c>
      <c r="C351" s="3">
        <v>11.95</v>
      </c>
      <c r="D351" s="3">
        <v>16.610001</v>
      </c>
      <c r="E351" s="3">
        <v>23.309999000000001</v>
      </c>
      <c r="F351" s="3">
        <v>17.400917</v>
      </c>
      <c r="G351" s="3">
        <v>18.139999</v>
      </c>
      <c r="H351" s="3">
        <v>15.34</v>
      </c>
      <c r="I351" s="3">
        <v>31.756724999999999</v>
      </c>
      <c r="J351" s="3">
        <v>40.5</v>
      </c>
      <c r="L351" s="11">
        <f t="shared" si="19"/>
        <v>-8.4788057633693723E-2</v>
      </c>
      <c r="M351" s="11">
        <f t="shared" si="19"/>
        <v>-2.5815164446476444E-2</v>
      </c>
      <c r="N351" s="11">
        <f t="shared" si="19"/>
        <v>-1.4243264094955545E-2</v>
      </c>
      <c r="O351" s="11">
        <f t="shared" si="19"/>
        <v>-0.10826320230540171</v>
      </c>
      <c r="P351" s="11">
        <f t="shared" si="19"/>
        <v>-5.9838300709460543E-2</v>
      </c>
      <c r="Q351" s="11">
        <f t="shared" si="19"/>
        <v>-2.5778838572565004E-2</v>
      </c>
      <c r="R351" s="11">
        <f t="shared" si="18"/>
        <v>-1.0960670535138616E-2</v>
      </c>
      <c r="S351" s="11">
        <f t="shared" si="18"/>
        <v>-3.4880511143037231E-2</v>
      </c>
      <c r="T351" s="11">
        <f t="shared" si="18"/>
        <v>-5.3295910549226444E-2</v>
      </c>
      <c r="U351" s="11">
        <f t="shared" si="20"/>
        <v>-4.6429324443328368E-2</v>
      </c>
    </row>
    <row r="352" spans="1:21" x14ac:dyDescent="0.2">
      <c r="A352" s="1">
        <v>43923</v>
      </c>
      <c r="B352" s="3">
        <v>36.090000000000003</v>
      </c>
      <c r="C352" s="3">
        <v>12.266666000000001</v>
      </c>
      <c r="D352" s="3">
        <v>16.850000000000001</v>
      </c>
      <c r="E352" s="3">
        <v>26.139999</v>
      </c>
      <c r="F352" s="3">
        <v>18.508430000000001</v>
      </c>
      <c r="G352" s="3">
        <v>18.620000999999998</v>
      </c>
      <c r="H352" s="3">
        <v>15.51</v>
      </c>
      <c r="I352" s="3">
        <v>32.904449</v>
      </c>
      <c r="J352" s="3">
        <v>42.779998999999997</v>
      </c>
      <c r="L352" s="11">
        <f t="shared" si="19"/>
        <v>-2.7695292393079788E-4</v>
      </c>
      <c r="M352" s="11">
        <f t="shared" si="19"/>
        <v>6.2049004329004329E-2</v>
      </c>
      <c r="N352" s="11">
        <f t="shared" si="19"/>
        <v>6.9841269841269926E-2</v>
      </c>
      <c r="O352" s="11">
        <f t="shared" si="19"/>
        <v>0.10295349776567517</v>
      </c>
      <c r="P352" s="11">
        <f t="shared" si="19"/>
        <v>3.3426159736791826E-2</v>
      </c>
      <c r="Q352" s="11">
        <f t="shared" si="19"/>
        <v>4.8569884049115735E-3</v>
      </c>
      <c r="R352" s="11">
        <f t="shared" si="18"/>
        <v>8.4615384615384551E-2</v>
      </c>
      <c r="S352" s="11">
        <f t="shared" si="18"/>
        <v>3.5235892067370995E-2</v>
      </c>
      <c r="T352" s="11">
        <f t="shared" si="18"/>
        <v>-1.3603873959047207E-2</v>
      </c>
      <c r="U352" s="11">
        <f t="shared" si="20"/>
        <v>4.2121929986381146E-2</v>
      </c>
    </row>
    <row r="353" spans="1:21" x14ac:dyDescent="0.2">
      <c r="A353" s="1">
        <v>43922</v>
      </c>
      <c r="B353" s="3">
        <v>36.099997999999999</v>
      </c>
      <c r="C353" s="3">
        <v>11.55</v>
      </c>
      <c r="D353" s="3">
        <v>15.75</v>
      </c>
      <c r="E353" s="3">
        <v>23.700001</v>
      </c>
      <c r="F353" s="3">
        <v>17.909775</v>
      </c>
      <c r="G353" s="3">
        <v>18.530000999999999</v>
      </c>
      <c r="H353" s="3">
        <v>14.3</v>
      </c>
      <c r="I353" s="3">
        <v>31.784493999999999</v>
      </c>
      <c r="J353" s="3">
        <v>43.369999</v>
      </c>
      <c r="L353" s="11">
        <f t="shared" si="19"/>
        <v>-2.0884215375216057E-2</v>
      </c>
      <c r="M353" s="11">
        <f t="shared" si="19"/>
        <v>-3.4818887733642716E-2</v>
      </c>
      <c r="N353" s="11">
        <f t="shared" si="19"/>
        <v>-2.8976512267355956E-2</v>
      </c>
      <c r="O353" s="11">
        <f t="shared" si="19"/>
        <v>-9.8859243302632807E-2</v>
      </c>
      <c r="P353" s="11">
        <f t="shared" si="19"/>
        <v>-2.7776693557857667E-3</v>
      </c>
      <c r="Q353" s="11">
        <f t="shared" si="19"/>
        <v>-2.8825943396226402E-2</v>
      </c>
      <c r="R353" s="11">
        <f t="shared" si="18"/>
        <v>2.2158684774839205E-2</v>
      </c>
      <c r="S353" s="11">
        <f t="shared" si="18"/>
        <v>1.5976350596405293E-2</v>
      </c>
      <c r="T353" s="11">
        <f t="shared" si="18"/>
        <v>3.4705691006345998E-3</v>
      </c>
      <c r="U353" s="11">
        <f t="shared" si="20"/>
        <v>-1.9281874106553402E-2</v>
      </c>
    </row>
    <row r="354" spans="1:21" x14ac:dyDescent="0.2">
      <c r="A354" s="1">
        <v>43921</v>
      </c>
      <c r="B354" s="3">
        <v>36.869999</v>
      </c>
      <c r="C354" s="3">
        <v>11.966666</v>
      </c>
      <c r="D354" s="3">
        <v>16.219999000000001</v>
      </c>
      <c r="E354" s="3">
        <v>26.299999</v>
      </c>
      <c r="F354" s="3">
        <v>17.959661000000001</v>
      </c>
      <c r="G354" s="3">
        <v>19.079999999999998</v>
      </c>
      <c r="H354" s="3">
        <v>13.99</v>
      </c>
      <c r="I354" s="3">
        <v>31.284679000000001</v>
      </c>
      <c r="J354" s="3">
        <v>43.220001000000003</v>
      </c>
      <c r="L354" s="11">
        <f t="shared" si="19"/>
        <v>-1.5487369412887341E-2</v>
      </c>
      <c r="M354" s="11">
        <f t="shared" si="19"/>
        <v>-2.9729757560263689E-2</v>
      </c>
      <c r="N354" s="11">
        <f t="shared" si="19"/>
        <v>3.1150603941513092E-2</v>
      </c>
      <c r="O354" s="11">
        <f t="shared" ref="O354:T406" si="21">(E354-E355)/E355</f>
        <v>-8.362376015248224E-2</v>
      </c>
      <c r="P354" s="11">
        <f t="shared" si="21"/>
        <v>-5.4621933227255254E-2</v>
      </c>
      <c r="Q354" s="11">
        <f t="shared" si="21"/>
        <v>-8.9260186670158254E-2</v>
      </c>
      <c r="R354" s="11">
        <f t="shared" si="18"/>
        <v>4.5590433482810118E-2</v>
      </c>
      <c r="S354" s="11">
        <f t="shared" si="18"/>
        <v>-5.4545473777004916E-2</v>
      </c>
      <c r="T354" s="11">
        <f t="shared" si="18"/>
        <v>3.4713933445056265E-2</v>
      </c>
      <c r="U354" s="11">
        <f t="shared" si="20"/>
        <v>-2.3979278881185805E-2</v>
      </c>
    </row>
    <row r="355" spans="1:21" x14ac:dyDescent="0.2">
      <c r="A355" s="1">
        <v>43920</v>
      </c>
      <c r="B355" s="3">
        <v>37.450001</v>
      </c>
      <c r="C355" s="3">
        <v>12.333333</v>
      </c>
      <c r="D355" s="3">
        <v>15.73</v>
      </c>
      <c r="E355" s="3">
        <v>28.700001</v>
      </c>
      <c r="F355" s="3">
        <v>18.997332</v>
      </c>
      <c r="G355" s="3">
        <v>20.950001</v>
      </c>
      <c r="H355" s="3">
        <v>13.38</v>
      </c>
      <c r="I355" s="3">
        <v>33.089565</v>
      </c>
      <c r="J355" s="3">
        <v>41.77</v>
      </c>
      <c r="L355" s="11">
        <f t="shared" ref="L355:Q418" si="22">(B355-B356)/B356</f>
        <v>-5.5008830305101425E-2</v>
      </c>
      <c r="M355" s="11">
        <f t="shared" si="22"/>
        <v>2.4383636531661265E-3</v>
      </c>
      <c r="N355" s="11">
        <f t="shared" si="22"/>
        <v>5.0066755674232306E-2</v>
      </c>
      <c r="O355" s="11">
        <f t="shared" si="21"/>
        <v>-8.3652586206896556E-2</v>
      </c>
      <c r="P355" s="11">
        <f t="shared" si="21"/>
        <v>2.1053497786091705E-3</v>
      </c>
      <c r="Q355" s="11">
        <f t="shared" si="21"/>
        <v>-1.6893384180825203E-2</v>
      </c>
      <c r="R355" s="11">
        <f t="shared" si="18"/>
        <v>6.0150375939849671E-3</v>
      </c>
      <c r="S355" s="11">
        <f t="shared" si="18"/>
        <v>-6.9444575743177585E-3</v>
      </c>
      <c r="T355" s="11">
        <f t="shared" si="18"/>
        <v>4.164593723919896E-2</v>
      </c>
      <c r="U355" s="11">
        <f t="shared" si="20"/>
        <v>-6.6919793697721563E-3</v>
      </c>
    </row>
    <row r="356" spans="1:21" x14ac:dyDescent="0.2">
      <c r="A356" s="1">
        <v>43917</v>
      </c>
      <c r="B356" s="3">
        <v>39.630001</v>
      </c>
      <c r="C356" s="3">
        <v>12.303333</v>
      </c>
      <c r="D356" s="3">
        <v>14.98</v>
      </c>
      <c r="E356" s="3">
        <v>31.32</v>
      </c>
      <c r="F356" s="3">
        <v>18.957419999999999</v>
      </c>
      <c r="G356" s="3">
        <v>21.309999000000001</v>
      </c>
      <c r="H356" s="3">
        <v>13.3</v>
      </c>
      <c r="I356" s="3">
        <v>33.320960999999997</v>
      </c>
      <c r="J356" s="3">
        <v>40.099997999999999</v>
      </c>
      <c r="L356" s="11">
        <f t="shared" si="22"/>
        <v>-5.9786497756275328E-2</v>
      </c>
      <c r="M356" s="11">
        <f t="shared" si="22"/>
        <v>-4.4772282608695688E-2</v>
      </c>
      <c r="N356" s="11">
        <f t="shared" si="22"/>
        <v>6.0155697098372228E-2</v>
      </c>
      <c r="O356" s="11">
        <f t="shared" si="21"/>
        <v>-9.7146125602367406E-2</v>
      </c>
      <c r="P356" s="11">
        <f t="shared" si="21"/>
        <v>-8.8729014481085972E-2</v>
      </c>
      <c r="Q356" s="11">
        <f t="shared" si="21"/>
        <v>-0.10499790445182294</v>
      </c>
      <c r="R356" s="11">
        <f t="shared" si="18"/>
        <v>-7.5747046560111178E-2</v>
      </c>
      <c r="S356" s="11">
        <f t="shared" si="18"/>
        <v>-6.469210675675921E-2</v>
      </c>
      <c r="T356" s="11">
        <f t="shared" si="18"/>
        <v>-4.5238142857142873E-2</v>
      </c>
      <c r="U356" s="11">
        <f t="shared" si="20"/>
        <v>-5.7883713775098711E-2</v>
      </c>
    </row>
    <row r="357" spans="1:21" x14ac:dyDescent="0.2">
      <c r="A357" s="1">
        <v>43916</v>
      </c>
      <c r="B357" s="3">
        <v>42.150002000000001</v>
      </c>
      <c r="C357" s="3">
        <v>12.88</v>
      </c>
      <c r="D357" s="3">
        <v>14.13</v>
      </c>
      <c r="E357" s="3">
        <v>34.689999</v>
      </c>
      <c r="F357" s="3">
        <v>20.803273999999998</v>
      </c>
      <c r="G357" s="3">
        <v>23.809999000000001</v>
      </c>
      <c r="H357" s="3">
        <v>14.39</v>
      </c>
      <c r="I357" s="3">
        <v>35.625660000000003</v>
      </c>
      <c r="J357" s="3">
        <v>42</v>
      </c>
      <c r="L357" s="11">
        <f t="shared" si="22"/>
        <v>2.6796663259358446E-2</v>
      </c>
      <c r="M357" s="11">
        <f t="shared" si="22"/>
        <v>-3.8669760247485641E-3</v>
      </c>
      <c r="N357" s="11">
        <f t="shared" si="22"/>
        <v>1.8011527377521614E-2</v>
      </c>
      <c r="O357" s="11">
        <f t="shared" si="21"/>
        <v>6.3823032671219467E-3</v>
      </c>
      <c r="P357" s="11">
        <f t="shared" si="21"/>
        <v>4.0938522589289338E-2</v>
      </c>
      <c r="Q357" s="11">
        <f t="shared" si="21"/>
        <v>3.1182286704201014E-2</v>
      </c>
      <c r="R357" s="11">
        <f t="shared" si="18"/>
        <v>4.888268156424601E-3</v>
      </c>
      <c r="S357" s="11">
        <f t="shared" si="18"/>
        <v>7.035598193675191E-2</v>
      </c>
      <c r="T357" s="11">
        <f t="shared" si="18"/>
        <v>2.8151825123712386E-2</v>
      </c>
      <c r="U357" s="11">
        <f t="shared" si="20"/>
        <v>2.4760044709959187E-2</v>
      </c>
    </row>
    <row r="358" spans="1:21" x14ac:dyDescent="0.2">
      <c r="A358" s="1">
        <v>43915</v>
      </c>
      <c r="B358" s="3">
        <v>41.049999</v>
      </c>
      <c r="C358" s="3">
        <v>12.93</v>
      </c>
      <c r="D358" s="3">
        <v>13.88</v>
      </c>
      <c r="E358" s="3">
        <v>34.470001000000003</v>
      </c>
      <c r="F358" s="3">
        <v>19.985112999999998</v>
      </c>
      <c r="G358" s="3">
        <v>23.09</v>
      </c>
      <c r="H358" s="3">
        <v>14.32</v>
      </c>
      <c r="I358" s="3">
        <v>33.283935999999997</v>
      </c>
      <c r="J358" s="3">
        <v>40.849997999999999</v>
      </c>
      <c r="L358" s="11">
        <f t="shared" si="22"/>
        <v>0.16619312027860453</v>
      </c>
      <c r="M358" s="11">
        <f t="shared" si="22"/>
        <v>6.8300773018473551E-2</v>
      </c>
      <c r="N358" s="11">
        <f t="shared" si="22"/>
        <v>3.0438010393466972E-2</v>
      </c>
      <c r="O358" s="11">
        <f t="shared" si="21"/>
        <v>0.26821195732156011</v>
      </c>
      <c r="P358" s="11">
        <f t="shared" si="21"/>
        <v>3.8361863400359436E-2</v>
      </c>
      <c r="Q358" s="11">
        <f t="shared" si="21"/>
        <v>0.12414794916514364</v>
      </c>
      <c r="R358" s="11">
        <f t="shared" si="18"/>
        <v>8.0754716981132096E-2</v>
      </c>
      <c r="S358" s="11">
        <f t="shared" si="18"/>
        <v>0.1027291738126033</v>
      </c>
      <c r="T358" s="11">
        <f t="shared" si="18"/>
        <v>8.5281591001104856E-2</v>
      </c>
      <c r="U358" s="11">
        <f t="shared" si="20"/>
        <v>0.10715768393027206</v>
      </c>
    </row>
    <row r="359" spans="1:21" x14ac:dyDescent="0.2">
      <c r="A359" s="1">
        <v>43914</v>
      </c>
      <c r="B359" s="3">
        <v>35.200001</v>
      </c>
      <c r="C359" s="3">
        <v>12.103332999999999</v>
      </c>
      <c r="D359" s="3">
        <v>13.47</v>
      </c>
      <c r="E359" s="3">
        <v>27.18</v>
      </c>
      <c r="F359" s="3">
        <v>19.246770999999999</v>
      </c>
      <c r="G359" s="3">
        <v>20.540001</v>
      </c>
      <c r="H359" s="3">
        <v>13.25</v>
      </c>
      <c r="I359" s="3">
        <v>30.183236999999998</v>
      </c>
      <c r="J359" s="3">
        <v>37.639999000000003</v>
      </c>
      <c r="L359" s="11">
        <f t="shared" si="22"/>
        <v>4.9493141040753218E-2</v>
      </c>
      <c r="M359" s="11">
        <f t="shared" si="22"/>
        <v>0.19244660098522157</v>
      </c>
      <c r="N359" s="11">
        <f t="shared" si="22"/>
        <v>-2.9607698001479755E-3</v>
      </c>
      <c r="O359" s="11">
        <f t="shared" si="21"/>
        <v>0.12780082987551861</v>
      </c>
      <c r="P359" s="11">
        <f t="shared" si="21"/>
        <v>0.10291587677955957</v>
      </c>
      <c r="Q359" s="11">
        <f t="shared" si="21"/>
        <v>0.17304403198172463</v>
      </c>
      <c r="R359" s="11">
        <f t="shared" si="18"/>
        <v>0.15217391304347827</v>
      </c>
      <c r="S359" s="11">
        <f t="shared" si="18"/>
        <v>0.1198488996846542</v>
      </c>
      <c r="T359" s="11">
        <f t="shared" si="18"/>
        <v>0.10381235212975684</v>
      </c>
      <c r="U359" s="11">
        <f t="shared" si="20"/>
        <v>0.11317498619116877</v>
      </c>
    </row>
    <row r="360" spans="1:21" x14ac:dyDescent="0.2">
      <c r="A360" s="1">
        <v>43913</v>
      </c>
      <c r="B360" s="3">
        <v>33.540000999999997</v>
      </c>
      <c r="C360" s="3">
        <v>10.15</v>
      </c>
      <c r="D360" s="3">
        <v>13.51</v>
      </c>
      <c r="E360" s="3">
        <v>24.1</v>
      </c>
      <c r="F360" s="3">
        <v>17.450806</v>
      </c>
      <c r="G360" s="3">
        <v>17.510000000000002</v>
      </c>
      <c r="H360" s="3">
        <v>11.5</v>
      </c>
      <c r="I360" s="3">
        <v>26.952954999999999</v>
      </c>
      <c r="J360" s="3">
        <v>34.099997999999999</v>
      </c>
      <c r="L360" s="11">
        <f t="shared" si="22"/>
        <v>-4.8240661280325704E-2</v>
      </c>
      <c r="M360" s="11">
        <f t="shared" si="22"/>
        <v>-6.1343990793587856E-2</v>
      </c>
      <c r="N360" s="11">
        <f t="shared" si="22"/>
        <v>3.5249042145593795E-2</v>
      </c>
      <c r="O360" s="11">
        <f t="shared" si="21"/>
        <v>-0.12522682850188119</v>
      </c>
      <c r="P360" s="11">
        <f t="shared" si="21"/>
        <v>-6.8142485806921629E-3</v>
      </c>
      <c r="Q360" s="11">
        <f t="shared" si="21"/>
        <v>-7.987393169343486E-2</v>
      </c>
      <c r="R360" s="11">
        <f t="shared" si="18"/>
        <v>-4.1666666666666664E-2</v>
      </c>
      <c r="S360" s="11">
        <f t="shared" si="18"/>
        <v>-3.7673470241734924E-2</v>
      </c>
      <c r="T360" s="11">
        <f t="shared" si="18"/>
        <v>-3.097473802144754E-2</v>
      </c>
      <c r="U360" s="11">
        <f t="shared" si="20"/>
        <v>-4.4062832626019684E-2</v>
      </c>
    </row>
    <row r="361" spans="1:21" x14ac:dyDescent="0.2">
      <c r="A361" s="1">
        <v>43910</v>
      </c>
      <c r="B361" s="3">
        <v>35.240001999999997</v>
      </c>
      <c r="C361" s="3">
        <v>10.813333</v>
      </c>
      <c r="D361" s="3">
        <v>13.05</v>
      </c>
      <c r="E361" s="3">
        <v>27.549999</v>
      </c>
      <c r="F361" s="3">
        <v>17.570536000000001</v>
      </c>
      <c r="G361" s="3">
        <v>19.030000999999999</v>
      </c>
      <c r="H361" s="3">
        <v>12</v>
      </c>
      <c r="I361" s="3">
        <v>28.008118</v>
      </c>
      <c r="J361" s="3">
        <v>35.189999</v>
      </c>
      <c r="L361" s="11">
        <f t="shared" si="22"/>
        <v>-6.0266613333333413E-2</v>
      </c>
      <c r="M361" s="11">
        <f t="shared" si="22"/>
        <v>-2.153153008499031E-3</v>
      </c>
      <c r="N361" s="11">
        <f t="shared" si="22"/>
        <v>-7.3153409090909047E-2</v>
      </c>
      <c r="O361" s="11">
        <f t="shared" si="21"/>
        <v>5.6364992331288402E-2</v>
      </c>
      <c r="P361" s="11">
        <f t="shared" si="21"/>
        <v>7.7723316688321706E-2</v>
      </c>
      <c r="Q361" s="11">
        <f t="shared" si="21"/>
        <v>-4.7547497497497586E-2</v>
      </c>
      <c r="R361" s="11">
        <f t="shared" si="18"/>
        <v>-1.7199017199017268E-2</v>
      </c>
      <c r="S361" s="11">
        <f t="shared" si="18"/>
        <v>5.4355350512763183E-2</v>
      </c>
      <c r="T361" s="11">
        <f t="shared" si="18"/>
        <v>-3.3241838832866008E-2</v>
      </c>
      <c r="U361" s="11">
        <f t="shared" si="20"/>
        <v>-5.0130966033054523E-3</v>
      </c>
    </row>
    <row r="362" spans="1:21" x14ac:dyDescent="0.2">
      <c r="A362" s="1">
        <v>43909</v>
      </c>
      <c r="B362" s="3">
        <v>37.5</v>
      </c>
      <c r="C362" s="3">
        <v>10.836665999999999</v>
      </c>
      <c r="D362" s="3">
        <v>14.08</v>
      </c>
      <c r="E362" s="3">
        <v>26.08</v>
      </c>
      <c r="F362" s="3">
        <v>16.303383</v>
      </c>
      <c r="G362" s="3">
        <v>19.98</v>
      </c>
      <c r="H362" s="3">
        <v>12.21</v>
      </c>
      <c r="I362" s="3">
        <v>26.564211</v>
      </c>
      <c r="J362" s="3">
        <v>36.400002000000001</v>
      </c>
      <c r="L362" s="11">
        <f t="shared" si="22"/>
        <v>7.1428571428571425E-2</v>
      </c>
      <c r="M362" s="11">
        <f t="shared" si="22"/>
        <v>-8.8414941719967798E-3</v>
      </c>
      <c r="N362" s="11">
        <f t="shared" si="22"/>
        <v>9.9141295862607295E-2</v>
      </c>
      <c r="O362" s="11">
        <f t="shared" si="21"/>
        <v>9.2584788748018898E-2</v>
      </c>
      <c r="P362" s="11">
        <f t="shared" si="21"/>
        <v>1.0513419002957856E-2</v>
      </c>
      <c r="Q362" s="11">
        <f t="shared" si="21"/>
        <v>0.16162783944024189</v>
      </c>
      <c r="R362" s="11">
        <f t="shared" si="18"/>
        <v>8.1488042515500597E-2</v>
      </c>
      <c r="S362" s="11">
        <f t="shared" si="18"/>
        <v>8.3018912848288162E-2</v>
      </c>
      <c r="T362" s="11">
        <f t="shared" si="18"/>
        <v>-5.8214744723687206E-2</v>
      </c>
      <c r="U362" s="11">
        <f t="shared" si="20"/>
        <v>5.9194070105611361E-2</v>
      </c>
    </row>
    <row r="363" spans="1:21" x14ac:dyDescent="0.2">
      <c r="A363" s="1">
        <v>43908</v>
      </c>
      <c r="B363" s="3">
        <v>35</v>
      </c>
      <c r="C363" s="3">
        <v>10.933332999999999</v>
      </c>
      <c r="D363" s="3">
        <v>12.81</v>
      </c>
      <c r="E363" s="3">
        <v>23.870000999999998</v>
      </c>
      <c r="F363" s="3">
        <v>16.133762000000001</v>
      </c>
      <c r="G363" s="3">
        <v>17.200001</v>
      </c>
      <c r="H363" s="3">
        <v>11.29</v>
      </c>
      <c r="I363" s="3">
        <v>24.527929</v>
      </c>
      <c r="J363" s="3">
        <v>38.650002000000001</v>
      </c>
      <c r="L363" s="11">
        <f t="shared" si="22"/>
        <v>-0.16666666666666666</v>
      </c>
      <c r="M363" s="11">
        <f t="shared" si="22"/>
        <v>-7.7096205801699944E-2</v>
      </c>
      <c r="N363" s="11">
        <f t="shared" si="22"/>
        <v>-0.10294117647058816</v>
      </c>
      <c r="O363" s="11">
        <f t="shared" si="21"/>
        <v>-0.1382671430228469</v>
      </c>
      <c r="P363" s="11">
        <f t="shared" si="21"/>
        <v>-0.12119577529362399</v>
      </c>
      <c r="Q363" s="11">
        <f t="shared" si="21"/>
        <v>-0.11794866666666665</v>
      </c>
      <c r="R363" s="11">
        <f t="shared" si="18"/>
        <v>-0.1315384615384616</v>
      </c>
      <c r="S363" s="11">
        <f t="shared" si="18"/>
        <v>-0.13342052148676747</v>
      </c>
      <c r="T363" s="11">
        <f t="shared" si="18"/>
        <v>-6.8898967424667237E-2</v>
      </c>
      <c r="U363" s="11">
        <f t="shared" si="20"/>
        <v>-0.11755262048577649</v>
      </c>
    </row>
    <row r="364" spans="1:21" x14ac:dyDescent="0.2">
      <c r="A364" s="1">
        <v>43907</v>
      </c>
      <c r="B364" s="3">
        <v>42</v>
      </c>
      <c r="C364" s="3">
        <v>11.846666000000001</v>
      </c>
      <c r="D364" s="3">
        <v>14.28</v>
      </c>
      <c r="E364" s="3">
        <v>27.700001</v>
      </c>
      <c r="F364" s="3">
        <v>18.358767</v>
      </c>
      <c r="G364" s="3">
        <v>19.5</v>
      </c>
      <c r="H364" s="3">
        <v>13</v>
      </c>
      <c r="I364" s="3">
        <v>28.304303999999998</v>
      </c>
      <c r="J364" s="3">
        <v>41.509998000000003</v>
      </c>
      <c r="L364" s="11">
        <f t="shared" si="22"/>
        <v>0</v>
      </c>
      <c r="M364" s="11">
        <f t="shared" si="22"/>
        <v>3.6453718285214445E-2</v>
      </c>
      <c r="N364" s="11">
        <f t="shared" si="22"/>
        <v>4.2335766423357672E-2</v>
      </c>
      <c r="O364" s="11">
        <f t="shared" si="21"/>
        <v>7.2727636363636482E-3</v>
      </c>
      <c r="P364" s="11">
        <f t="shared" si="21"/>
        <v>5.2029745789392207E-2</v>
      </c>
      <c r="Q364" s="11">
        <f t="shared" si="21"/>
        <v>5.3484602917341889E-2</v>
      </c>
      <c r="R364" s="11">
        <f t="shared" si="18"/>
        <v>-6.8754774637127467E-3</v>
      </c>
      <c r="S364" s="11">
        <f t="shared" si="18"/>
        <v>-3.6850420366175404E-2</v>
      </c>
      <c r="T364" s="11">
        <f t="shared" si="18"/>
        <v>6.3268364158085108E-2</v>
      </c>
      <c r="U364" s="11">
        <f t="shared" si="20"/>
        <v>2.345767370887409E-2</v>
      </c>
    </row>
    <row r="365" spans="1:21" x14ac:dyDescent="0.2">
      <c r="A365" s="1">
        <v>43906</v>
      </c>
      <c r="B365" s="3">
        <v>42</v>
      </c>
      <c r="C365" s="3">
        <v>11.43</v>
      </c>
      <c r="D365" s="3">
        <v>13.7</v>
      </c>
      <c r="E365" s="3">
        <v>27.5</v>
      </c>
      <c r="F365" s="3">
        <v>17.450806</v>
      </c>
      <c r="G365" s="3">
        <v>18.510000000000002</v>
      </c>
      <c r="H365" s="3">
        <v>13.09</v>
      </c>
      <c r="I365" s="3">
        <v>29.387236000000001</v>
      </c>
      <c r="J365" s="3">
        <v>39.040000999999997</v>
      </c>
      <c r="L365" s="11">
        <f t="shared" si="22"/>
        <v>-0.14057702354362642</v>
      </c>
      <c r="M365" s="11">
        <f t="shared" si="22"/>
        <v>-0.16120348146788072</v>
      </c>
      <c r="N365" s="11">
        <f t="shared" si="22"/>
        <v>-0.15222772277227728</v>
      </c>
      <c r="O365" s="11">
        <f t="shared" si="21"/>
        <v>-0.2361111111111111</v>
      </c>
      <c r="P365" s="11">
        <f t="shared" si="21"/>
        <v>-0.18537490116416455</v>
      </c>
      <c r="Q365" s="11">
        <f t="shared" si="21"/>
        <v>-0.22389937106918237</v>
      </c>
      <c r="R365" s="11">
        <f t="shared" si="18"/>
        <v>-0.15000000000000002</v>
      </c>
      <c r="S365" s="11">
        <f t="shared" si="18"/>
        <v>-0.17532462685331582</v>
      </c>
      <c r="T365" s="11">
        <f t="shared" si="18"/>
        <v>-8.9976709091995011E-2</v>
      </c>
      <c r="U365" s="11">
        <f t="shared" si="20"/>
        <v>-0.16829943856372809</v>
      </c>
    </row>
    <row r="366" spans="1:21" x14ac:dyDescent="0.2">
      <c r="A366" s="1">
        <v>43903</v>
      </c>
      <c r="B366" s="3">
        <v>48.869999</v>
      </c>
      <c r="C366" s="3">
        <v>13.626666</v>
      </c>
      <c r="D366" s="3">
        <v>16.16</v>
      </c>
      <c r="E366" s="3">
        <v>36</v>
      </c>
      <c r="F366" s="3">
        <v>21.421886000000001</v>
      </c>
      <c r="G366" s="3">
        <v>23.85</v>
      </c>
      <c r="H366" s="3">
        <v>15.4</v>
      </c>
      <c r="I366" s="3">
        <v>35.634914000000002</v>
      </c>
      <c r="J366" s="3">
        <v>42.900002000000001</v>
      </c>
      <c r="L366" s="11">
        <f t="shared" si="22"/>
        <v>8.2631813970576215E-2</v>
      </c>
      <c r="M366" s="11">
        <f t="shared" si="22"/>
        <v>0.10815939865326098</v>
      </c>
      <c r="N366" s="11">
        <f t="shared" si="22"/>
        <v>2.278481012658224E-2</v>
      </c>
      <c r="O366" s="11">
        <f t="shared" si="21"/>
        <v>9.0909090909090912E-2</v>
      </c>
      <c r="P366" s="11">
        <f t="shared" si="21"/>
        <v>0.21025929302108542</v>
      </c>
      <c r="Q366" s="11">
        <f t="shared" si="21"/>
        <v>6.283417723555372E-2</v>
      </c>
      <c r="R366" s="11">
        <f t="shared" si="18"/>
        <v>0.22222222222222229</v>
      </c>
      <c r="S366" s="11">
        <f t="shared" si="18"/>
        <v>9.9999944436518107E-2</v>
      </c>
      <c r="T366" s="11">
        <f t="shared" si="18"/>
        <v>0.21357862594504254</v>
      </c>
      <c r="U366" s="11">
        <f t="shared" si="20"/>
        <v>0.12370881961332583</v>
      </c>
    </row>
    <row r="367" spans="1:21" x14ac:dyDescent="0.2">
      <c r="A367" s="1">
        <v>43902</v>
      </c>
      <c r="B367" s="3">
        <v>45.139999000000003</v>
      </c>
      <c r="C367" s="3">
        <v>12.296666</v>
      </c>
      <c r="D367" s="3">
        <v>15.8</v>
      </c>
      <c r="E367" s="3">
        <v>33</v>
      </c>
      <c r="F367" s="3">
        <v>17.700244999999999</v>
      </c>
      <c r="G367" s="3">
        <v>22.440000999999999</v>
      </c>
      <c r="H367" s="3">
        <v>12.6</v>
      </c>
      <c r="I367" s="3">
        <v>32.395378000000001</v>
      </c>
      <c r="J367" s="3">
        <v>35.349997999999999</v>
      </c>
      <c r="L367" s="11">
        <f t="shared" si="22"/>
        <v>-0.14491384457446768</v>
      </c>
      <c r="M367" s="11">
        <f t="shared" si="22"/>
        <v>-0.13302000312620449</v>
      </c>
      <c r="N367" s="11">
        <f t="shared" si="22"/>
        <v>-0.13186817956768243</v>
      </c>
      <c r="O367" s="11">
        <f t="shared" si="21"/>
        <v>-0.15297739099017951</v>
      </c>
      <c r="P367" s="11">
        <f t="shared" si="21"/>
        <v>-0.18060043287770727</v>
      </c>
      <c r="Q367" s="11">
        <f t="shared" si="21"/>
        <v>-0.13592599676264919</v>
      </c>
      <c r="R367" s="11">
        <f t="shared" si="18"/>
        <v>-0.20504731861198738</v>
      </c>
      <c r="S367" s="11">
        <f t="shared" si="18"/>
        <v>-0.15048541868963236</v>
      </c>
      <c r="T367" s="11">
        <f t="shared" si="18"/>
        <v>-0.13230249718691711</v>
      </c>
      <c r="U367" s="11">
        <f t="shared" si="20"/>
        <v>-0.15190456470971417</v>
      </c>
    </row>
    <row r="368" spans="1:21" x14ac:dyDescent="0.2">
      <c r="A368" s="1">
        <v>43901</v>
      </c>
      <c r="B368" s="3">
        <v>52.790000999999997</v>
      </c>
      <c r="C368" s="3">
        <v>14.183332999999999</v>
      </c>
      <c r="D368" s="3">
        <v>18.200001</v>
      </c>
      <c r="E368" s="3">
        <v>38.959999000000003</v>
      </c>
      <c r="F368" s="3">
        <v>21.601482000000001</v>
      </c>
      <c r="G368" s="3">
        <v>25.969999000000001</v>
      </c>
      <c r="H368" s="3">
        <v>15.85</v>
      </c>
      <c r="I368" s="3">
        <v>38.133986999999998</v>
      </c>
      <c r="J368" s="3">
        <v>40.740001999999997</v>
      </c>
      <c r="L368" s="11">
        <f t="shared" si="22"/>
        <v>-5.241425331922922E-2</v>
      </c>
      <c r="M368" s="11">
        <f t="shared" si="22"/>
        <v>-7.500000163043484E-2</v>
      </c>
      <c r="N368" s="11">
        <f t="shared" si="22"/>
        <v>-7.6610759848338886E-2</v>
      </c>
      <c r="O368" s="11">
        <f t="shared" si="21"/>
        <v>-7.1275373747905199E-2</v>
      </c>
      <c r="P368" s="11">
        <f t="shared" si="21"/>
        <v>-8.0679441934100704E-2</v>
      </c>
      <c r="Q368" s="11">
        <f t="shared" si="21"/>
        <v>-7.3492755137611207E-2</v>
      </c>
      <c r="R368" s="11">
        <f t="shared" si="18"/>
        <v>-9.7380358620749438E-2</v>
      </c>
      <c r="S368" s="11">
        <f t="shared" si="18"/>
        <v>-9.7283084867917952E-2</v>
      </c>
      <c r="T368" s="11">
        <f t="shared" si="18"/>
        <v>-9.0827915848517904E-2</v>
      </c>
      <c r="U368" s="11">
        <f t="shared" si="20"/>
        <v>-7.9440438328311699E-2</v>
      </c>
    </row>
    <row r="369" spans="1:21" x14ac:dyDescent="0.2">
      <c r="A369" s="1">
        <v>43900</v>
      </c>
      <c r="B369" s="3">
        <v>55.709999000000003</v>
      </c>
      <c r="C369" s="3">
        <v>15.333333</v>
      </c>
      <c r="D369" s="3">
        <v>19.709999</v>
      </c>
      <c r="E369" s="3">
        <v>41.950001</v>
      </c>
      <c r="F369" s="3">
        <v>23.497225</v>
      </c>
      <c r="G369" s="3">
        <v>28.030000999999999</v>
      </c>
      <c r="H369" s="3">
        <v>17.559999000000001</v>
      </c>
      <c r="I369" s="3">
        <v>42.243572</v>
      </c>
      <c r="J369" s="3">
        <v>44.810001</v>
      </c>
      <c r="L369" s="11">
        <f t="shared" si="22"/>
        <v>8.0279212720574034E-2</v>
      </c>
      <c r="M369" s="11">
        <f t="shared" si="22"/>
        <v>0.12469437957687964</v>
      </c>
      <c r="N369" s="11">
        <f t="shared" si="22"/>
        <v>6.1255232261357819E-3</v>
      </c>
      <c r="O369" s="11">
        <f t="shared" si="21"/>
        <v>5.4020152111059115E-2</v>
      </c>
      <c r="P369" s="11">
        <f t="shared" si="21"/>
        <v>7.4851626655278392E-2</v>
      </c>
      <c r="Q369" s="11">
        <f t="shared" si="21"/>
        <v>4.2395018311454723E-2</v>
      </c>
      <c r="R369" s="11">
        <f t="shared" si="18"/>
        <v>9.4081002746480027E-2</v>
      </c>
      <c r="S369" s="11">
        <f t="shared" si="18"/>
        <v>8.6407986439770879E-2</v>
      </c>
      <c r="T369" s="11">
        <f t="shared" si="18"/>
        <v>0.18450961223845558</v>
      </c>
      <c r="U369" s="11">
        <f t="shared" si="20"/>
        <v>8.304050155845423E-2</v>
      </c>
    </row>
    <row r="370" spans="1:21" x14ac:dyDescent="0.2">
      <c r="A370" s="1">
        <v>43899</v>
      </c>
      <c r="B370" s="3">
        <v>51.57</v>
      </c>
      <c r="C370" s="3">
        <v>13.633333</v>
      </c>
      <c r="D370" s="3">
        <v>19.59</v>
      </c>
      <c r="E370" s="3">
        <v>39.799999</v>
      </c>
      <c r="F370" s="3">
        <v>21.860900999999998</v>
      </c>
      <c r="G370" s="3">
        <v>26.889999</v>
      </c>
      <c r="H370" s="3">
        <v>16.049999</v>
      </c>
      <c r="I370" s="3">
        <v>38.883709000000003</v>
      </c>
      <c r="J370" s="3">
        <v>37.830002</v>
      </c>
      <c r="L370" s="11">
        <f t="shared" si="22"/>
        <v>-8.7256637168141582E-2</v>
      </c>
      <c r="M370" s="11">
        <f t="shared" si="22"/>
        <v>-0.1200516376947426</v>
      </c>
      <c r="N370" s="11">
        <f t="shared" si="22"/>
        <v>-7.9417336493546167E-2</v>
      </c>
      <c r="O370" s="11">
        <f t="shared" si="21"/>
        <v>-0.11653718349694081</v>
      </c>
      <c r="P370" s="11">
        <f t="shared" si="21"/>
        <v>-8.1341696841555206E-2</v>
      </c>
      <c r="Q370" s="11">
        <f t="shared" si="21"/>
        <v>-8.7236934393650198E-2</v>
      </c>
      <c r="R370" s="11">
        <f t="shared" si="18"/>
        <v>-0.29697770477441959</v>
      </c>
      <c r="S370" s="11">
        <f t="shared" si="18"/>
        <v>-0.12606614872894861</v>
      </c>
      <c r="T370" s="11">
        <f t="shared" si="18"/>
        <v>-0.15198383429760509</v>
      </c>
      <c r="U370" s="11">
        <f t="shared" si="20"/>
        <v>-0.12742990154328332</v>
      </c>
    </row>
    <row r="371" spans="1:21" x14ac:dyDescent="0.2">
      <c r="A371" s="1">
        <v>43896</v>
      </c>
      <c r="B371" s="3">
        <v>56.5</v>
      </c>
      <c r="C371" s="3">
        <v>15.493333</v>
      </c>
      <c r="D371" s="3">
        <v>21.280000999999999</v>
      </c>
      <c r="E371" s="3">
        <v>45.049999</v>
      </c>
      <c r="F371" s="3">
        <v>23.796552999999999</v>
      </c>
      <c r="G371" s="3">
        <v>29.459999</v>
      </c>
      <c r="H371" s="3">
        <v>22.83</v>
      </c>
      <c r="I371" s="3">
        <v>44.492736999999998</v>
      </c>
      <c r="J371" s="3">
        <v>44.610000999999997</v>
      </c>
      <c r="L371" s="11">
        <f t="shared" si="22"/>
        <v>-5.2816726281984562E-3</v>
      </c>
      <c r="M371" s="11">
        <f t="shared" si="22"/>
        <v>-1.337295719322776E-2</v>
      </c>
      <c r="N371" s="11">
        <f t="shared" si="22"/>
        <v>-2.0257735739306559E-2</v>
      </c>
      <c r="O371" s="11">
        <f t="shared" si="21"/>
        <v>-6.6321264248704673E-2</v>
      </c>
      <c r="P371" s="11">
        <f t="shared" si="21"/>
        <v>-8.0570498234516966E-2</v>
      </c>
      <c r="Q371" s="11">
        <f t="shared" si="21"/>
        <v>-2.5148908840136014E-2</v>
      </c>
      <c r="R371" s="11">
        <f t="shared" si="18"/>
        <v>-9.7271684568142239E-2</v>
      </c>
      <c r="S371" s="11">
        <f t="shared" si="18"/>
        <v>-4.3573458369221385E-2</v>
      </c>
      <c r="T371" s="11">
        <f t="shared" si="18"/>
        <v>-4.7812104495714228E-2</v>
      </c>
      <c r="U371" s="11">
        <f t="shared" si="20"/>
        <v>-4.4401142701907585E-2</v>
      </c>
    </row>
    <row r="372" spans="1:21" x14ac:dyDescent="0.2">
      <c r="A372" s="1">
        <v>43895</v>
      </c>
      <c r="B372" s="3">
        <v>56.799999</v>
      </c>
      <c r="C372" s="3">
        <v>15.703333000000001</v>
      </c>
      <c r="D372" s="3">
        <v>21.719999000000001</v>
      </c>
      <c r="E372" s="3">
        <v>48.25</v>
      </c>
      <c r="F372" s="3">
        <v>25.881868000000001</v>
      </c>
      <c r="G372" s="3">
        <v>30.219999000000001</v>
      </c>
      <c r="H372" s="3">
        <v>25.290001</v>
      </c>
      <c r="I372" s="3">
        <v>46.519764000000002</v>
      </c>
      <c r="J372" s="3">
        <v>46.849997999999999</v>
      </c>
      <c r="L372" s="11">
        <f t="shared" si="22"/>
        <v>-2.068967241379311E-2</v>
      </c>
      <c r="M372" s="11">
        <f t="shared" si="22"/>
        <v>-5.3826051569634437E-2</v>
      </c>
      <c r="N372" s="11">
        <f t="shared" si="22"/>
        <v>-1.6749705749207717E-2</v>
      </c>
      <c r="O372" s="11">
        <f t="shared" si="21"/>
        <v>-5.019683169678802E-2</v>
      </c>
      <c r="P372" s="11">
        <f t="shared" si="21"/>
        <v>-6.3537912616012729E-2</v>
      </c>
      <c r="Q372" s="11">
        <f t="shared" si="21"/>
        <v>-6.2655176013946767E-2</v>
      </c>
      <c r="R372" s="11">
        <f t="shared" si="18"/>
        <v>-5.9501601320252909E-2</v>
      </c>
      <c r="S372" s="11">
        <f t="shared" si="18"/>
        <v>-4.1388528148474546E-2</v>
      </c>
      <c r="T372" s="11">
        <f t="shared" si="18"/>
        <v>-3.5412847436689335E-2</v>
      </c>
      <c r="U372" s="11">
        <f t="shared" si="20"/>
        <v>-4.4884258551644393E-2</v>
      </c>
    </row>
    <row r="373" spans="1:21" x14ac:dyDescent="0.2">
      <c r="A373" s="1">
        <v>43894</v>
      </c>
      <c r="B373" s="3">
        <v>58</v>
      </c>
      <c r="C373" s="3">
        <v>16.596665999999999</v>
      </c>
      <c r="D373" s="3">
        <v>22.09</v>
      </c>
      <c r="E373" s="3">
        <v>50.799999</v>
      </c>
      <c r="F373" s="3">
        <v>27.637924000000002</v>
      </c>
      <c r="G373" s="3">
        <v>32.240001999999997</v>
      </c>
      <c r="H373" s="3">
        <v>26.889999</v>
      </c>
      <c r="I373" s="3">
        <v>48.528278</v>
      </c>
      <c r="J373" s="3">
        <v>48.57</v>
      </c>
      <c r="L373" s="11">
        <f t="shared" si="22"/>
        <v>-9.5628584432571953E-3</v>
      </c>
      <c r="M373" s="11">
        <f t="shared" si="22"/>
        <v>3.6282402010028797E-3</v>
      </c>
      <c r="N373" s="11">
        <f t="shared" si="22"/>
        <v>6.457831325301204E-2</v>
      </c>
      <c r="O373" s="11">
        <f t="shared" si="21"/>
        <v>2.2956081353201836E-2</v>
      </c>
      <c r="P373" s="11">
        <f t="shared" si="21"/>
        <v>2.2517534773664655E-2</v>
      </c>
      <c r="Q373" s="11">
        <f t="shared" si="21"/>
        <v>3.2671461648669353E-2</v>
      </c>
      <c r="R373" s="11">
        <f t="shared" si="18"/>
        <v>3.2245682619795872E-2</v>
      </c>
      <c r="S373" s="11">
        <f t="shared" si="18"/>
        <v>-5.3120843128460233E-3</v>
      </c>
      <c r="T373" s="11">
        <f t="shared" si="18"/>
        <v>4.7896485346126678E-2</v>
      </c>
      <c r="U373" s="11">
        <f t="shared" si="20"/>
        <v>2.3513206271041122E-2</v>
      </c>
    </row>
    <row r="374" spans="1:21" x14ac:dyDescent="0.2">
      <c r="A374" s="1">
        <v>43893</v>
      </c>
      <c r="B374" s="3">
        <v>58.560001</v>
      </c>
      <c r="C374" s="3">
        <v>16.536667000000001</v>
      </c>
      <c r="D374" s="3">
        <v>20.75</v>
      </c>
      <c r="E374" s="3">
        <v>49.66</v>
      </c>
      <c r="F374" s="3">
        <v>27.029291000000001</v>
      </c>
      <c r="G374" s="3">
        <v>31.219999000000001</v>
      </c>
      <c r="H374" s="3">
        <v>26.049999</v>
      </c>
      <c r="I374" s="3">
        <v>48.787441000000001</v>
      </c>
      <c r="J374" s="3">
        <v>46.349997999999999</v>
      </c>
      <c r="L374" s="11">
        <f t="shared" si="22"/>
        <v>-2.1553835306727991E-2</v>
      </c>
      <c r="M374" s="11">
        <f t="shared" si="22"/>
        <v>-7.7999403119974912E-3</v>
      </c>
      <c r="N374" s="11">
        <f t="shared" si="22"/>
        <v>1.5663240332843872E-2</v>
      </c>
      <c r="O374" s="11">
        <f t="shared" si="21"/>
        <v>-3.8113943354622158E-3</v>
      </c>
      <c r="P374" s="11">
        <f t="shared" si="21"/>
        <v>1.6510244213684324E-2</v>
      </c>
      <c r="Q374" s="11">
        <f t="shared" si="21"/>
        <v>-1.4520233585858534E-2</v>
      </c>
      <c r="R374" s="11">
        <f t="shared" si="21"/>
        <v>-1.809279992111568E-2</v>
      </c>
      <c r="S374" s="11">
        <f t="shared" si="21"/>
        <v>8.9969442478955806E-3</v>
      </c>
      <c r="T374" s="11">
        <f t="shared" si="21"/>
        <v>-2.1576789871073434E-4</v>
      </c>
      <c r="U374" s="11">
        <f t="shared" si="20"/>
        <v>-2.7581713961609853E-3</v>
      </c>
    </row>
    <row r="375" spans="1:21" x14ac:dyDescent="0.2">
      <c r="A375" s="1">
        <v>43892</v>
      </c>
      <c r="B375" s="3">
        <v>59.849997999999999</v>
      </c>
      <c r="C375" s="3">
        <v>16.666665999999999</v>
      </c>
      <c r="D375" s="3">
        <v>20.43</v>
      </c>
      <c r="E375" s="3">
        <v>49.849997999999999</v>
      </c>
      <c r="F375" s="3">
        <v>26.590278999999999</v>
      </c>
      <c r="G375" s="3">
        <v>31.68</v>
      </c>
      <c r="H375" s="3">
        <v>26.530000999999999</v>
      </c>
      <c r="I375" s="3">
        <v>48.352417000000003</v>
      </c>
      <c r="J375" s="3">
        <v>46.360000999999997</v>
      </c>
      <c r="L375" s="11">
        <f t="shared" si="22"/>
        <v>-4.1597339154653551E-3</v>
      </c>
      <c r="M375" s="11">
        <f t="shared" si="22"/>
        <v>4.1666624999999957E-2</v>
      </c>
      <c r="N375" s="11">
        <f t="shared" si="22"/>
        <v>5.6906363166063192E-2</v>
      </c>
      <c r="O375" s="11">
        <f t="shared" si="21"/>
        <v>6.257508957256637E-3</v>
      </c>
      <c r="P375" s="11">
        <f t="shared" si="21"/>
        <v>1.8797387679683794E-3</v>
      </c>
      <c r="Q375" s="11">
        <f t="shared" si="21"/>
        <v>3.8007863695937096E-2</v>
      </c>
      <c r="R375" s="11">
        <f t="shared" si="21"/>
        <v>4.6961365430149914E-2</v>
      </c>
      <c r="S375" s="11">
        <f t="shared" si="21"/>
        <v>-1.0231119439173935E-2</v>
      </c>
      <c r="T375" s="11">
        <f t="shared" si="21"/>
        <v>4.6264950434101712E-2</v>
      </c>
      <c r="U375" s="11">
        <f t="shared" si="20"/>
        <v>2.4839284677426396E-2</v>
      </c>
    </row>
    <row r="376" spans="1:21" x14ac:dyDescent="0.2">
      <c r="A376" s="1">
        <v>43889</v>
      </c>
      <c r="B376" s="3">
        <v>60.099997999999999</v>
      </c>
      <c r="C376" s="3">
        <v>16</v>
      </c>
      <c r="D376" s="3">
        <v>19.329999999999998</v>
      </c>
      <c r="E376" s="3">
        <v>49.540000999999997</v>
      </c>
      <c r="F376" s="3">
        <v>26.540389999999999</v>
      </c>
      <c r="G376" s="3">
        <v>30.52</v>
      </c>
      <c r="H376" s="3">
        <v>25.34</v>
      </c>
      <c r="I376" s="3">
        <v>48.852229999999999</v>
      </c>
      <c r="J376" s="3">
        <v>44.310001</v>
      </c>
      <c r="L376" s="11">
        <f t="shared" si="22"/>
        <v>3.673964534502919E-3</v>
      </c>
      <c r="M376" s="11">
        <f t="shared" si="22"/>
        <v>4.2571722092602987E-2</v>
      </c>
      <c r="N376" s="11">
        <f t="shared" si="22"/>
        <v>-2.8643216080402028E-2</v>
      </c>
      <c r="O376" s="11">
        <f t="shared" si="21"/>
        <v>3.8501116048676892E-3</v>
      </c>
      <c r="P376" s="11">
        <f t="shared" si="21"/>
        <v>2.1897863617990451E-2</v>
      </c>
      <c r="Q376" s="11">
        <f t="shared" si="21"/>
        <v>-5.5392960071913707E-3</v>
      </c>
      <c r="R376" s="11">
        <f t="shared" si="21"/>
        <v>1.5810672561686731E-3</v>
      </c>
      <c r="S376" s="11">
        <f t="shared" si="21"/>
        <v>-3.9839948920637809E-2</v>
      </c>
      <c r="T376" s="11">
        <f t="shared" si="21"/>
        <v>-3.5979311086591537E-3</v>
      </c>
      <c r="U376" s="11">
        <f t="shared" si="20"/>
        <v>-4.4951811230640516E-4</v>
      </c>
    </row>
    <row r="377" spans="1:21" x14ac:dyDescent="0.2">
      <c r="A377" s="1">
        <v>43888</v>
      </c>
      <c r="B377" s="3">
        <v>59.880001</v>
      </c>
      <c r="C377" s="3">
        <v>15.346666000000001</v>
      </c>
      <c r="D377" s="3">
        <v>19.899999999999999</v>
      </c>
      <c r="E377" s="3">
        <v>49.349997999999999</v>
      </c>
      <c r="F377" s="3">
        <v>25.971665999999999</v>
      </c>
      <c r="G377" s="3">
        <v>30.690000999999999</v>
      </c>
      <c r="H377" s="3">
        <v>25.299999</v>
      </c>
      <c r="I377" s="3">
        <v>50.879257000000003</v>
      </c>
      <c r="J377" s="3">
        <v>44.470001000000003</v>
      </c>
      <c r="L377" s="11">
        <f t="shared" si="22"/>
        <v>-6.7434948877666184E-2</v>
      </c>
      <c r="M377" s="11">
        <f t="shared" si="22"/>
        <v>-0.11546593659942365</v>
      </c>
      <c r="N377" s="11">
        <f t="shared" si="22"/>
        <v>-9.6276112624886515E-2</v>
      </c>
      <c r="O377" s="11">
        <f t="shared" si="21"/>
        <v>-9.2830952469450292E-2</v>
      </c>
      <c r="P377" s="11">
        <f t="shared" si="21"/>
        <v>-9.9308013293180591E-2</v>
      </c>
      <c r="Q377" s="11">
        <f t="shared" si="21"/>
        <v>-9.2011777870170966E-2</v>
      </c>
      <c r="R377" s="11">
        <f t="shared" si="21"/>
        <v>-0.13177762977960294</v>
      </c>
      <c r="S377" s="11">
        <f t="shared" si="21"/>
        <v>-8.0615445875223388E-2</v>
      </c>
      <c r="T377" s="11">
        <f t="shared" si="21"/>
        <v>-0.11290644099528338</v>
      </c>
      <c r="U377" s="11">
        <f t="shared" si="20"/>
        <v>-9.8736362042765313E-2</v>
      </c>
    </row>
    <row r="378" spans="1:21" x14ac:dyDescent="0.2">
      <c r="A378" s="1">
        <v>43882</v>
      </c>
      <c r="B378" s="3">
        <v>64.209998999999996</v>
      </c>
      <c r="C378" s="3">
        <v>17.350000000000001</v>
      </c>
      <c r="D378" s="3">
        <v>22.02</v>
      </c>
      <c r="E378" s="3">
        <v>54.400002000000001</v>
      </c>
      <c r="F378" s="3">
        <v>28.835235999999998</v>
      </c>
      <c r="G378" s="3">
        <v>33.799999</v>
      </c>
      <c r="H378" s="3">
        <v>29.139999</v>
      </c>
      <c r="I378" s="3">
        <v>55.340561000000001</v>
      </c>
      <c r="J378" s="3">
        <v>50.130001</v>
      </c>
      <c r="L378" s="11">
        <f t="shared" si="22"/>
        <v>-2.0591809658078344E-2</v>
      </c>
      <c r="M378" s="11">
        <f t="shared" si="22"/>
        <v>-4.9703309107370338E-3</v>
      </c>
      <c r="N378" s="11">
        <f t="shared" si="22"/>
        <v>4.4592030360531373E-2</v>
      </c>
      <c r="O378" s="11">
        <f t="shared" si="21"/>
        <v>-5.8479348346503644E-3</v>
      </c>
      <c r="P378" s="11">
        <f t="shared" si="21"/>
        <v>7.6751133650775835E-2</v>
      </c>
      <c r="Q378" s="11">
        <f t="shared" si="21"/>
        <v>5.9524110685959062E-3</v>
      </c>
      <c r="R378" s="11">
        <f t="shared" si="21"/>
        <v>-2.6069552139037503E-2</v>
      </c>
      <c r="S378" s="11">
        <f t="shared" si="21"/>
        <v>-9.6074264301385243E-3</v>
      </c>
      <c r="T378" s="11">
        <f t="shared" si="21"/>
        <v>-3.9655171654115494E-2</v>
      </c>
      <c r="U378" s="11">
        <f t="shared" si="20"/>
        <v>2.2837054947939845E-3</v>
      </c>
    </row>
    <row r="379" spans="1:21" x14ac:dyDescent="0.2">
      <c r="A379" s="1">
        <v>43881</v>
      </c>
      <c r="B379" s="3">
        <v>65.559997999999993</v>
      </c>
      <c r="C379" s="3">
        <v>17.436665999999999</v>
      </c>
      <c r="D379" s="3">
        <v>21.08</v>
      </c>
      <c r="E379" s="3">
        <v>54.720001000000003</v>
      </c>
      <c r="F379" s="3">
        <v>26.779852000000002</v>
      </c>
      <c r="G379" s="3">
        <v>33.599997999999999</v>
      </c>
      <c r="H379" s="3">
        <v>29.92</v>
      </c>
      <c r="I379" s="3">
        <v>55.877398999999997</v>
      </c>
      <c r="J379" s="3">
        <v>52.200001</v>
      </c>
      <c r="L379" s="11">
        <f t="shared" si="22"/>
        <v>-1.8270706455544108E-3</v>
      </c>
      <c r="M379" s="11">
        <f t="shared" si="22"/>
        <v>-1.5433823570515218E-2</v>
      </c>
      <c r="N379" s="11">
        <f t="shared" si="22"/>
        <v>-6.5975026671774625E-3</v>
      </c>
      <c r="O379" s="11">
        <f t="shared" si="21"/>
        <v>-5.9945141870029143E-3</v>
      </c>
      <c r="P379" s="11">
        <f t="shared" si="21"/>
        <v>-1.3960307816929828E-2</v>
      </c>
      <c r="Q379" s="11">
        <f t="shared" si="21"/>
        <v>-1.3795186380980361E-2</v>
      </c>
      <c r="R379" s="11">
        <f t="shared" si="21"/>
        <v>-2.0621899202026093E-2</v>
      </c>
      <c r="S379" s="11">
        <f t="shared" si="21"/>
        <v>-2.4402065765904157E-2</v>
      </c>
      <c r="T379" s="11">
        <f t="shared" si="21"/>
        <v>-1.1550842424714202E-2</v>
      </c>
      <c r="U379" s="11">
        <f t="shared" si="20"/>
        <v>-1.2687023628978293E-2</v>
      </c>
    </row>
    <row r="380" spans="1:21" x14ac:dyDescent="0.2">
      <c r="A380" s="1">
        <v>43880</v>
      </c>
      <c r="B380" s="3">
        <v>65.680000000000007</v>
      </c>
      <c r="C380" s="3">
        <v>17.709999</v>
      </c>
      <c r="D380" s="3">
        <v>21.219999000000001</v>
      </c>
      <c r="E380" s="3">
        <v>55.049999</v>
      </c>
      <c r="F380" s="3">
        <v>27.158999999999999</v>
      </c>
      <c r="G380" s="3">
        <v>34.07</v>
      </c>
      <c r="H380" s="3">
        <v>30.549999</v>
      </c>
      <c r="I380" s="3">
        <v>57.275027999999999</v>
      </c>
      <c r="J380" s="3">
        <v>52.810001</v>
      </c>
      <c r="L380" s="11">
        <f t="shared" si="22"/>
        <v>1.2330503036244033E-2</v>
      </c>
      <c r="M380" s="11">
        <f t="shared" si="22"/>
        <v>3.9115940526421637E-2</v>
      </c>
      <c r="N380" s="11">
        <f t="shared" si="22"/>
        <v>1.0957551214864362E-2</v>
      </c>
      <c r="O380" s="11">
        <f t="shared" si="21"/>
        <v>-4.5207957417865412E-3</v>
      </c>
      <c r="P380" s="11">
        <f t="shared" si="21"/>
        <v>-2.9304131775748509E-3</v>
      </c>
      <c r="Q380" s="11">
        <f t="shared" si="21"/>
        <v>7.392075694855115E-3</v>
      </c>
      <c r="R380" s="11">
        <f t="shared" si="21"/>
        <v>2.6890722689075618E-2</v>
      </c>
      <c r="S380" s="11">
        <f t="shared" si="21"/>
        <v>1.7093989773908486E-2</v>
      </c>
      <c r="T380" s="11">
        <f t="shared" si="21"/>
        <v>1.8943182176954333E-4</v>
      </c>
      <c r="U380" s="11">
        <f t="shared" si="20"/>
        <v>1.1835445093086379E-2</v>
      </c>
    </row>
    <row r="381" spans="1:21" x14ac:dyDescent="0.2">
      <c r="A381" s="1">
        <v>43879</v>
      </c>
      <c r="B381" s="3">
        <v>64.879997000000003</v>
      </c>
      <c r="C381" s="3">
        <v>17.043333000000001</v>
      </c>
      <c r="D381" s="3">
        <v>20.99</v>
      </c>
      <c r="E381" s="3">
        <v>55.299999</v>
      </c>
      <c r="F381" s="3">
        <v>27.238821000000002</v>
      </c>
      <c r="G381" s="3">
        <v>33.82</v>
      </c>
      <c r="H381" s="3">
        <v>29.75</v>
      </c>
      <c r="I381" s="3">
        <v>56.312424</v>
      </c>
      <c r="J381" s="3">
        <v>52.799999</v>
      </c>
      <c r="L381" s="11">
        <f t="shared" si="22"/>
        <v>1.6609166405515557E-2</v>
      </c>
      <c r="M381" s="11">
        <f t="shared" si="22"/>
        <v>-1.0833836331979102E-2</v>
      </c>
      <c r="N381" s="11">
        <f t="shared" si="22"/>
        <v>-4.2694497153700122E-3</v>
      </c>
      <c r="O381" s="11">
        <f t="shared" si="21"/>
        <v>1.2674090168387257E-3</v>
      </c>
      <c r="P381" s="11">
        <f t="shared" si="21"/>
        <v>-6.9697047028799931E-3</v>
      </c>
      <c r="Q381" s="11">
        <f t="shared" si="21"/>
        <v>1.8674668112208789E-2</v>
      </c>
      <c r="R381" s="11">
        <f t="shared" si="21"/>
        <v>1.3283344234218505E-2</v>
      </c>
      <c r="S381" s="11">
        <f t="shared" si="21"/>
        <v>1.1518528734585471E-3</v>
      </c>
      <c r="T381" s="11">
        <f t="shared" si="21"/>
        <v>-1.1421100917431136E-2</v>
      </c>
      <c r="U381" s="11">
        <f t="shared" si="20"/>
        <v>1.9435943305088756E-3</v>
      </c>
    </row>
    <row r="382" spans="1:21" x14ac:dyDescent="0.2">
      <c r="A382" s="1">
        <v>43878</v>
      </c>
      <c r="B382" s="3">
        <v>63.82</v>
      </c>
      <c r="C382" s="3">
        <v>17.23</v>
      </c>
      <c r="D382" s="3">
        <v>21.08</v>
      </c>
      <c r="E382" s="3">
        <v>55.23</v>
      </c>
      <c r="F382" s="3">
        <v>27.43</v>
      </c>
      <c r="G382" s="3">
        <v>33.200001</v>
      </c>
      <c r="H382" s="3">
        <v>29.360001</v>
      </c>
      <c r="I382" s="3">
        <v>56.247635000000002</v>
      </c>
      <c r="J382" s="3">
        <v>53.41</v>
      </c>
      <c r="L382" s="11">
        <f t="shared" si="22"/>
        <v>2.1120000000000003E-2</v>
      </c>
      <c r="M382" s="11">
        <f t="shared" si="22"/>
        <v>2.9681233877241749E-2</v>
      </c>
      <c r="N382" s="11">
        <f t="shared" si="22"/>
        <v>-8.4666039510819975E-3</v>
      </c>
      <c r="O382" s="11">
        <f t="shared" si="21"/>
        <v>4.1818181818181251E-3</v>
      </c>
      <c r="P382" s="11">
        <f t="shared" si="21"/>
        <v>1.1430641171436582E-2</v>
      </c>
      <c r="Q382" s="11">
        <f t="shared" si="21"/>
        <v>-1.0137149369792695E-2</v>
      </c>
      <c r="R382" s="11">
        <f t="shared" si="21"/>
        <v>-2.039394969408608E-3</v>
      </c>
      <c r="S382" s="11">
        <f t="shared" si="21"/>
        <v>-7.5126248378846348E-3</v>
      </c>
      <c r="T382" s="11">
        <f t="shared" si="21"/>
        <v>4.7254901960784246E-2</v>
      </c>
      <c r="U382" s="11">
        <f t="shared" si="20"/>
        <v>9.5014246736791971E-3</v>
      </c>
    </row>
    <row r="383" spans="1:21" x14ac:dyDescent="0.2">
      <c r="A383" s="1">
        <v>43875</v>
      </c>
      <c r="B383" s="3">
        <v>62.5</v>
      </c>
      <c r="C383" s="3">
        <v>16.733333999999999</v>
      </c>
      <c r="D383" s="3">
        <v>21.26</v>
      </c>
      <c r="E383" s="3">
        <v>55</v>
      </c>
      <c r="F383" s="3">
        <v>27.120000999999998</v>
      </c>
      <c r="G383" s="3">
        <v>33.540000999999997</v>
      </c>
      <c r="H383" s="3">
        <v>29.42</v>
      </c>
      <c r="I383" s="3">
        <v>56.673400999999998</v>
      </c>
      <c r="J383" s="3">
        <v>51</v>
      </c>
      <c r="L383" s="11">
        <f t="shared" si="22"/>
        <v>-1.7758934185778185E-2</v>
      </c>
      <c r="M383" s="11">
        <f t="shared" si="22"/>
        <v>1.2505062272991856E-2</v>
      </c>
      <c r="N383" s="11">
        <f t="shared" si="22"/>
        <v>-2.2528735632183838E-2</v>
      </c>
      <c r="O383" s="11">
        <f t="shared" si="21"/>
        <v>-3.6350418029813022E-4</v>
      </c>
      <c r="P383" s="11">
        <f t="shared" si="21"/>
        <v>-1.703512142080469E-2</v>
      </c>
      <c r="Q383" s="11">
        <f t="shared" si="21"/>
        <v>2.9904905200504451E-3</v>
      </c>
      <c r="R383" s="11">
        <f t="shared" si="21"/>
        <v>-1.0094179343680317E-2</v>
      </c>
      <c r="S383" s="11">
        <f t="shared" si="21"/>
        <v>-3.4179289355300963E-3</v>
      </c>
      <c r="T383" s="11">
        <f t="shared" si="21"/>
        <v>-2.186419297783268E-2</v>
      </c>
      <c r="U383" s="11">
        <f t="shared" si="20"/>
        <v>-8.618560431451738E-3</v>
      </c>
    </row>
    <row r="384" spans="1:21" x14ac:dyDescent="0.2">
      <c r="A384" s="1">
        <v>43874</v>
      </c>
      <c r="B384" s="3">
        <v>63.630001</v>
      </c>
      <c r="C384" s="3">
        <v>16.526667</v>
      </c>
      <c r="D384" s="3">
        <v>21.75</v>
      </c>
      <c r="E384" s="3">
        <v>55.02</v>
      </c>
      <c r="F384" s="3">
        <v>27.59</v>
      </c>
      <c r="G384" s="3">
        <v>33.439999</v>
      </c>
      <c r="H384" s="3">
        <v>29.719999000000001</v>
      </c>
      <c r="I384" s="3">
        <v>56.867770999999998</v>
      </c>
      <c r="J384" s="3">
        <v>52.139999000000003</v>
      </c>
      <c r="L384" s="11">
        <f t="shared" si="22"/>
        <v>2.9611683327049897E-2</v>
      </c>
      <c r="M384" s="11">
        <f t="shared" si="22"/>
        <v>-6.0143149573290474E-3</v>
      </c>
      <c r="N384" s="11">
        <f t="shared" si="22"/>
        <v>-8.6600269525967093E-3</v>
      </c>
      <c r="O384" s="11">
        <f t="shared" si="21"/>
        <v>-8.2912761355442288E-3</v>
      </c>
      <c r="P384" s="11">
        <f t="shared" si="21"/>
        <v>1.0993000696482191E-2</v>
      </c>
      <c r="Q384" s="11">
        <f t="shared" si="21"/>
        <v>-1.6470617647058816E-2</v>
      </c>
      <c r="R384" s="11">
        <f t="shared" si="21"/>
        <v>-1.360770041844343E-2</v>
      </c>
      <c r="S384" s="11">
        <f t="shared" si="21"/>
        <v>-6.1469086042599368E-3</v>
      </c>
      <c r="T384" s="11">
        <f t="shared" si="21"/>
        <v>-1.752404371584694E-2</v>
      </c>
      <c r="U384" s="11">
        <f t="shared" si="20"/>
        <v>-4.0122449341718908E-3</v>
      </c>
    </row>
    <row r="385" spans="1:21" x14ac:dyDescent="0.2">
      <c r="A385" s="1">
        <v>43873</v>
      </c>
      <c r="B385" s="3">
        <v>61.799999</v>
      </c>
      <c r="C385" s="3">
        <v>16.626664999999999</v>
      </c>
      <c r="D385" s="3">
        <v>21.940000999999999</v>
      </c>
      <c r="E385" s="3">
        <v>55.48</v>
      </c>
      <c r="F385" s="3">
        <v>27.290001</v>
      </c>
      <c r="G385" s="3">
        <v>34</v>
      </c>
      <c r="H385" s="3">
        <v>30.129999000000002</v>
      </c>
      <c r="I385" s="3">
        <v>57.219493999999997</v>
      </c>
      <c r="J385" s="3">
        <v>53.07</v>
      </c>
      <c r="L385" s="11">
        <f t="shared" si="22"/>
        <v>3.5349305333377531E-2</v>
      </c>
      <c r="M385" s="11">
        <f t="shared" si="22"/>
        <v>2.004086012520611E-2</v>
      </c>
      <c r="N385" s="11">
        <f t="shared" si="22"/>
        <v>5.3794476464937485E-2</v>
      </c>
      <c r="O385" s="11">
        <f t="shared" si="21"/>
        <v>2.5508355841343977E-2</v>
      </c>
      <c r="P385" s="11">
        <f t="shared" si="21"/>
        <v>6.6396161328064768E-3</v>
      </c>
      <c r="Q385" s="11">
        <f t="shared" si="21"/>
        <v>1.0101010101010204E-2</v>
      </c>
      <c r="R385" s="11">
        <f t="shared" si="21"/>
        <v>2.2048812754409806E-2</v>
      </c>
      <c r="S385" s="11">
        <f t="shared" si="21"/>
        <v>1.8283656507782593E-2</v>
      </c>
      <c r="T385" s="11">
        <f t="shared" si="21"/>
        <v>1.9596561375534331E-2</v>
      </c>
      <c r="U385" s="11">
        <f t="shared" si="20"/>
        <v>2.3484739404045392E-2</v>
      </c>
    </row>
    <row r="386" spans="1:21" x14ac:dyDescent="0.2">
      <c r="A386" s="1">
        <v>43872</v>
      </c>
      <c r="B386" s="3">
        <v>59.689999</v>
      </c>
      <c r="C386" s="3">
        <v>16.299999</v>
      </c>
      <c r="D386" s="3">
        <v>20.82</v>
      </c>
      <c r="E386" s="3">
        <v>54.099997999999999</v>
      </c>
      <c r="F386" s="3">
        <v>27.110001</v>
      </c>
      <c r="G386" s="3">
        <v>33.659999999999997</v>
      </c>
      <c r="H386" s="3">
        <v>29.48</v>
      </c>
      <c r="I386" s="3">
        <v>56.192096999999997</v>
      </c>
      <c r="J386" s="3">
        <v>52.049999</v>
      </c>
      <c r="L386" s="11">
        <f t="shared" si="22"/>
        <v>2.0690817373461071E-2</v>
      </c>
      <c r="M386" s="11">
        <f t="shared" si="22"/>
        <v>5.5521286583669659E-3</v>
      </c>
      <c r="N386" s="11">
        <f t="shared" si="22"/>
        <v>1.4125620354329339E-2</v>
      </c>
      <c r="O386" s="11">
        <f t="shared" si="21"/>
        <v>3.4021368501529037E-2</v>
      </c>
      <c r="P386" s="11">
        <f t="shared" si="21"/>
        <v>4.3093535975375227E-2</v>
      </c>
      <c r="Q386" s="11">
        <f t="shared" si="21"/>
        <v>2.9357766686306713E-2</v>
      </c>
      <c r="R386" s="11">
        <f t="shared" si="21"/>
        <v>1.2015139444391977E-2</v>
      </c>
      <c r="S386" s="11">
        <f t="shared" si="21"/>
        <v>4.6002707145342769E-2</v>
      </c>
      <c r="T386" s="11">
        <f t="shared" si="21"/>
        <v>3.7059175872866612E-2</v>
      </c>
      <c r="U386" s="11">
        <f t="shared" si="20"/>
        <v>2.6879806667996633E-2</v>
      </c>
    </row>
    <row r="387" spans="1:21" x14ac:dyDescent="0.2">
      <c r="A387" s="1">
        <v>43871</v>
      </c>
      <c r="B387" s="3">
        <v>58.48</v>
      </c>
      <c r="C387" s="3">
        <v>16.209999</v>
      </c>
      <c r="D387" s="3">
        <v>20.530000999999999</v>
      </c>
      <c r="E387" s="3">
        <v>52.32</v>
      </c>
      <c r="F387" s="3">
        <v>25.99</v>
      </c>
      <c r="G387" s="3">
        <v>32.700001</v>
      </c>
      <c r="H387" s="3">
        <v>29.129999000000002</v>
      </c>
      <c r="I387" s="3">
        <v>53.720795000000003</v>
      </c>
      <c r="J387" s="3">
        <v>50.189999</v>
      </c>
      <c r="L387" s="11">
        <f t="shared" si="22"/>
        <v>-3.6255767963085085E-2</v>
      </c>
      <c r="M387" s="11">
        <f t="shared" si="22"/>
        <v>6.8322360248446205E-3</v>
      </c>
      <c r="N387" s="11">
        <f t="shared" si="22"/>
        <v>-3.3980097087380002E-3</v>
      </c>
      <c r="O387" s="11">
        <f t="shared" si="21"/>
        <v>-1.1524655204987709E-2</v>
      </c>
      <c r="P387" s="11">
        <f t="shared" si="21"/>
        <v>-8.0153050375838496E-3</v>
      </c>
      <c r="Q387" s="11">
        <f t="shared" si="21"/>
        <v>-1.6245516471388801E-2</v>
      </c>
      <c r="R387" s="11">
        <f t="shared" si="21"/>
        <v>6.913204286208151E-3</v>
      </c>
      <c r="S387" s="11">
        <f t="shared" si="21"/>
        <v>-3.2021295937090154E-2</v>
      </c>
      <c r="T387" s="11">
        <f t="shared" si="21"/>
        <v>-3.6660250927456832E-2</v>
      </c>
      <c r="U387" s="11">
        <f t="shared" si="20"/>
        <v>-1.4486151215475295E-2</v>
      </c>
    </row>
    <row r="388" spans="1:21" x14ac:dyDescent="0.2">
      <c r="A388" s="1">
        <v>43868</v>
      </c>
      <c r="B388" s="3">
        <v>60.68</v>
      </c>
      <c r="C388" s="3">
        <v>16.100000000000001</v>
      </c>
      <c r="D388" s="3">
        <v>20.6</v>
      </c>
      <c r="E388" s="3">
        <v>52.93</v>
      </c>
      <c r="F388" s="3">
        <v>26.200001</v>
      </c>
      <c r="G388" s="3">
        <v>33.240001999999997</v>
      </c>
      <c r="H388" s="3">
        <v>28.93</v>
      </c>
      <c r="I388" s="3">
        <v>55.497909999999997</v>
      </c>
      <c r="J388" s="3">
        <v>52.099997999999999</v>
      </c>
      <c r="L388" s="11">
        <f t="shared" si="22"/>
        <v>-5.2459016393442666E-3</v>
      </c>
      <c r="M388" s="11">
        <f t="shared" si="22"/>
        <v>-8.0098582871225513E-3</v>
      </c>
      <c r="N388" s="11">
        <f t="shared" si="22"/>
        <v>-3.10442144873001E-2</v>
      </c>
      <c r="O388" s="11">
        <f t="shared" si="21"/>
        <v>-1.690193164933142E-2</v>
      </c>
      <c r="P388" s="11">
        <f t="shared" si="21"/>
        <v>-1.8358935243202069E-2</v>
      </c>
      <c r="Q388" s="11">
        <f t="shared" si="21"/>
        <v>-1.5985702071808813E-2</v>
      </c>
      <c r="R388" s="11">
        <f t="shared" si="21"/>
        <v>-8.5675119945167917E-3</v>
      </c>
      <c r="S388" s="11">
        <f t="shared" si="21"/>
        <v>-2.945941196805902E-2</v>
      </c>
      <c r="T388" s="11">
        <f t="shared" si="21"/>
        <v>-2.2147166331590907E-2</v>
      </c>
      <c r="U388" s="11">
        <f t="shared" si="20"/>
        <v>-1.7302292630252882E-2</v>
      </c>
    </row>
    <row r="389" spans="1:21" x14ac:dyDescent="0.2">
      <c r="A389" s="1">
        <v>43867</v>
      </c>
      <c r="B389" s="3">
        <v>61</v>
      </c>
      <c r="C389" s="3">
        <v>16.23</v>
      </c>
      <c r="D389" s="3">
        <v>21.26</v>
      </c>
      <c r="E389" s="3">
        <v>53.84</v>
      </c>
      <c r="F389" s="3">
        <v>26.690000999999999</v>
      </c>
      <c r="G389" s="3">
        <v>33.779998999999997</v>
      </c>
      <c r="H389" s="3">
        <v>29.18</v>
      </c>
      <c r="I389" s="3">
        <v>57.182471999999997</v>
      </c>
      <c r="J389" s="3">
        <v>53.279998999999997</v>
      </c>
      <c r="L389" s="11">
        <f t="shared" si="22"/>
        <v>-2.7733534340658724E-2</v>
      </c>
      <c r="M389" s="11">
        <f t="shared" si="22"/>
        <v>-1.3373920159640104E-2</v>
      </c>
      <c r="N389" s="11">
        <f t="shared" si="22"/>
        <v>9.4967240976602287E-3</v>
      </c>
      <c r="O389" s="11">
        <f t="shared" si="21"/>
        <v>-3.0259365994236304E-2</v>
      </c>
      <c r="P389" s="11">
        <f t="shared" si="21"/>
        <v>-2.7686702087916192E-2</v>
      </c>
      <c r="Q389" s="11">
        <f t="shared" si="21"/>
        <v>-2.8472850158182527E-2</v>
      </c>
      <c r="R389" s="11">
        <f t="shared" si="21"/>
        <v>2.7826735745922364E-2</v>
      </c>
      <c r="S389" s="11">
        <f t="shared" si="21"/>
        <v>-9.9358802771617027E-3</v>
      </c>
      <c r="T389" s="11">
        <f t="shared" si="21"/>
        <v>5.4726738828958649E-3</v>
      </c>
      <c r="U389" s="11">
        <f t="shared" si="20"/>
        <v>-1.0518457699035234E-2</v>
      </c>
    </row>
    <row r="390" spans="1:21" x14ac:dyDescent="0.2">
      <c r="A390" s="1">
        <v>43866</v>
      </c>
      <c r="B390" s="3">
        <v>62.740001999999997</v>
      </c>
      <c r="C390" s="3">
        <v>16.450001</v>
      </c>
      <c r="D390" s="3">
        <v>21.059999000000001</v>
      </c>
      <c r="E390" s="3">
        <v>55.52</v>
      </c>
      <c r="F390" s="3">
        <v>27.450001</v>
      </c>
      <c r="G390" s="3">
        <v>34.770000000000003</v>
      </c>
      <c r="H390" s="3">
        <v>28.389999</v>
      </c>
      <c r="I390" s="3">
        <v>57.756332</v>
      </c>
      <c r="J390" s="3">
        <v>52.990001999999997</v>
      </c>
      <c r="L390" s="11">
        <f t="shared" si="22"/>
        <v>1.1935516129032209E-2</v>
      </c>
      <c r="M390" s="11">
        <f t="shared" si="22"/>
        <v>-1.2209747309457713E-2</v>
      </c>
      <c r="N390" s="11">
        <f t="shared" si="22"/>
        <v>4.770992594035974E-3</v>
      </c>
      <c r="O390" s="11">
        <f t="shared" si="21"/>
        <v>9.4545454545455106E-3</v>
      </c>
      <c r="P390" s="11">
        <f t="shared" si="21"/>
        <v>-1.258985656798043E-2</v>
      </c>
      <c r="Q390" s="11">
        <f t="shared" si="21"/>
        <v>-1.1654349061966929E-2</v>
      </c>
      <c r="R390" s="11">
        <f t="shared" si="21"/>
        <v>-8.3828155215793752E-3</v>
      </c>
      <c r="S390" s="11">
        <f t="shared" si="21"/>
        <v>1.0853715977431594E-2</v>
      </c>
      <c r="T390" s="11">
        <f t="shared" si="21"/>
        <v>1.3774669982781592E-2</v>
      </c>
      <c r="U390" s="11">
        <f t="shared" si="20"/>
        <v>6.6140796409360359E-4</v>
      </c>
    </row>
    <row r="391" spans="1:21" x14ac:dyDescent="0.2">
      <c r="A391" s="1">
        <v>43865</v>
      </c>
      <c r="B391" s="3">
        <v>62</v>
      </c>
      <c r="C391" s="3">
        <v>16.653334000000001</v>
      </c>
      <c r="D391" s="3">
        <v>20.959999</v>
      </c>
      <c r="E391" s="3">
        <v>55</v>
      </c>
      <c r="F391" s="3">
        <v>27.799999</v>
      </c>
      <c r="G391" s="3">
        <v>35.18</v>
      </c>
      <c r="H391" s="3">
        <v>28.629999000000002</v>
      </c>
      <c r="I391" s="3">
        <v>57.136192000000001</v>
      </c>
      <c r="J391" s="3">
        <v>52.27</v>
      </c>
      <c r="L391" s="11">
        <f t="shared" si="22"/>
        <v>9.9364881892243864E-3</v>
      </c>
      <c r="M391" s="11">
        <f t="shared" si="22"/>
        <v>-2.5953083929864868E-3</v>
      </c>
      <c r="N391" s="11">
        <f t="shared" si="22"/>
        <v>1.9951339170381475E-2</v>
      </c>
      <c r="O391" s="11">
        <f t="shared" si="21"/>
        <v>9.9155528812991094E-3</v>
      </c>
      <c r="P391" s="11">
        <f t="shared" si="21"/>
        <v>1.8315018985898133E-2</v>
      </c>
      <c r="Q391" s="11">
        <f t="shared" si="21"/>
        <v>-1.1357467025626638E-3</v>
      </c>
      <c r="R391" s="11">
        <f t="shared" si="21"/>
        <v>1.5968736692689917E-2</v>
      </c>
      <c r="S391" s="11">
        <f t="shared" si="21"/>
        <v>-2.3104903658028621E-2</v>
      </c>
      <c r="T391" s="11">
        <f t="shared" si="21"/>
        <v>2.6713808681987951E-2</v>
      </c>
      <c r="U391" s="11">
        <f t="shared" ref="U391:U454" si="23">AVERAGE(L391:T391)</f>
        <v>8.2183317608781337E-3</v>
      </c>
    </row>
    <row r="392" spans="1:21" x14ac:dyDescent="0.2">
      <c r="A392" s="1">
        <v>43864</v>
      </c>
      <c r="B392" s="3">
        <v>61.389999000000003</v>
      </c>
      <c r="C392" s="3">
        <v>16.696667000000001</v>
      </c>
      <c r="D392" s="3">
        <v>20.549999</v>
      </c>
      <c r="E392" s="3">
        <v>54.459999000000003</v>
      </c>
      <c r="F392" s="3">
        <v>27.299999</v>
      </c>
      <c r="G392" s="3">
        <v>35.220001000000003</v>
      </c>
      <c r="H392" s="3">
        <v>28.18</v>
      </c>
      <c r="I392" s="3">
        <v>58.487541</v>
      </c>
      <c r="J392" s="3">
        <v>50.91</v>
      </c>
      <c r="L392" s="11">
        <f t="shared" si="22"/>
        <v>1.8076285540236964E-2</v>
      </c>
      <c r="M392" s="11">
        <f t="shared" si="22"/>
        <v>3.9211682124966063E-2</v>
      </c>
      <c r="N392" s="11">
        <f t="shared" si="22"/>
        <v>-1.7686472275334705E-2</v>
      </c>
      <c r="O392" s="11">
        <f t="shared" si="21"/>
        <v>1.5476374874578192E-2</v>
      </c>
      <c r="P392" s="11">
        <f t="shared" si="21"/>
        <v>-9.0744104927190736E-3</v>
      </c>
      <c r="Q392" s="11">
        <f t="shared" si="21"/>
        <v>1.5570963091118908E-2</v>
      </c>
      <c r="R392" s="11">
        <f t="shared" si="21"/>
        <v>-9.490368734960699E-3</v>
      </c>
      <c r="S392" s="11">
        <f t="shared" si="21"/>
        <v>-1.8954885178683158E-3</v>
      </c>
      <c r="T392" s="11">
        <f t="shared" si="21"/>
        <v>1.2731251243286123E-2</v>
      </c>
      <c r="U392" s="11">
        <f t="shared" si="23"/>
        <v>6.9910907614781602E-3</v>
      </c>
    </row>
    <row r="393" spans="1:21" x14ac:dyDescent="0.2">
      <c r="A393" s="1">
        <v>43861</v>
      </c>
      <c r="B393" s="3">
        <v>60.299999</v>
      </c>
      <c r="C393" s="3">
        <v>16.066666000000001</v>
      </c>
      <c r="D393" s="3">
        <v>20.92</v>
      </c>
      <c r="E393" s="3">
        <v>53.630001</v>
      </c>
      <c r="F393" s="3">
        <v>27.549999</v>
      </c>
      <c r="G393" s="3">
        <v>34.68</v>
      </c>
      <c r="H393" s="3">
        <v>28.450001</v>
      </c>
      <c r="I393" s="3">
        <v>58.598613999999998</v>
      </c>
      <c r="J393" s="3">
        <v>50.27</v>
      </c>
      <c r="L393" s="11">
        <f t="shared" si="22"/>
        <v>-4.0420130490133731E-2</v>
      </c>
      <c r="M393" s="11">
        <f t="shared" si="22"/>
        <v>-1.2295082471109893E-2</v>
      </c>
      <c r="N393" s="11">
        <f t="shared" si="22"/>
        <v>1.3075060532687803E-2</v>
      </c>
      <c r="O393" s="11">
        <f t="shared" si="21"/>
        <v>-3.7154187733450263E-3</v>
      </c>
      <c r="P393" s="11">
        <f t="shared" si="21"/>
        <v>-5.7740889849905858E-3</v>
      </c>
      <c r="Q393" s="11">
        <f t="shared" si="21"/>
        <v>-9.4258217324092192E-3</v>
      </c>
      <c r="R393" s="11">
        <f t="shared" si="21"/>
        <v>-1.6931581999599741E-2</v>
      </c>
      <c r="S393" s="11">
        <f t="shared" si="21"/>
        <v>2.0964396857550503E-2</v>
      </c>
      <c r="T393" s="11">
        <f t="shared" si="21"/>
        <v>-2.3883495145631008E-2</v>
      </c>
      <c r="U393" s="11">
        <f t="shared" si="23"/>
        <v>-8.7117958007756555E-3</v>
      </c>
    </row>
    <row r="394" spans="1:21" x14ac:dyDescent="0.2">
      <c r="A394" s="1">
        <v>43860</v>
      </c>
      <c r="B394" s="3">
        <v>62.84</v>
      </c>
      <c r="C394" s="3">
        <v>16.266666000000001</v>
      </c>
      <c r="D394" s="3">
        <v>20.65</v>
      </c>
      <c r="E394" s="3">
        <v>53.830002</v>
      </c>
      <c r="F394" s="3">
        <v>27.709999</v>
      </c>
      <c r="G394" s="3">
        <v>35.009998000000003</v>
      </c>
      <c r="H394" s="3">
        <v>28.940000999999999</v>
      </c>
      <c r="I394" s="3">
        <v>57.395355000000002</v>
      </c>
      <c r="J394" s="3">
        <v>51.5</v>
      </c>
      <c r="L394" s="11">
        <f t="shared" si="22"/>
        <v>-2.1793244763176931E-2</v>
      </c>
      <c r="M394" s="11">
        <f t="shared" si="22"/>
        <v>4.1151232027701982E-3</v>
      </c>
      <c r="N394" s="11">
        <f t="shared" si="22"/>
        <v>-1.9468139575885196E-2</v>
      </c>
      <c r="O394" s="11">
        <f t="shared" si="21"/>
        <v>-7.7418986175115147E-3</v>
      </c>
      <c r="P394" s="11">
        <f t="shared" si="21"/>
        <v>-2.4295809859154888E-2</v>
      </c>
      <c r="Q394" s="11">
        <f t="shared" si="21"/>
        <v>-5.7096775823469185E-4</v>
      </c>
      <c r="R394" s="11">
        <f t="shared" si="21"/>
        <v>3.1196187175042403E-3</v>
      </c>
      <c r="S394" s="11">
        <f t="shared" si="21"/>
        <v>-3.1093739087844026E-2</v>
      </c>
      <c r="T394" s="11">
        <f t="shared" si="21"/>
        <v>1.4778325123152709E-2</v>
      </c>
      <c r="U394" s="11">
        <f t="shared" si="23"/>
        <v>-9.2167480687089017E-3</v>
      </c>
    </row>
    <row r="395" spans="1:21" x14ac:dyDescent="0.2">
      <c r="A395" s="1">
        <v>43859</v>
      </c>
      <c r="B395" s="3">
        <v>64.239998</v>
      </c>
      <c r="C395" s="3">
        <v>16.200001</v>
      </c>
      <c r="D395" s="3">
        <v>21.059999000000001</v>
      </c>
      <c r="E395" s="3">
        <v>54.25</v>
      </c>
      <c r="F395" s="3">
        <v>28.4</v>
      </c>
      <c r="G395" s="3">
        <v>35.029998999999997</v>
      </c>
      <c r="H395" s="3">
        <v>28.85</v>
      </c>
      <c r="I395" s="3">
        <v>59.237262999999999</v>
      </c>
      <c r="J395" s="3">
        <v>50.75</v>
      </c>
      <c r="L395" s="11">
        <f t="shared" si="22"/>
        <v>9.4280171186048693E-3</v>
      </c>
      <c r="M395" s="11">
        <f t="shared" si="22"/>
        <v>-9.7799505024480215E-3</v>
      </c>
      <c r="N395" s="11">
        <f t="shared" si="22"/>
        <v>9.5876313716380356E-3</v>
      </c>
      <c r="O395" s="11">
        <f t="shared" si="21"/>
        <v>2.5519809999251027E-2</v>
      </c>
      <c r="P395" s="11">
        <f t="shared" si="21"/>
        <v>-2.4586934477940376E-3</v>
      </c>
      <c r="Q395" s="11">
        <f t="shared" si="21"/>
        <v>1.0966723753724341E-2</v>
      </c>
      <c r="R395" s="11">
        <f t="shared" si="21"/>
        <v>1.7361458936162374E-3</v>
      </c>
      <c r="S395" s="11">
        <f t="shared" si="21"/>
        <v>-7.9057354356587665E-3</v>
      </c>
      <c r="T395" s="11">
        <f t="shared" si="21"/>
        <v>-8.7890818595882502E-3</v>
      </c>
      <c r="U395" s="11">
        <f t="shared" si="23"/>
        <v>3.1449852101494932E-3</v>
      </c>
    </row>
    <row r="396" spans="1:21" x14ac:dyDescent="0.2">
      <c r="A396" s="1">
        <v>43858</v>
      </c>
      <c r="B396" s="3">
        <v>63.639999000000003</v>
      </c>
      <c r="C396" s="3">
        <v>16.360001</v>
      </c>
      <c r="D396" s="3">
        <v>20.860001</v>
      </c>
      <c r="E396" s="3">
        <v>52.900002000000001</v>
      </c>
      <c r="F396" s="3">
        <v>28.469999000000001</v>
      </c>
      <c r="G396" s="3">
        <v>34.650002000000001</v>
      </c>
      <c r="H396" s="3">
        <v>28.799999</v>
      </c>
      <c r="I396" s="3">
        <v>59.709308999999998</v>
      </c>
      <c r="J396" s="3">
        <v>51.200001</v>
      </c>
      <c r="L396" s="11">
        <f t="shared" si="22"/>
        <v>1.5153932288306511E-2</v>
      </c>
      <c r="M396" s="11">
        <f t="shared" si="22"/>
        <v>3.0010577754681595E-2</v>
      </c>
      <c r="N396" s="11">
        <f t="shared" si="22"/>
        <v>-5.7196854146806461E-3</v>
      </c>
      <c r="O396" s="11">
        <f t="shared" si="21"/>
        <v>2.8382640520657872E-2</v>
      </c>
      <c r="P396" s="11">
        <f t="shared" si="21"/>
        <v>8.8589655867812034E-3</v>
      </c>
      <c r="Q396" s="11">
        <f t="shared" si="21"/>
        <v>1.6725351131141375E-2</v>
      </c>
      <c r="R396" s="11">
        <f t="shared" si="21"/>
        <v>2.7470494917213921E-2</v>
      </c>
      <c r="S396" s="11">
        <f t="shared" si="21"/>
        <v>8.283777804578606E-3</v>
      </c>
      <c r="T396" s="11">
        <f t="shared" si="21"/>
        <v>1.3660721190287856E-2</v>
      </c>
      <c r="U396" s="11">
        <f t="shared" si="23"/>
        <v>1.58696417532187E-2</v>
      </c>
    </row>
    <row r="397" spans="1:21" x14ac:dyDescent="0.2">
      <c r="A397" s="1">
        <v>43857</v>
      </c>
      <c r="B397" s="3">
        <v>62.689999</v>
      </c>
      <c r="C397" s="3">
        <v>15.883333</v>
      </c>
      <c r="D397" s="3">
        <v>20.98</v>
      </c>
      <c r="E397" s="3">
        <v>51.439999</v>
      </c>
      <c r="F397" s="3">
        <v>28.219999000000001</v>
      </c>
      <c r="G397" s="3">
        <v>34.080002</v>
      </c>
      <c r="H397" s="3">
        <v>28.030000999999999</v>
      </c>
      <c r="I397" s="3">
        <v>59.218753999999997</v>
      </c>
      <c r="J397" s="3">
        <v>50.509998000000003</v>
      </c>
      <c r="L397" s="11">
        <f t="shared" si="22"/>
        <v>-1.7244113227087056E-2</v>
      </c>
      <c r="M397" s="11">
        <f t="shared" si="22"/>
        <v>-2.7352541334966195E-2</v>
      </c>
      <c r="N397" s="11">
        <f t="shared" si="22"/>
        <v>-3.1841255191509057E-2</v>
      </c>
      <c r="O397" s="11">
        <f t="shared" si="21"/>
        <v>5.8352460610783241E-4</v>
      </c>
      <c r="P397" s="11">
        <f t="shared" si="21"/>
        <v>-2.5215957678205225E-2</v>
      </c>
      <c r="Q397" s="11">
        <f t="shared" si="21"/>
        <v>-2.9888954458042846E-2</v>
      </c>
      <c r="R397" s="11">
        <f t="shared" si="21"/>
        <v>-4.3344643117564648E-2</v>
      </c>
      <c r="S397" s="11">
        <f t="shared" si="21"/>
        <v>-3.6300627543901828E-2</v>
      </c>
      <c r="T397" s="11">
        <f t="shared" si="21"/>
        <v>-6.1152436080900235E-2</v>
      </c>
      <c r="U397" s="11">
        <f t="shared" si="23"/>
        <v>-3.0195222669563253E-2</v>
      </c>
    </row>
    <row r="398" spans="1:21" x14ac:dyDescent="0.2">
      <c r="A398" s="1">
        <v>43854</v>
      </c>
      <c r="B398" s="3">
        <v>63.790000999999997</v>
      </c>
      <c r="C398" s="3">
        <v>16.329999999999998</v>
      </c>
      <c r="D398" s="3">
        <v>21.67</v>
      </c>
      <c r="E398" s="3">
        <v>51.41</v>
      </c>
      <c r="F398" s="3">
        <v>28.950001</v>
      </c>
      <c r="G398" s="3">
        <v>35.130001</v>
      </c>
      <c r="H398" s="3">
        <v>29.299999</v>
      </c>
      <c r="I398" s="3">
        <v>61.449406000000003</v>
      </c>
      <c r="J398" s="3">
        <v>53.799999</v>
      </c>
      <c r="L398" s="11">
        <f t="shared" si="22"/>
        <v>1.412872819264105E-3</v>
      </c>
      <c r="M398" s="11">
        <f t="shared" si="22"/>
        <v>5.9547841497007972E-3</v>
      </c>
      <c r="N398" s="11">
        <f t="shared" si="22"/>
        <v>-7.3293632615664961E-3</v>
      </c>
      <c r="O398" s="11">
        <f t="shared" si="21"/>
        <v>-6.3780824747552266E-3</v>
      </c>
      <c r="P398" s="11">
        <f t="shared" si="21"/>
        <v>-3.785203158472267E-3</v>
      </c>
      <c r="Q398" s="11">
        <f t="shared" si="21"/>
        <v>-1.0979701576576663E-2</v>
      </c>
      <c r="R398" s="11">
        <f t="shared" si="21"/>
        <v>-1.1804418212478884E-2</v>
      </c>
      <c r="S398" s="11">
        <f t="shared" si="21"/>
        <v>-9.4001339942339085E-3</v>
      </c>
      <c r="T398" s="11">
        <f t="shared" si="21"/>
        <v>-3.0630648648648656E-2</v>
      </c>
      <c r="U398" s="11">
        <f t="shared" si="23"/>
        <v>-8.1044327064185781E-3</v>
      </c>
    </row>
    <row r="399" spans="1:21" x14ac:dyDescent="0.2">
      <c r="A399" s="1">
        <v>43853</v>
      </c>
      <c r="B399" s="3">
        <v>63.700001</v>
      </c>
      <c r="C399" s="3">
        <v>16.233333999999999</v>
      </c>
      <c r="D399" s="3">
        <v>21.83</v>
      </c>
      <c r="E399" s="3">
        <v>51.740001999999997</v>
      </c>
      <c r="F399" s="3">
        <v>29.059999000000001</v>
      </c>
      <c r="G399" s="3">
        <v>35.520000000000003</v>
      </c>
      <c r="H399" s="3">
        <v>29.65</v>
      </c>
      <c r="I399" s="3">
        <v>62.032519999999998</v>
      </c>
      <c r="J399" s="3">
        <v>55.5</v>
      </c>
      <c r="L399" s="11">
        <f t="shared" si="22"/>
        <v>-1.560806700058821E-2</v>
      </c>
      <c r="M399" s="11">
        <f t="shared" si="22"/>
        <v>2.5263221584488852E-2</v>
      </c>
      <c r="N399" s="11">
        <f t="shared" si="22"/>
        <v>1.8665422305179587E-2</v>
      </c>
      <c r="O399" s="11">
        <f t="shared" si="21"/>
        <v>3.8330321560091377E-2</v>
      </c>
      <c r="P399" s="11">
        <f t="shared" si="21"/>
        <v>1.8934046283310017E-2</v>
      </c>
      <c r="Q399" s="11">
        <f t="shared" si="21"/>
        <v>2.2746904693348873E-2</v>
      </c>
      <c r="R399" s="11">
        <f t="shared" si="21"/>
        <v>1.2290849699868512E-2</v>
      </c>
      <c r="S399" s="11">
        <f t="shared" si="21"/>
        <v>2.0932931795046858E-3</v>
      </c>
      <c r="T399" s="11">
        <f t="shared" si="21"/>
        <v>-1.4209573964646069E-2</v>
      </c>
      <c r="U399" s="11">
        <f t="shared" si="23"/>
        <v>1.2056268704506403E-2</v>
      </c>
    </row>
    <row r="400" spans="1:21" x14ac:dyDescent="0.2">
      <c r="A400" s="1">
        <v>43852</v>
      </c>
      <c r="B400" s="3">
        <v>64.709998999999996</v>
      </c>
      <c r="C400" s="3">
        <v>15.833333</v>
      </c>
      <c r="D400" s="3">
        <v>21.43</v>
      </c>
      <c r="E400" s="3">
        <v>49.830002</v>
      </c>
      <c r="F400" s="3">
        <v>28.52</v>
      </c>
      <c r="G400" s="3">
        <v>34.729999999999997</v>
      </c>
      <c r="H400" s="3">
        <v>29.290001</v>
      </c>
      <c r="I400" s="3">
        <v>61.902939000000003</v>
      </c>
      <c r="J400" s="3">
        <v>56.299999</v>
      </c>
      <c r="L400" s="11">
        <f t="shared" si="22"/>
        <v>-1.9990913524018186E-2</v>
      </c>
      <c r="M400" s="11">
        <f t="shared" si="22"/>
        <v>6.2639798657718071E-2</v>
      </c>
      <c r="N400" s="11">
        <f t="shared" si="22"/>
        <v>2.7324974720758607E-2</v>
      </c>
      <c r="O400" s="11">
        <f t="shared" si="21"/>
        <v>1.2804898113721583E-2</v>
      </c>
      <c r="P400" s="11">
        <f t="shared" si="21"/>
        <v>-1.6890727335401652E-2</v>
      </c>
      <c r="Q400" s="11">
        <f t="shared" si="21"/>
        <v>1.4014598540145895E-2</v>
      </c>
      <c r="R400" s="11">
        <f t="shared" si="21"/>
        <v>-1.1141120488145775E-2</v>
      </c>
      <c r="S400" s="11">
        <f t="shared" si="21"/>
        <v>1.1035524958293177E-2</v>
      </c>
      <c r="T400" s="11">
        <f t="shared" si="21"/>
        <v>4.8188471322300605E-3</v>
      </c>
      <c r="U400" s="11">
        <f t="shared" si="23"/>
        <v>9.4017645305890865E-3</v>
      </c>
    </row>
    <row r="401" spans="1:21" x14ac:dyDescent="0.2">
      <c r="A401" s="1">
        <v>43851</v>
      </c>
      <c r="B401" s="3">
        <v>66.029999000000004</v>
      </c>
      <c r="C401" s="3">
        <v>14.9</v>
      </c>
      <c r="D401" s="3">
        <v>20.860001</v>
      </c>
      <c r="E401" s="3">
        <v>49.200001</v>
      </c>
      <c r="F401" s="3">
        <v>29.01</v>
      </c>
      <c r="G401" s="3">
        <v>34.25</v>
      </c>
      <c r="H401" s="3">
        <v>29.620000999999998</v>
      </c>
      <c r="I401" s="3">
        <v>61.227263999999998</v>
      </c>
      <c r="J401" s="3">
        <v>56.029998999999997</v>
      </c>
      <c r="L401" s="11">
        <f t="shared" si="22"/>
        <v>4.4943820935968104E-2</v>
      </c>
      <c r="M401" s="11">
        <f t="shared" si="22"/>
        <v>-1.7582374399225182E-2</v>
      </c>
      <c r="N401" s="11">
        <f t="shared" si="22"/>
        <v>-4.7915666127653809E-4</v>
      </c>
      <c r="O401" s="11">
        <f t="shared" si="21"/>
        <v>-8.0644559703409481E-3</v>
      </c>
      <c r="P401" s="11">
        <f t="shared" si="21"/>
        <v>0</v>
      </c>
      <c r="Q401" s="11">
        <f t="shared" si="21"/>
        <v>-6.6705336426913248E-3</v>
      </c>
      <c r="R401" s="11">
        <f t="shared" si="21"/>
        <v>-1.2666633333333384E-2</v>
      </c>
      <c r="S401" s="11">
        <f t="shared" si="21"/>
        <v>1.0592769331313544E-3</v>
      </c>
      <c r="T401" s="11">
        <f t="shared" si="21"/>
        <v>-2.3186924281957396E-2</v>
      </c>
      <c r="U401" s="11">
        <f t="shared" si="23"/>
        <v>-2.5163311577472572E-3</v>
      </c>
    </row>
    <row r="402" spans="1:21" x14ac:dyDescent="0.2">
      <c r="A402" s="1">
        <v>43850</v>
      </c>
      <c r="B402" s="3">
        <v>63.189999</v>
      </c>
      <c r="C402" s="3">
        <v>15.166665999999999</v>
      </c>
      <c r="D402" s="3">
        <v>20.870000999999998</v>
      </c>
      <c r="E402" s="3">
        <v>49.599997999999999</v>
      </c>
      <c r="F402" s="3">
        <v>29.01</v>
      </c>
      <c r="G402" s="3">
        <v>34.479999999999997</v>
      </c>
      <c r="H402" s="3">
        <v>30</v>
      </c>
      <c r="I402" s="3">
        <v>61.162475999999998</v>
      </c>
      <c r="J402" s="3">
        <v>57.360000999999997</v>
      </c>
      <c r="L402" s="11">
        <f t="shared" si="22"/>
        <v>5.8898280802292258E-3</v>
      </c>
      <c r="M402" s="11">
        <f t="shared" si="22"/>
        <v>3.5288708321320333E-3</v>
      </c>
      <c r="N402" s="11">
        <f t="shared" si="22"/>
        <v>6.268129218900677E-3</v>
      </c>
      <c r="O402" s="11">
        <f t="shared" si="21"/>
        <v>2.2225903324878111E-3</v>
      </c>
      <c r="P402" s="11">
        <f t="shared" si="21"/>
        <v>2.4002823861630898E-2</v>
      </c>
      <c r="Q402" s="11">
        <f t="shared" si="21"/>
        <v>-2.3148436830196526E-3</v>
      </c>
      <c r="R402" s="11">
        <f t="shared" si="21"/>
        <v>5.0251256281406559E-3</v>
      </c>
      <c r="S402" s="11">
        <f t="shared" si="21"/>
        <v>2.3227032724423516E-2</v>
      </c>
      <c r="T402" s="11">
        <f t="shared" si="21"/>
        <v>6.3158070175438055E-3</v>
      </c>
      <c r="U402" s="11">
        <f t="shared" si="23"/>
        <v>8.2405960013854414E-3</v>
      </c>
    </row>
    <row r="403" spans="1:21" x14ac:dyDescent="0.2">
      <c r="A403" s="1">
        <v>43847</v>
      </c>
      <c r="B403" s="3">
        <v>62.82</v>
      </c>
      <c r="C403" s="3">
        <v>15.113333000000001</v>
      </c>
      <c r="D403" s="3">
        <v>20.74</v>
      </c>
      <c r="E403" s="3">
        <v>49.490001999999997</v>
      </c>
      <c r="F403" s="3">
        <v>28.33</v>
      </c>
      <c r="G403" s="3">
        <v>34.560001</v>
      </c>
      <c r="H403" s="3">
        <v>29.85</v>
      </c>
      <c r="I403" s="3">
        <v>59.774101000000002</v>
      </c>
      <c r="J403" s="3">
        <v>57</v>
      </c>
      <c r="L403" s="11">
        <f t="shared" si="22"/>
        <v>5.1200000000000048E-3</v>
      </c>
      <c r="M403" s="11">
        <f t="shared" si="22"/>
        <v>3.1626825938566583E-2</v>
      </c>
      <c r="N403" s="11">
        <f t="shared" si="22"/>
        <v>4.8450099246612798E-3</v>
      </c>
      <c r="O403" s="11">
        <f t="shared" si="21"/>
        <v>6.9175989046754522E-3</v>
      </c>
      <c r="P403" s="11">
        <f t="shared" si="21"/>
        <v>1.7235188509874214E-2</v>
      </c>
      <c r="Q403" s="11">
        <f t="shared" si="21"/>
        <v>1.2005826529673384E-2</v>
      </c>
      <c r="R403" s="11">
        <f t="shared" si="21"/>
        <v>1.1178861788617949E-2</v>
      </c>
      <c r="S403" s="11">
        <f t="shared" si="21"/>
        <v>1.9094182392692883E-2</v>
      </c>
      <c r="T403" s="11">
        <f t="shared" si="21"/>
        <v>3.3170238650362109E-2</v>
      </c>
      <c r="U403" s="11">
        <f t="shared" si="23"/>
        <v>1.5688192515458207E-2</v>
      </c>
    </row>
    <row r="404" spans="1:21" x14ac:dyDescent="0.2">
      <c r="A404" s="1">
        <v>43846</v>
      </c>
      <c r="B404" s="3">
        <v>62.5</v>
      </c>
      <c r="C404" s="3">
        <v>14.65</v>
      </c>
      <c r="D404" s="3">
        <v>20.639999</v>
      </c>
      <c r="E404" s="3">
        <v>49.150002000000001</v>
      </c>
      <c r="F404" s="3">
        <v>27.85</v>
      </c>
      <c r="G404" s="3">
        <v>34.150002000000001</v>
      </c>
      <c r="H404" s="3">
        <v>29.52</v>
      </c>
      <c r="I404" s="3">
        <v>58.654147999999999</v>
      </c>
      <c r="J404" s="3">
        <v>55.169998</v>
      </c>
      <c r="L404" s="11">
        <f t="shared" si="22"/>
        <v>-2.8717294192724908E-3</v>
      </c>
      <c r="M404" s="11">
        <f t="shared" si="22"/>
        <v>1.150750314171471E-2</v>
      </c>
      <c r="N404" s="11">
        <f t="shared" si="22"/>
        <v>-1.4514271891631428E-3</v>
      </c>
      <c r="O404" s="11">
        <f t="shared" si="21"/>
        <v>1.9498092086664372E-2</v>
      </c>
      <c r="P404" s="11">
        <f t="shared" si="21"/>
        <v>1.272727272727278E-2</v>
      </c>
      <c r="Q404" s="11">
        <f t="shared" si="21"/>
        <v>5.2988223344473014E-3</v>
      </c>
      <c r="R404" s="11">
        <f t="shared" si="21"/>
        <v>-1.0151946198035441E-3</v>
      </c>
      <c r="S404" s="11">
        <f t="shared" si="21"/>
        <v>-9.8437194844738091E-3</v>
      </c>
      <c r="T404" s="11">
        <f t="shared" si="21"/>
        <v>-5.2290119947532585E-3</v>
      </c>
      <c r="U404" s="11">
        <f t="shared" si="23"/>
        <v>3.1800675091814348E-3</v>
      </c>
    </row>
    <row r="405" spans="1:21" x14ac:dyDescent="0.2">
      <c r="A405" s="1">
        <v>43845</v>
      </c>
      <c r="B405" s="3">
        <v>62.68</v>
      </c>
      <c r="C405" s="3">
        <v>14.483333</v>
      </c>
      <c r="D405" s="3">
        <v>20.67</v>
      </c>
      <c r="E405" s="3">
        <v>48.209999000000003</v>
      </c>
      <c r="F405" s="3">
        <v>27.5</v>
      </c>
      <c r="G405" s="3">
        <v>33.970001000000003</v>
      </c>
      <c r="H405" s="3">
        <v>29.549999</v>
      </c>
      <c r="I405" s="3">
        <v>59.237262999999999</v>
      </c>
      <c r="J405" s="3">
        <v>55.459999000000003</v>
      </c>
      <c r="L405" s="11">
        <f t="shared" si="22"/>
        <v>-5.0793650793650837E-3</v>
      </c>
      <c r="M405" s="11">
        <f t="shared" si="22"/>
        <v>-2.6875700489937326E-2</v>
      </c>
      <c r="N405" s="11">
        <f t="shared" si="22"/>
        <v>-1.1950286806883365E-2</v>
      </c>
      <c r="O405" s="11">
        <f t="shared" si="21"/>
        <v>2.0742738158870702E-4</v>
      </c>
      <c r="P405" s="11">
        <f t="shared" si="21"/>
        <v>-1.3275959337066349E-2</v>
      </c>
      <c r="Q405" s="11">
        <f t="shared" si="21"/>
        <v>-8.8232352941166345E-4</v>
      </c>
      <c r="R405" s="11">
        <f t="shared" si="21"/>
        <v>-1.5000033333333345E-2</v>
      </c>
      <c r="S405" s="11">
        <f t="shared" si="21"/>
        <v>9.4636993356471445E-3</v>
      </c>
      <c r="T405" s="11">
        <f t="shared" si="21"/>
        <v>-3.235082732478117E-3</v>
      </c>
      <c r="U405" s="11">
        <f t="shared" si="23"/>
        <v>-7.4030693990265999E-3</v>
      </c>
    </row>
    <row r="406" spans="1:21" x14ac:dyDescent="0.2">
      <c r="A406" s="1">
        <v>43844</v>
      </c>
      <c r="B406" s="3">
        <v>63</v>
      </c>
      <c r="C406" s="3">
        <v>14.883333</v>
      </c>
      <c r="D406" s="3">
        <v>20.92</v>
      </c>
      <c r="E406" s="3">
        <v>48.200001</v>
      </c>
      <c r="F406" s="3">
        <v>27.870000999999998</v>
      </c>
      <c r="G406" s="3">
        <v>34</v>
      </c>
      <c r="H406" s="3">
        <v>30</v>
      </c>
      <c r="I406" s="3">
        <v>58.681914999999996</v>
      </c>
      <c r="J406" s="3">
        <v>55.639999000000003</v>
      </c>
      <c r="L406" s="11">
        <f t="shared" si="22"/>
        <v>3.1847293500753132E-3</v>
      </c>
      <c r="M406" s="11">
        <f t="shared" si="22"/>
        <v>6.7643744479001884E-3</v>
      </c>
      <c r="N406" s="11">
        <f t="shared" si="22"/>
        <v>3.3596837944664198E-2</v>
      </c>
      <c r="O406" s="11">
        <f t="shared" si="21"/>
        <v>4.1666875000000063E-3</v>
      </c>
      <c r="P406" s="11">
        <f t="shared" si="21"/>
        <v>3.2604705446461657E-2</v>
      </c>
      <c r="Q406" s="11">
        <f t="shared" si="21"/>
        <v>1.4925373134328358E-2</v>
      </c>
      <c r="R406" s="11">
        <f t="shared" ref="R406:T469" si="24">(H406-H407)/H407</f>
        <v>-1.0880316518298658E-2</v>
      </c>
      <c r="S406" s="11">
        <f t="shared" si="24"/>
        <v>8.9115202296060989E-3</v>
      </c>
      <c r="T406" s="11">
        <f t="shared" si="24"/>
        <v>6.1482822088297579E-3</v>
      </c>
      <c r="U406" s="11">
        <f t="shared" si="23"/>
        <v>1.1046910415951884E-2</v>
      </c>
    </row>
    <row r="407" spans="1:21" x14ac:dyDescent="0.2">
      <c r="A407" s="1">
        <v>43843</v>
      </c>
      <c r="B407" s="3">
        <v>62.799999</v>
      </c>
      <c r="C407" s="3">
        <v>14.783333000000001</v>
      </c>
      <c r="D407" s="3">
        <v>20.239999999999998</v>
      </c>
      <c r="E407" s="3">
        <v>48</v>
      </c>
      <c r="F407" s="3">
        <v>26.99</v>
      </c>
      <c r="G407" s="3">
        <v>33.5</v>
      </c>
      <c r="H407" s="3">
        <v>30.33</v>
      </c>
      <c r="I407" s="3">
        <v>58.163589000000002</v>
      </c>
      <c r="J407" s="3">
        <v>55.299999</v>
      </c>
      <c r="L407" s="11">
        <f t="shared" si="22"/>
        <v>3.1876404339855384E-2</v>
      </c>
      <c r="M407" s="11">
        <f t="shared" si="22"/>
        <v>1.1286907958776874E-3</v>
      </c>
      <c r="N407" s="11">
        <f t="shared" si="22"/>
        <v>2.4291497975708343E-2</v>
      </c>
      <c r="O407" s="11">
        <f t="shared" si="22"/>
        <v>3.1348381665554227E-3</v>
      </c>
      <c r="P407" s="11">
        <f t="shared" si="22"/>
        <v>1.9644919518130584E-2</v>
      </c>
      <c r="Q407" s="11">
        <f t="shared" si="22"/>
        <v>1.055800841278982E-2</v>
      </c>
      <c r="R407" s="11">
        <f t="shared" si="24"/>
        <v>1.9821605550049133E-3</v>
      </c>
      <c r="S407" s="11">
        <f t="shared" si="24"/>
        <v>-2.7696112467087027E-2</v>
      </c>
      <c r="T407" s="11">
        <f t="shared" si="24"/>
        <v>3.6356783426597067E-2</v>
      </c>
      <c r="U407" s="11">
        <f t="shared" si="23"/>
        <v>1.1253021191492466E-2</v>
      </c>
    </row>
    <row r="408" spans="1:21" x14ac:dyDescent="0.2">
      <c r="A408" s="1">
        <v>43840</v>
      </c>
      <c r="B408" s="3">
        <v>60.860000999999997</v>
      </c>
      <c r="C408" s="3">
        <v>14.766666000000001</v>
      </c>
      <c r="D408" s="3">
        <v>19.760000000000002</v>
      </c>
      <c r="E408" s="3">
        <v>47.849997999999999</v>
      </c>
      <c r="F408" s="3">
        <v>26.469999000000001</v>
      </c>
      <c r="G408" s="3">
        <v>33.150002000000001</v>
      </c>
      <c r="H408" s="3">
        <v>30.27</v>
      </c>
      <c r="I408" s="3">
        <v>59.820380999999998</v>
      </c>
      <c r="J408" s="3">
        <v>53.360000999999997</v>
      </c>
      <c r="L408" s="11">
        <f t="shared" si="22"/>
        <v>-7.1777815200291077E-3</v>
      </c>
      <c r="M408" s="11">
        <f t="shared" si="22"/>
        <v>-7.838768372648762E-3</v>
      </c>
      <c r="N408" s="11">
        <f t="shared" si="22"/>
        <v>2.5960539979231565E-2</v>
      </c>
      <c r="O408" s="11">
        <f t="shared" si="22"/>
        <v>-1.9868947152806245E-2</v>
      </c>
      <c r="P408" s="11">
        <f t="shared" si="22"/>
        <v>-1.8854072398189362E-3</v>
      </c>
      <c r="Q408" s="11">
        <f t="shared" si="22"/>
        <v>-1.0447701492537294E-2</v>
      </c>
      <c r="R408" s="11">
        <f t="shared" si="24"/>
        <v>-4.2763157894736515E-3</v>
      </c>
      <c r="S408" s="11">
        <f t="shared" si="24"/>
        <v>-6.1850327853348952E-4</v>
      </c>
      <c r="T408" s="11">
        <f t="shared" si="24"/>
        <v>1.1257411093009068E-3</v>
      </c>
      <c r="U408" s="11">
        <f t="shared" si="23"/>
        <v>-2.7807937508127793E-3</v>
      </c>
    </row>
    <row r="409" spans="1:21" x14ac:dyDescent="0.2">
      <c r="A409" s="1">
        <v>43839</v>
      </c>
      <c r="B409" s="3">
        <v>61.299999</v>
      </c>
      <c r="C409" s="3">
        <v>14.883333</v>
      </c>
      <c r="D409" s="3">
        <v>19.260000000000002</v>
      </c>
      <c r="E409" s="3">
        <v>48.82</v>
      </c>
      <c r="F409" s="3">
        <v>26.52</v>
      </c>
      <c r="G409" s="3">
        <v>33.5</v>
      </c>
      <c r="H409" s="3">
        <v>30.4</v>
      </c>
      <c r="I409" s="3">
        <v>59.857402999999998</v>
      </c>
      <c r="J409" s="3">
        <v>53.299999</v>
      </c>
      <c r="L409" s="11">
        <f t="shared" si="22"/>
        <v>-1.1290338709677425E-2</v>
      </c>
      <c r="M409" s="11">
        <f t="shared" si="22"/>
        <v>-4.4775016789793152E-4</v>
      </c>
      <c r="N409" s="11">
        <f t="shared" si="22"/>
        <v>-6.1918991843085214E-3</v>
      </c>
      <c r="O409" s="11">
        <f t="shared" si="22"/>
        <v>5.3541802851280939E-3</v>
      </c>
      <c r="P409" s="11">
        <f t="shared" si="22"/>
        <v>2.7110766847405085E-2</v>
      </c>
      <c r="Q409" s="11">
        <f t="shared" si="22"/>
        <v>-6.2295759783322262E-3</v>
      </c>
      <c r="R409" s="11">
        <f t="shared" si="24"/>
        <v>-3.2786885245902103E-3</v>
      </c>
      <c r="S409" s="11">
        <f t="shared" si="24"/>
        <v>3.3727576649709351E-2</v>
      </c>
      <c r="T409" s="11">
        <f t="shared" si="24"/>
        <v>-1.3145695728409457E-2</v>
      </c>
      <c r="U409" s="11">
        <f t="shared" si="23"/>
        <v>2.8453972765585286E-3</v>
      </c>
    </row>
    <row r="410" spans="1:21" x14ac:dyDescent="0.2">
      <c r="A410" s="1">
        <v>43838</v>
      </c>
      <c r="B410" s="3">
        <v>62</v>
      </c>
      <c r="C410" s="3">
        <v>14.89</v>
      </c>
      <c r="D410" s="3">
        <v>19.379999000000002</v>
      </c>
      <c r="E410" s="3">
        <v>48.560001</v>
      </c>
      <c r="F410" s="3">
        <v>25.82</v>
      </c>
      <c r="G410" s="3">
        <v>33.709999000000003</v>
      </c>
      <c r="H410" s="3">
        <v>30.5</v>
      </c>
      <c r="I410" s="3">
        <v>57.904426999999998</v>
      </c>
      <c r="J410" s="3">
        <v>54.009998000000003</v>
      </c>
      <c r="L410" s="11">
        <f t="shared" si="22"/>
        <v>-1.430845741467545E-2</v>
      </c>
      <c r="M410" s="11">
        <f t="shared" si="22"/>
        <v>-2.679169457468128E-3</v>
      </c>
      <c r="N410" s="11">
        <f t="shared" si="22"/>
        <v>1.0954564423578499E-2</v>
      </c>
      <c r="O410" s="11">
        <f t="shared" si="22"/>
        <v>-4.9179919040572102E-3</v>
      </c>
      <c r="P410" s="11">
        <f t="shared" si="22"/>
        <v>-7.3048827374087378E-3</v>
      </c>
      <c r="Q410" s="11">
        <f t="shared" si="22"/>
        <v>3.8712624257736202E-3</v>
      </c>
      <c r="R410" s="11">
        <f t="shared" si="24"/>
        <v>-6.1909740569900526E-3</v>
      </c>
      <c r="S410" s="11">
        <f t="shared" si="24"/>
        <v>-7.1417061227650328E-3</v>
      </c>
      <c r="T410" s="11">
        <f t="shared" si="24"/>
        <v>1.8514814814820483E-4</v>
      </c>
      <c r="U410" s="11">
        <f t="shared" si="23"/>
        <v>-3.059134077318254E-3</v>
      </c>
    </row>
    <row r="411" spans="1:21" x14ac:dyDescent="0.2">
      <c r="A411" s="1">
        <v>43837</v>
      </c>
      <c r="B411" s="3">
        <v>62.900002000000001</v>
      </c>
      <c r="C411" s="3">
        <v>14.93</v>
      </c>
      <c r="D411" s="3">
        <v>19.170000000000002</v>
      </c>
      <c r="E411" s="3">
        <v>48.799999</v>
      </c>
      <c r="F411" s="3">
        <v>26.01</v>
      </c>
      <c r="G411" s="3">
        <v>33.580002</v>
      </c>
      <c r="H411" s="3">
        <v>30.690000999999999</v>
      </c>
      <c r="I411" s="3">
        <v>58.320937999999998</v>
      </c>
      <c r="J411" s="3">
        <v>54</v>
      </c>
      <c r="L411" s="11">
        <f t="shared" si="22"/>
        <v>4.6318638455221193E-3</v>
      </c>
      <c r="M411" s="11">
        <f t="shared" si="22"/>
        <v>3.2265522753296166E-2</v>
      </c>
      <c r="N411" s="11">
        <f t="shared" si="22"/>
        <v>3.1396649325136743E-3</v>
      </c>
      <c r="O411" s="11">
        <f t="shared" si="22"/>
        <v>9.7247461318126852E-3</v>
      </c>
      <c r="P411" s="11">
        <f t="shared" si="22"/>
        <v>-1.9969893746424449E-2</v>
      </c>
      <c r="Q411" s="11">
        <f t="shared" si="22"/>
        <v>2.6873692035014932E-3</v>
      </c>
      <c r="R411" s="11">
        <f t="shared" si="24"/>
        <v>-3.8947745503011048E-3</v>
      </c>
      <c r="S411" s="11">
        <f t="shared" si="24"/>
        <v>-1.9604781676371842E-2</v>
      </c>
      <c r="T411" s="11">
        <f t="shared" si="24"/>
        <v>7.2747433823029239E-3</v>
      </c>
      <c r="U411" s="11">
        <f t="shared" si="23"/>
        <v>1.8060511417612956E-3</v>
      </c>
    </row>
    <row r="412" spans="1:21" x14ac:dyDescent="0.2">
      <c r="A412" s="1">
        <v>43836</v>
      </c>
      <c r="B412" s="3">
        <v>62.610000999999997</v>
      </c>
      <c r="C412" s="3">
        <v>14.463333</v>
      </c>
      <c r="D412" s="3">
        <v>19.110001</v>
      </c>
      <c r="E412" s="3">
        <v>48.330002</v>
      </c>
      <c r="F412" s="3">
        <v>26.540001</v>
      </c>
      <c r="G412" s="3">
        <v>33.490001999999997</v>
      </c>
      <c r="H412" s="3">
        <v>30.809999000000001</v>
      </c>
      <c r="I412" s="3">
        <v>59.487170999999996</v>
      </c>
      <c r="J412" s="3">
        <v>53.610000999999997</v>
      </c>
      <c r="L412" s="11">
        <f t="shared" si="22"/>
        <v>-6.1904603174603662E-3</v>
      </c>
      <c r="M412" s="11">
        <f t="shared" si="22"/>
        <v>-9.5868525356505117E-3</v>
      </c>
      <c r="N412" s="11">
        <f t="shared" si="22"/>
        <v>8.9757123032887763E-3</v>
      </c>
      <c r="O412" s="11">
        <f t="shared" si="22"/>
        <v>-1.1656441241045354E-2</v>
      </c>
      <c r="P412" s="11">
        <f t="shared" si="22"/>
        <v>-1.1545586592178816E-2</v>
      </c>
      <c r="Q412" s="11">
        <f t="shared" si="22"/>
        <v>-1.7882861933916226E-3</v>
      </c>
      <c r="R412" s="11">
        <f t="shared" si="24"/>
        <v>1.1822594028814677E-2</v>
      </c>
      <c r="S412" s="11">
        <f t="shared" si="24"/>
        <v>4.061909664664326E-3</v>
      </c>
      <c r="T412" s="11">
        <f t="shared" si="24"/>
        <v>-5.9335991099574046E-3</v>
      </c>
      <c r="U412" s="11">
        <f t="shared" si="23"/>
        <v>-2.4267788881018105E-3</v>
      </c>
    </row>
    <row r="413" spans="1:21" x14ac:dyDescent="0.2">
      <c r="A413" s="1">
        <v>43833</v>
      </c>
      <c r="B413" s="3">
        <v>63</v>
      </c>
      <c r="C413" s="3">
        <v>14.603332999999999</v>
      </c>
      <c r="D413" s="3">
        <v>18.940000999999999</v>
      </c>
      <c r="E413" s="3">
        <v>48.900002000000001</v>
      </c>
      <c r="F413" s="3">
        <v>26.85</v>
      </c>
      <c r="G413" s="3">
        <v>33.549999</v>
      </c>
      <c r="H413" s="3">
        <v>30.450001</v>
      </c>
      <c r="I413" s="3">
        <v>59.246516999999997</v>
      </c>
      <c r="J413" s="3">
        <v>53.93</v>
      </c>
      <c r="L413" s="11">
        <f t="shared" si="22"/>
        <v>-1.42387732749178E-2</v>
      </c>
      <c r="M413" s="11">
        <f t="shared" si="22"/>
        <v>-2.8818422913696497E-2</v>
      </c>
      <c r="N413" s="11">
        <f t="shared" si="22"/>
        <v>2.4337533802055184E-2</v>
      </c>
      <c r="O413" s="11">
        <f t="shared" si="22"/>
        <v>-1.4510217946598495E-2</v>
      </c>
      <c r="P413" s="11">
        <f t="shared" si="22"/>
        <v>1.8657090248399538E-3</v>
      </c>
      <c r="Q413" s="11">
        <f t="shared" si="22"/>
        <v>0</v>
      </c>
      <c r="R413" s="11">
        <f t="shared" si="24"/>
        <v>-8.1433222103152372E-3</v>
      </c>
      <c r="S413" s="11">
        <f t="shared" si="24"/>
        <v>3.710296883057157E-2</v>
      </c>
      <c r="T413" s="11">
        <f t="shared" si="24"/>
        <v>-7.3624514131253047E-3</v>
      </c>
      <c r="U413" s="11">
        <f t="shared" si="23"/>
        <v>-1.0852195667985138E-3</v>
      </c>
    </row>
    <row r="414" spans="1:21" x14ac:dyDescent="0.2">
      <c r="A414" s="1">
        <v>43832</v>
      </c>
      <c r="B414" s="3">
        <v>63.91</v>
      </c>
      <c r="C414" s="3">
        <v>15.036666</v>
      </c>
      <c r="D414" s="3">
        <v>18.489999999999998</v>
      </c>
      <c r="E414" s="3">
        <v>49.619999</v>
      </c>
      <c r="F414" s="3">
        <v>26.799999</v>
      </c>
      <c r="G414" s="3">
        <v>33.549999</v>
      </c>
      <c r="H414" s="3">
        <v>30.700001</v>
      </c>
      <c r="I414" s="3">
        <v>57.126938000000003</v>
      </c>
      <c r="J414" s="3">
        <v>54.330002</v>
      </c>
      <c r="L414" s="11">
        <f t="shared" si="22"/>
        <v>-1.4062500000000533E-3</v>
      </c>
      <c r="M414" s="11">
        <f t="shared" si="22"/>
        <v>4.980216545967342E-2</v>
      </c>
      <c r="N414" s="11">
        <f t="shared" si="22"/>
        <v>0</v>
      </c>
      <c r="O414" s="11">
        <f t="shared" si="22"/>
        <v>4.6614617169373623E-2</v>
      </c>
      <c r="P414" s="11">
        <f t="shared" si="22"/>
        <v>3.4349633346198359E-2</v>
      </c>
      <c r="Q414" s="11">
        <f t="shared" si="22"/>
        <v>1.3595197196084433E-2</v>
      </c>
      <c r="R414" s="11">
        <f t="shared" si="24"/>
        <v>1.722998674618955E-2</v>
      </c>
      <c r="S414" s="11">
        <f t="shared" si="24"/>
        <v>2.2870446129349662E-2</v>
      </c>
      <c r="T414" s="11">
        <f t="shared" si="24"/>
        <v>1.9324634508904974E-2</v>
      </c>
      <c r="U414" s="11">
        <f t="shared" si="23"/>
        <v>2.248671450619711E-2</v>
      </c>
    </row>
    <row r="415" spans="1:21" x14ac:dyDescent="0.2">
      <c r="A415" s="1">
        <v>43829</v>
      </c>
      <c r="B415" s="3">
        <v>64</v>
      </c>
      <c r="C415" s="3">
        <v>14.323333</v>
      </c>
      <c r="D415" s="3">
        <v>18.489999999999998</v>
      </c>
      <c r="E415" s="3">
        <v>47.41</v>
      </c>
      <c r="F415" s="3">
        <v>25.91</v>
      </c>
      <c r="G415" s="3">
        <v>33.099997999999999</v>
      </c>
      <c r="H415" s="3">
        <v>30.18</v>
      </c>
      <c r="I415" s="3">
        <v>55.849632</v>
      </c>
      <c r="J415" s="3">
        <v>53.299999</v>
      </c>
      <c r="L415" s="11">
        <f t="shared" si="22"/>
        <v>3.1259768677716673E-4</v>
      </c>
      <c r="M415" s="11">
        <f t="shared" si="22"/>
        <v>-2.8047931601354048E-2</v>
      </c>
      <c r="N415" s="11">
        <f t="shared" si="22"/>
        <v>1.1487909656022439E-2</v>
      </c>
      <c r="O415" s="11">
        <f t="shared" si="22"/>
        <v>-1.1467869296661302E-2</v>
      </c>
      <c r="P415" s="11">
        <f t="shared" si="22"/>
        <v>-6.8991950939057004E-3</v>
      </c>
      <c r="Q415" s="11">
        <f t="shared" si="22"/>
        <v>1.8158897755482135E-3</v>
      </c>
      <c r="R415" s="11">
        <f t="shared" si="24"/>
        <v>-1.1140235910878107E-2</v>
      </c>
      <c r="S415" s="11">
        <f t="shared" si="24"/>
        <v>3.6591628631298563E-2</v>
      </c>
      <c r="T415" s="11">
        <f t="shared" si="24"/>
        <v>-5.5969964774998625E-3</v>
      </c>
      <c r="U415" s="11">
        <f t="shared" si="23"/>
        <v>-1.4382447367391814E-3</v>
      </c>
    </row>
    <row r="416" spans="1:21" x14ac:dyDescent="0.2">
      <c r="A416" s="1">
        <v>43826</v>
      </c>
      <c r="B416" s="3">
        <v>63.98</v>
      </c>
      <c r="C416" s="3">
        <v>14.736666</v>
      </c>
      <c r="D416" s="3">
        <v>18.280000999999999</v>
      </c>
      <c r="E416" s="3">
        <v>47.959999000000003</v>
      </c>
      <c r="F416" s="3">
        <v>26.09</v>
      </c>
      <c r="G416" s="3">
        <v>33.040000999999997</v>
      </c>
      <c r="H416" s="3">
        <v>30.52</v>
      </c>
      <c r="I416" s="3">
        <v>53.878143000000001</v>
      </c>
      <c r="J416" s="3">
        <v>53.599997999999999</v>
      </c>
      <c r="L416" s="11">
        <f t="shared" si="22"/>
        <v>-1.2196959033362417E-2</v>
      </c>
      <c r="M416" s="11">
        <f t="shared" si="22"/>
        <v>-5.2304437299035438E-2</v>
      </c>
      <c r="N416" s="11">
        <f t="shared" si="22"/>
        <v>-1.2958909287257072E-2</v>
      </c>
      <c r="O416" s="11">
        <f t="shared" si="22"/>
        <v>-6.2163077586534438E-3</v>
      </c>
      <c r="P416" s="11">
        <f t="shared" si="22"/>
        <v>-2.1013133208255111E-2</v>
      </c>
      <c r="Q416" s="11">
        <f t="shared" si="22"/>
        <v>-6.9131048993088815E-3</v>
      </c>
      <c r="R416" s="11">
        <f t="shared" si="24"/>
        <v>-1.2617275962471711E-2</v>
      </c>
      <c r="S416" s="11">
        <f t="shared" si="24"/>
        <v>3.6207219355258642E-3</v>
      </c>
      <c r="T416" s="11">
        <f t="shared" si="24"/>
        <v>-2.1719346199683357E-2</v>
      </c>
      <c r="U416" s="11">
        <f t="shared" si="23"/>
        <v>-1.5813194634722399E-2</v>
      </c>
    </row>
    <row r="417" spans="1:21" x14ac:dyDescent="0.2">
      <c r="A417" s="1">
        <v>43825</v>
      </c>
      <c r="B417" s="3">
        <v>64.769997000000004</v>
      </c>
      <c r="C417" s="3">
        <v>15.55</v>
      </c>
      <c r="D417" s="3">
        <v>18.52</v>
      </c>
      <c r="E417" s="3">
        <v>48.259998000000003</v>
      </c>
      <c r="F417" s="3">
        <v>26.65</v>
      </c>
      <c r="G417" s="3">
        <v>33.270000000000003</v>
      </c>
      <c r="H417" s="3">
        <v>30.91</v>
      </c>
      <c r="I417" s="3">
        <v>53.683768999999998</v>
      </c>
      <c r="J417" s="3">
        <v>54.790000999999997</v>
      </c>
      <c r="L417" s="11">
        <f t="shared" si="22"/>
        <v>-1.5653585912450491E-2</v>
      </c>
      <c r="M417" s="11">
        <f t="shared" si="22"/>
        <v>-4.6938127734971703E-3</v>
      </c>
      <c r="N417" s="11">
        <f t="shared" si="22"/>
        <v>6.5217391304348369E-3</v>
      </c>
      <c r="O417" s="11">
        <f t="shared" si="22"/>
        <v>3.1196560495653076E-2</v>
      </c>
      <c r="P417" s="11">
        <f t="shared" si="22"/>
        <v>9.46969696969697E-3</v>
      </c>
      <c r="Q417" s="11">
        <f t="shared" si="22"/>
        <v>3.4193412135120539E-2</v>
      </c>
      <c r="R417" s="11">
        <f t="shared" si="24"/>
        <v>1.3442622950819676E-2</v>
      </c>
      <c r="S417" s="11">
        <f t="shared" si="24"/>
        <v>1.6295748863387687E-2</v>
      </c>
      <c r="T417" s="11">
        <f t="shared" si="24"/>
        <v>3.8475447472500327E-3</v>
      </c>
      <c r="U417" s="11">
        <f t="shared" si="23"/>
        <v>1.0513325178490572E-2</v>
      </c>
    </row>
    <row r="418" spans="1:21" x14ac:dyDescent="0.2">
      <c r="A418" s="1">
        <v>43822</v>
      </c>
      <c r="B418" s="3">
        <v>65.800003000000004</v>
      </c>
      <c r="C418" s="3">
        <v>15.623333000000001</v>
      </c>
      <c r="D418" s="3">
        <v>18.399999999999999</v>
      </c>
      <c r="E418" s="3">
        <v>46.799999</v>
      </c>
      <c r="F418" s="3">
        <v>26.4</v>
      </c>
      <c r="G418" s="3">
        <v>32.169998</v>
      </c>
      <c r="H418" s="3">
        <v>30.5</v>
      </c>
      <c r="I418" s="3">
        <v>52.822978999999997</v>
      </c>
      <c r="J418" s="3">
        <v>54.580002</v>
      </c>
      <c r="L418" s="11">
        <f t="shared" si="22"/>
        <v>1.637326278570481E-2</v>
      </c>
      <c r="M418" s="11">
        <f t="shared" si="22"/>
        <v>-4.5417555083145461E-2</v>
      </c>
      <c r="N418" s="11">
        <f t="shared" si="22"/>
        <v>-1.8143009605122724E-2</v>
      </c>
      <c r="O418" s="11">
        <f t="shared" si="22"/>
        <v>2.7603471876973491E-2</v>
      </c>
      <c r="P418" s="11">
        <f t="shared" si="22"/>
        <v>9.9464808701790319E-3</v>
      </c>
      <c r="Q418" s="11">
        <f t="shared" si="22"/>
        <v>4.9984383004334013E-3</v>
      </c>
      <c r="R418" s="11">
        <f t="shared" si="24"/>
        <v>7.9312623925974369E-3</v>
      </c>
      <c r="S418" s="11">
        <f t="shared" si="24"/>
        <v>1.0804125111204625E-2</v>
      </c>
      <c r="T418" s="11">
        <f t="shared" si="24"/>
        <v>-3.8327978858769558E-3</v>
      </c>
      <c r="U418" s="11">
        <f t="shared" si="23"/>
        <v>1.1404087514386286E-3</v>
      </c>
    </row>
    <row r="419" spans="1:21" x14ac:dyDescent="0.2">
      <c r="A419" s="1">
        <v>43819</v>
      </c>
      <c r="B419" s="3">
        <v>64.739998</v>
      </c>
      <c r="C419" s="3">
        <v>16.366667</v>
      </c>
      <c r="D419" s="3">
        <v>18.739999999999998</v>
      </c>
      <c r="E419" s="3">
        <v>45.542858000000003</v>
      </c>
      <c r="F419" s="3">
        <v>26.139999</v>
      </c>
      <c r="G419" s="3">
        <v>32.009998000000003</v>
      </c>
      <c r="H419" s="3">
        <v>30.26</v>
      </c>
      <c r="I419" s="3">
        <v>52.258372999999999</v>
      </c>
      <c r="J419" s="3">
        <v>54.790000999999997</v>
      </c>
      <c r="L419" s="11">
        <f t="shared" ref="L419:Q461" si="25">(B419-B420)/B420</f>
        <v>0</v>
      </c>
      <c r="M419" s="11">
        <f t="shared" si="25"/>
        <v>1.1120325828679035E-2</v>
      </c>
      <c r="N419" s="11">
        <f t="shared" si="25"/>
        <v>-1.420305102577607E-2</v>
      </c>
      <c r="O419" s="11">
        <f t="shared" si="25"/>
        <v>-2.2085817170382542E-2</v>
      </c>
      <c r="P419" s="11">
        <f t="shared" si="25"/>
        <v>1.1218529980657567E-2</v>
      </c>
      <c r="Q419" s="11">
        <f t="shared" si="25"/>
        <v>1.1054895767530099E-2</v>
      </c>
      <c r="R419" s="11">
        <f t="shared" si="24"/>
        <v>-1.1434204134785846E-2</v>
      </c>
      <c r="S419" s="11">
        <f t="shared" si="24"/>
        <v>4.2689678222666196E-3</v>
      </c>
      <c r="T419" s="11">
        <f t="shared" si="24"/>
        <v>1.4629648148148086E-2</v>
      </c>
      <c r="U419" s="11">
        <f t="shared" si="23"/>
        <v>5.076994684818833E-4</v>
      </c>
    </row>
    <row r="420" spans="1:21" x14ac:dyDescent="0.2">
      <c r="A420" s="1">
        <v>43818</v>
      </c>
      <c r="B420" s="3">
        <v>64.739998</v>
      </c>
      <c r="C420" s="3">
        <v>16.186665999999999</v>
      </c>
      <c r="D420" s="3">
        <v>19.010000000000002</v>
      </c>
      <c r="E420" s="3">
        <v>46.571426000000002</v>
      </c>
      <c r="F420" s="3">
        <v>25.85</v>
      </c>
      <c r="G420" s="3">
        <v>31.66</v>
      </c>
      <c r="H420" s="3">
        <v>30.610001</v>
      </c>
      <c r="I420" s="3">
        <v>52.036231999999998</v>
      </c>
      <c r="J420" s="3">
        <v>54</v>
      </c>
      <c r="L420" s="11">
        <f t="shared" si="25"/>
        <v>1.1562468749999999E-2</v>
      </c>
      <c r="M420" s="11">
        <f t="shared" si="25"/>
        <v>0</v>
      </c>
      <c r="N420" s="11">
        <f t="shared" si="25"/>
        <v>1.1708301665337931E-2</v>
      </c>
      <c r="O420" s="11">
        <f t="shared" si="25"/>
        <v>1.1793848394862338E-2</v>
      </c>
      <c r="P420" s="11">
        <f t="shared" si="25"/>
        <v>5.8365367378779912E-3</v>
      </c>
      <c r="Q420" s="11">
        <f t="shared" si="25"/>
        <v>1.800643086816716E-2</v>
      </c>
      <c r="R420" s="11">
        <f t="shared" si="24"/>
        <v>2.2920758908947085E-3</v>
      </c>
      <c r="S420" s="11">
        <f t="shared" si="24"/>
        <v>2.6099641805348406E-2</v>
      </c>
      <c r="T420" s="11">
        <f t="shared" si="24"/>
        <v>9.912081355674493E-3</v>
      </c>
      <c r="U420" s="11">
        <f t="shared" si="23"/>
        <v>1.0801265052018115E-2</v>
      </c>
    </row>
    <row r="421" spans="1:21" x14ac:dyDescent="0.2">
      <c r="A421" s="1">
        <v>43817</v>
      </c>
      <c r="B421" s="3">
        <v>64</v>
      </c>
      <c r="C421" s="3">
        <v>16.186665999999999</v>
      </c>
      <c r="D421" s="3">
        <v>18.790001</v>
      </c>
      <c r="E421" s="3">
        <v>46.028571999999997</v>
      </c>
      <c r="F421" s="3">
        <v>25.700001</v>
      </c>
      <c r="G421" s="3">
        <v>31.1</v>
      </c>
      <c r="H421" s="3">
        <v>30.540001</v>
      </c>
      <c r="I421" s="3">
        <v>50.712649999999996</v>
      </c>
      <c r="J421" s="3">
        <v>53.470001000000003</v>
      </c>
      <c r="L421" s="11">
        <f t="shared" si="25"/>
        <v>-7.7519379844961239E-3</v>
      </c>
      <c r="M421" s="11">
        <f t="shared" si="25"/>
        <v>1.6112115505335794E-2</v>
      </c>
      <c r="N421" s="11">
        <f t="shared" si="25"/>
        <v>-1.0631579512577895E-3</v>
      </c>
      <c r="O421" s="11">
        <f t="shared" si="25"/>
        <v>2.1775912285175374E-2</v>
      </c>
      <c r="P421" s="11">
        <f t="shared" si="25"/>
        <v>-6.5713178750939419E-3</v>
      </c>
      <c r="Q421" s="11">
        <f t="shared" si="25"/>
        <v>1.2040351448096355E-2</v>
      </c>
      <c r="R421" s="11">
        <f t="shared" si="24"/>
        <v>2.3115611390284715E-2</v>
      </c>
      <c r="S421" s="11">
        <f t="shared" si="24"/>
        <v>4.2155244003402618E-3</v>
      </c>
      <c r="T421" s="11">
        <f t="shared" si="24"/>
        <v>9.3603522785612599E-4</v>
      </c>
      <c r="U421" s="11">
        <f t="shared" si="23"/>
        <v>6.9787929384711967E-3</v>
      </c>
    </row>
    <row r="422" spans="1:21" x14ac:dyDescent="0.2">
      <c r="A422" s="1">
        <v>43816</v>
      </c>
      <c r="B422" s="3">
        <v>64.5</v>
      </c>
      <c r="C422" s="3">
        <v>15.93</v>
      </c>
      <c r="D422" s="3">
        <v>18.809999000000001</v>
      </c>
      <c r="E422" s="3">
        <v>45.047618999999997</v>
      </c>
      <c r="F422" s="3">
        <v>25.870000999999998</v>
      </c>
      <c r="G422" s="3">
        <v>30.73</v>
      </c>
      <c r="H422" s="3">
        <v>29.85</v>
      </c>
      <c r="I422" s="3">
        <v>50.499766999999999</v>
      </c>
      <c r="J422" s="3">
        <v>53.419998</v>
      </c>
      <c r="L422" s="11">
        <f t="shared" si="25"/>
        <v>-3.0911438836696732E-3</v>
      </c>
      <c r="M422" s="11">
        <f t="shared" si="25"/>
        <v>3.3968023970922731E-2</v>
      </c>
      <c r="N422" s="11">
        <f t="shared" si="25"/>
        <v>8.0385316184352143E-3</v>
      </c>
      <c r="O422" s="11">
        <f t="shared" si="25"/>
        <v>-4.2105001152347244E-3</v>
      </c>
      <c r="P422" s="11">
        <f t="shared" si="25"/>
        <v>-2.3773547169811379E-2</v>
      </c>
      <c r="Q422" s="11">
        <f t="shared" si="25"/>
        <v>-1.1261261261261193E-2</v>
      </c>
      <c r="R422" s="11">
        <f t="shared" si="24"/>
        <v>1.4960897653859275E-2</v>
      </c>
      <c r="S422" s="11">
        <f t="shared" si="24"/>
        <v>2.9411932350291597E-3</v>
      </c>
      <c r="T422" s="11">
        <f t="shared" si="24"/>
        <v>1.4997750281214141E-3</v>
      </c>
      <c r="U422" s="11">
        <f t="shared" si="23"/>
        <v>2.1191076751545359E-3</v>
      </c>
    </row>
    <row r="423" spans="1:21" x14ac:dyDescent="0.2">
      <c r="A423" s="1">
        <v>43815</v>
      </c>
      <c r="B423" s="3">
        <v>64.699996999999996</v>
      </c>
      <c r="C423" s="3">
        <v>15.406666</v>
      </c>
      <c r="D423" s="3">
        <v>18.66</v>
      </c>
      <c r="E423" s="3">
        <v>45.238093999999997</v>
      </c>
      <c r="F423" s="3">
        <v>26.5</v>
      </c>
      <c r="G423" s="3">
        <v>31.08</v>
      </c>
      <c r="H423" s="3">
        <v>29.41</v>
      </c>
      <c r="I423" s="3">
        <v>50.351672999999998</v>
      </c>
      <c r="J423" s="3">
        <v>53.34</v>
      </c>
      <c r="L423" s="11">
        <f t="shared" si="25"/>
        <v>-1.3719527857302728E-2</v>
      </c>
      <c r="M423" s="11">
        <f t="shared" si="25"/>
        <v>-3.8793105120392786E-3</v>
      </c>
      <c r="N423" s="11">
        <f t="shared" si="25"/>
        <v>-9.5541401273885208E-3</v>
      </c>
      <c r="O423" s="11">
        <f t="shared" si="25"/>
        <v>1.4307085843367019E-2</v>
      </c>
      <c r="P423" s="11">
        <f t="shared" si="25"/>
        <v>-8.9753178758413786E-3</v>
      </c>
      <c r="Q423" s="11">
        <f t="shared" si="25"/>
        <v>7.45542949756878E-3</v>
      </c>
      <c r="R423" s="11">
        <f t="shared" si="24"/>
        <v>-1.9012675116744506E-2</v>
      </c>
      <c r="S423" s="11">
        <f t="shared" si="24"/>
        <v>1.6252557677379577E-2</v>
      </c>
      <c r="T423" s="11">
        <f t="shared" si="24"/>
        <v>-7.8124630882612685E-3</v>
      </c>
      <c r="U423" s="11">
        <f t="shared" si="23"/>
        <v>-2.7709290621402561E-3</v>
      </c>
    </row>
    <row r="424" spans="1:21" x14ac:dyDescent="0.2">
      <c r="A424" s="1">
        <v>43812</v>
      </c>
      <c r="B424" s="3">
        <v>65.599997999999999</v>
      </c>
      <c r="C424" s="3">
        <v>15.466666</v>
      </c>
      <c r="D424" s="3">
        <v>18.84</v>
      </c>
      <c r="E424" s="3">
        <v>44.599997999999999</v>
      </c>
      <c r="F424" s="3">
        <v>26.74</v>
      </c>
      <c r="G424" s="3">
        <v>30.85</v>
      </c>
      <c r="H424" s="3">
        <v>29.98</v>
      </c>
      <c r="I424" s="3">
        <v>49.546416999999998</v>
      </c>
      <c r="J424" s="3">
        <v>53.759998000000003</v>
      </c>
      <c r="L424" s="11">
        <f t="shared" si="25"/>
        <v>-4.5709281382419779E-4</v>
      </c>
      <c r="M424" s="11">
        <f t="shared" si="25"/>
        <v>-6.2112016751167667E-3</v>
      </c>
      <c r="N424" s="11">
        <f t="shared" si="25"/>
        <v>4.7999999999999926E-3</v>
      </c>
      <c r="O424" s="11">
        <f t="shared" si="25"/>
        <v>1.0688093430698863E-3</v>
      </c>
      <c r="P424" s="11">
        <f t="shared" si="25"/>
        <v>2.1000342840765823E-2</v>
      </c>
      <c r="Q424" s="11">
        <f t="shared" si="25"/>
        <v>1.6234091436172365E-3</v>
      </c>
      <c r="R424" s="11">
        <f t="shared" si="24"/>
        <v>-3.1966387858133313E-2</v>
      </c>
      <c r="S424" s="11">
        <f t="shared" si="24"/>
        <v>5.6073822691041068E-4</v>
      </c>
      <c r="T424" s="11">
        <f t="shared" si="24"/>
        <v>1.529739347880282E-2</v>
      </c>
      <c r="U424" s="11">
        <f t="shared" si="23"/>
        <v>6.351122984546545E-4</v>
      </c>
    </row>
    <row r="425" spans="1:21" x14ac:dyDescent="0.2">
      <c r="A425" s="1">
        <v>43811</v>
      </c>
      <c r="B425" s="3">
        <v>65.629997000000003</v>
      </c>
      <c r="C425" s="3">
        <v>15.563333</v>
      </c>
      <c r="D425" s="3">
        <v>18.75</v>
      </c>
      <c r="E425" s="3">
        <v>44.552379999999999</v>
      </c>
      <c r="F425" s="3">
        <v>26.190000999999999</v>
      </c>
      <c r="G425" s="3">
        <v>30.799999</v>
      </c>
      <c r="H425" s="3">
        <v>30.969999000000001</v>
      </c>
      <c r="I425" s="3">
        <v>49.518650000000001</v>
      </c>
      <c r="J425" s="3">
        <v>52.950001</v>
      </c>
      <c r="L425" s="11">
        <f t="shared" si="25"/>
        <v>-5.6061060606060146E-3</v>
      </c>
      <c r="M425" s="11">
        <f t="shared" si="25"/>
        <v>1.0606038961038943E-2</v>
      </c>
      <c r="N425" s="11">
        <f t="shared" si="25"/>
        <v>1.0237123396396666E-2</v>
      </c>
      <c r="O425" s="11">
        <f t="shared" si="25"/>
        <v>2.5652252936046172E-2</v>
      </c>
      <c r="P425" s="11">
        <f t="shared" si="25"/>
        <v>6.0323884197413531E-2</v>
      </c>
      <c r="Q425" s="11">
        <f t="shared" si="25"/>
        <v>1.1494186814640806E-2</v>
      </c>
      <c r="R425" s="11">
        <f t="shared" si="24"/>
        <v>1.8749967105263252E-2</v>
      </c>
      <c r="S425" s="11">
        <f t="shared" si="24"/>
        <v>2.3335897735867486E-2</v>
      </c>
      <c r="T425" s="11">
        <f t="shared" si="24"/>
        <v>2.1609086567274297E-2</v>
      </c>
      <c r="U425" s="11">
        <f t="shared" si="23"/>
        <v>1.9600259072592791E-2</v>
      </c>
    </row>
    <row r="426" spans="1:21" x14ac:dyDescent="0.2">
      <c r="A426" s="1">
        <v>43810</v>
      </c>
      <c r="B426" s="3">
        <v>66</v>
      </c>
      <c r="C426" s="3">
        <v>15.4</v>
      </c>
      <c r="D426" s="3">
        <v>18.559999000000001</v>
      </c>
      <c r="E426" s="3">
        <v>43.438094999999997</v>
      </c>
      <c r="F426" s="3">
        <v>24.700001</v>
      </c>
      <c r="G426" s="3">
        <v>30.450001</v>
      </c>
      <c r="H426" s="3">
        <v>30.4</v>
      </c>
      <c r="I426" s="3">
        <v>48.389439000000003</v>
      </c>
      <c r="J426" s="3">
        <v>51.830002</v>
      </c>
      <c r="L426" s="11">
        <f t="shared" si="25"/>
        <v>-9.0089792495188867E-3</v>
      </c>
      <c r="M426" s="11">
        <f t="shared" si="25"/>
        <v>-1.2609489746077812E-2</v>
      </c>
      <c r="N426" s="11">
        <f t="shared" si="25"/>
        <v>1.5317176404968613E-2</v>
      </c>
      <c r="O426" s="11">
        <f t="shared" si="25"/>
        <v>2.6096764601472863E-2</v>
      </c>
      <c r="P426" s="11">
        <f t="shared" si="25"/>
        <v>-6.03617706237429E-3</v>
      </c>
      <c r="Q426" s="11">
        <f t="shared" si="25"/>
        <v>-3.2732570629543838E-3</v>
      </c>
      <c r="R426" s="11">
        <f t="shared" si="24"/>
        <v>-1.314093255121778E-3</v>
      </c>
      <c r="S426" s="11">
        <f t="shared" si="24"/>
        <v>2.0296632071202633E-2</v>
      </c>
      <c r="T426" s="11">
        <f t="shared" si="24"/>
        <v>1.2304706790923697E-2</v>
      </c>
      <c r="U426" s="11">
        <f t="shared" si="23"/>
        <v>4.6414759436134061E-3</v>
      </c>
    </row>
    <row r="427" spans="1:21" x14ac:dyDescent="0.2">
      <c r="A427" s="1">
        <v>43809</v>
      </c>
      <c r="B427" s="3">
        <v>66.599997999999999</v>
      </c>
      <c r="C427" s="3">
        <v>15.596666000000001</v>
      </c>
      <c r="D427" s="3">
        <v>18.280000999999999</v>
      </c>
      <c r="E427" s="3">
        <v>42.333331999999999</v>
      </c>
      <c r="F427" s="3">
        <v>24.85</v>
      </c>
      <c r="G427" s="3">
        <v>30.549999</v>
      </c>
      <c r="H427" s="3">
        <v>30.440000999999999</v>
      </c>
      <c r="I427" s="3">
        <v>47.426833999999999</v>
      </c>
      <c r="J427" s="3">
        <v>51.200001</v>
      </c>
      <c r="L427" s="11">
        <f t="shared" si="25"/>
        <v>-2.7737255474452563E-2</v>
      </c>
      <c r="M427" s="11">
        <f t="shared" si="25"/>
        <v>-1.8048289990520223E-2</v>
      </c>
      <c r="N427" s="11">
        <f t="shared" si="25"/>
        <v>1.1062002212389399E-2</v>
      </c>
      <c r="O427" s="11">
        <f t="shared" si="25"/>
        <v>-1.5285781327142927E-2</v>
      </c>
      <c r="P427" s="11">
        <f t="shared" si="25"/>
        <v>-5.3814666264655484E-3</v>
      </c>
      <c r="Q427" s="11">
        <f t="shared" si="25"/>
        <v>1.9678255165628484E-3</v>
      </c>
      <c r="R427" s="11">
        <f t="shared" si="24"/>
        <v>7.6134395105408289E-3</v>
      </c>
      <c r="S427" s="11">
        <f t="shared" si="24"/>
        <v>-2.5114144081673659E-2</v>
      </c>
      <c r="T427" s="11">
        <f t="shared" si="24"/>
        <v>-4.6655910704819399E-3</v>
      </c>
      <c r="U427" s="11">
        <f t="shared" si="23"/>
        <v>-8.3988068145826426E-3</v>
      </c>
    </row>
    <row r="428" spans="1:21" x14ac:dyDescent="0.2">
      <c r="A428" s="1">
        <v>43808</v>
      </c>
      <c r="B428" s="3">
        <v>68.5</v>
      </c>
      <c r="C428" s="3">
        <v>15.883333</v>
      </c>
      <c r="D428" s="3">
        <v>18.079999999999998</v>
      </c>
      <c r="E428" s="3">
        <v>42.990475000000004</v>
      </c>
      <c r="F428" s="3">
        <v>24.984452999999998</v>
      </c>
      <c r="G428" s="3">
        <v>30.49</v>
      </c>
      <c r="H428" s="3">
        <v>30.209999</v>
      </c>
      <c r="I428" s="3">
        <v>48.648601999999997</v>
      </c>
      <c r="J428" s="3">
        <v>51.439999</v>
      </c>
      <c r="L428" s="11">
        <f t="shared" si="25"/>
        <v>5.8737446658955941E-3</v>
      </c>
      <c r="M428" s="11">
        <f t="shared" si="25"/>
        <v>-2.9531608359844998E-2</v>
      </c>
      <c r="N428" s="11">
        <f t="shared" si="25"/>
        <v>-1.6856934032459775E-2</v>
      </c>
      <c r="O428" s="11">
        <f t="shared" si="25"/>
        <v>-1.2253822092037511E-2</v>
      </c>
      <c r="P428" s="11">
        <f t="shared" si="25"/>
        <v>1.6214063579827336E-2</v>
      </c>
      <c r="Q428" s="11">
        <f t="shared" si="25"/>
        <v>-1.3102194133567233E-3</v>
      </c>
      <c r="R428" s="11">
        <f t="shared" si="24"/>
        <v>-4.6128830313015351E-3</v>
      </c>
      <c r="S428" s="11">
        <f t="shared" si="24"/>
        <v>-1.8853894434075619E-2</v>
      </c>
      <c r="T428" s="11">
        <f t="shared" si="24"/>
        <v>1.7526972445062391E-3</v>
      </c>
      <c r="U428" s="11">
        <f t="shared" si="23"/>
        <v>-6.6198728747607766E-3</v>
      </c>
    </row>
    <row r="429" spans="1:21" x14ac:dyDescent="0.2">
      <c r="A429" s="1">
        <v>43805</v>
      </c>
      <c r="B429" s="3">
        <v>68.099997999999999</v>
      </c>
      <c r="C429" s="3">
        <v>16.366667</v>
      </c>
      <c r="D429" s="3">
        <v>18.389999</v>
      </c>
      <c r="E429" s="3">
        <v>43.523808000000002</v>
      </c>
      <c r="F429" s="3">
        <v>24.585816999999999</v>
      </c>
      <c r="G429" s="3">
        <v>30.530000999999999</v>
      </c>
      <c r="H429" s="3">
        <v>30.35</v>
      </c>
      <c r="I429" s="3">
        <v>49.583443000000003</v>
      </c>
      <c r="J429" s="3">
        <v>51.349997999999999</v>
      </c>
      <c r="L429" s="11">
        <f t="shared" si="25"/>
        <v>4.1284341245127157E-2</v>
      </c>
      <c r="M429" s="11">
        <f t="shared" si="25"/>
        <v>-3.0456244891623966E-3</v>
      </c>
      <c r="N429" s="11">
        <f t="shared" si="25"/>
        <v>1.0439449975854354E-2</v>
      </c>
      <c r="O429" s="11">
        <f t="shared" si="25"/>
        <v>1.4653631590845409E-2</v>
      </c>
      <c r="P429" s="11">
        <f t="shared" si="25"/>
        <v>7.0746488233721164E-2</v>
      </c>
      <c r="Q429" s="11">
        <f t="shared" si="25"/>
        <v>1.0592585587308322E-2</v>
      </c>
      <c r="R429" s="11">
        <f t="shared" si="24"/>
        <v>9.9833946749882333E-3</v>
      </c>
      <c r="S429" s="11">
        <f t="shared" si="24"/>
        <v>1.7280712701940038E-2</v>
      </c>
      <c r="T429" s="11">
        <f t="shared" si="24"/>
        <v>7.850775115784572E-3</v>
      </c>
      <c r="U429" s="11">
        <f t="shared" si="23"/>
        <v>1.9976194959600766E-2</v>
      </c>
    </row>
    <row r="430" spans="1:21" x14ac:dyDescent="0.2">
      <c r="A430" s="1">
        <v>43804</v>
      </c>
      <c r="B430" s="3">
        <v>65.400002000000001</v>
      </c>
      <c r="C430" s="3">
        <v>16.416665999999999</v>
      </c>
      <c r="D430" s="3">
        <v>18.200001</v>
      </c>
      <c r="E430" s="3">
        <v>42.895237000000002</v>
      </c>
      <c r="F430" s="3">
        <v>22.961379999999998</v>
      </c>
      <c r="G430" s="3">
        <v>30.209999</v>
      </c>
      <c r="H430" s="3">
        <v>30.049999</v>
      </c>
      <c r="I430" s="3">
        <v>48.741160999999998</v>
      </c>
      <c r="J430" s="3">
        <v>50.950001</v>
      </c>
      <c r="L430" s="11">
        <f t="shared" si="25"/>
        <v>1.2383963231701668E-2</v>
      </c>
      <c r="M430" s="11">
        <f t="shared" si="25"/>
        <v>-2.6326247042907178E-3</v>
      </c>
      <c r="N430" s="11">
        <f t="shared" si="25"/>
        <v>1.2799221636016725E-2</v>
      </c>
      <c r="O430" s="11">
        <f t="shared" si="25"/>
        <v>1.4414419357195191E-2</v>
      </c>
      <c r="P430" s="11">
        <f t="shared" si="25"/>
        <v>-3.4602070117552026E-3</v>
      </c>
      <c r="Q430" s="11">
        <f t="shared" si="25"/>
        <v>1.4439153309632234E-2</v>
      </c>
      <c r="R430" s="11">
        <f t="shared" si="24"/>
        <v>1.3148988536749815E-2</v>
      </c>
      <c r="S430" s="11">
        <f t="shared" si="24"/>
        <v>-1.6987162428393775E-2</v>
      </c>
      <c r="T430" s="11">
        <f t="shared" si="24"/>
        <v>5.8921840491825373E-4</v>
      </c>
      <c r="U430" s="11">
        <f t="shared" si="23"/>
        <v>4.9661078146415773E-3</v>
      </c>
    </row>
    <row r="431" spans="1:21" x14ac:dyDescent="0.2">
      <c r="A431" s="1">
        <v>43803</v>
      </c>
      <c r="B431" s="3">
        <v>64.599997999999999</v>
      </c>
      <c r="C431" s="3">
        <v>16.459999</v>
      </c>
      <c r="D431" s="3">
        <v>17.969999000000001</v>
      </c>
      <c r="E431" s="3">
        <v>42.285713000000001</v>
      </c>
      <c r="F431" s="3">
        <v>23.041107</v>
      </c>
      <c r="G431" s="3">
        <v>29.780000999999999</v>
      </c>
      <c r="H431" s="3">
        <v>29.66</v>
      </c>
      <c r="I431" s="3">
        <v>49.583443000000003</v>
      </c>
      <c r="J431" s="3">
        <v>50.919998</v>
      </c>
      <c r="L431" s="11">
        <f t="shared" si="25"/>
        <v>2.6384913860001942E-3</v>
      </c>
      <c r="M431" s="11">
        <f t="shared" si="25"/>
        <v>2.6397754595764721E-2</v>
      </c>
      <c r="N431" s="11">
        <f t="shared" si="25"/>
        <v>-5.5340896513557773E-3</v>
      </c>
      <c r="O431" s="11">
        <f t="shared" si="25"/>
        <v>-9.81269957668892E-3</v>
      </c>
      <c r="P431" s="11">
        <f t="shared" si="25"/>
        <v>5.2174123212443621E-3</v>
      </c>
      <c r="Q431" s="11">
        <f t="shared" si="25"/>
        <v>1.9165024612081513E-2</v>
      </c>
      <c r="R431" s="11">
        <f t="shared" si="24"/>
        <v>2.3464458247066933E-2</v>
      </c>
      <c r="S431" s="11">
        <f t="shared" si="24"/>
        <v>-1.2170320293585368E-2</v>
      </c>
      <c r="T431" s="11">
        <f t="shared" si="24"/>
        <v>9.9167001156961563E-3</v>
      </c>
      <c r="U431" s="11">
        <f t="shared" si="23"/>
        <v>6.5869701951359787E-3</v>
      </c>
    </row>
    <row r="432" spans="1:21" x14ac:dyDescent="0.2">
      <c r="A432" s="1">
        <v>43802</v>
      </c>
      <c r="B432" s="3">
        <v>64.430000000000007</v>
      </c>
      <c r="C432" s="3">
        <v>16.036667000000001</v>
      </c>
      <c r="D432" s="3">
        <v>18.07</v>
      </c>
      <c r="E432" s="3">
        <v>42.704762000000002</v>
      </c>
      <c r="F432" s="3">
        <v>22.921516</v>
      </c>
      <c r="G432" s="3">
        <v>29.219999000000001</v>
      </c>
      <c r="H432" s="3">
        <v>28.98</v>
      </c>
      <c r="I432" s="3">
        <v>50.194324000000002</v>
      </c>
      <c r="J432" s="3">
        <v>50.419998</v>
      </c>
      <c r="L432" s="11">
        <f t="shared" si="25"/>
        <v>2.9233259719912572E-2</v>
      </c>
      <c r="M432" s="11">
        <f t="shared" si="25"/>
        <v>1.0714349189678597E-2</v>
      </c>
      <c r="N432" s="11">
        <f t="shared" si="25"/>
        <v>4.4469149527516317E-3</v>
      </c>
      <c r="O432" s="11">
        <f t="shared" si="25"/>
        <v>6.2836703673905562E-3</v>
      </c>
      <c r="P432" s="11">
        <f t="shared" si="25"/>
        <v>1.1878589486861895E-2</v>
      </c>
      <c r="Q432" s="11">
        <f t="shared" si="25"/>
        <v>-4.0900136332651148E-3</v>
      </c>
      <c r="R432" s="11">
        <f t="shared" si="24"/>
        <v>-3.0959752321981374E-3</v>
      </c>
      <c r="S432" s="11">
        <f t="shared" si="24"/>
        <v>4.6313337634789013E-3</v>
      </c>
      <c r="T432" s="11">
        <f t="shared" si="24"/>
        <v>-1.791978963770946E-2</v>
      </c>
      <c r="U432" s="11">
        <f t="shared" si="23"/>
        <v>4.6758154418779369E-3</v>
      </c>
    </row>
    <row r="433" spans="1:21" x14ac:dyDescent="0.2">
      <c r="A433" s="1">
        <v>43801</v>
      </c>
      <c r="B433" s="3">
        <v>62.599997999999999</v>
      </c>
      <c r="C433" s="3">
        <v>15.866666</v>
      </c>
      <c r="D433" s="3">
        <v>17.989999999999998</v>
      </c>
      <c r="E433" s="3">
        <v>42.438094999999997</v>
      </c>
      <c r="F433" s="3">
        <v>22.652436999999999</v>
      </c>
      <c r="G433" s="3">
        <v>29.34</v>
      </c>
      <c r="H433" s="3">
        <v>29.07</v>
      </c>
      <c r="I433" s="3">
        <v>49.962929000000003</v>
      </c>
      <c r="J433" s="3">
        <v>51.34</v>
      </c>
      <c r="L433" s="11">
        <f t="shared" si="25"/>
        <v>1.5999679999999898E-3</v>
      </c>
      <c r="M433" s="11">
        <f t="shared" si="25"/>
        <v>-2.514669007320525E-3</v>
      </c>
      <c r="N433" s="11">
        <f t="shared" si="25"/>
        <v>2.5655585766500143E-2</v>
      </c>
      <c r="O433" s="11">
        <f t="shared" si="25"/>
        <v>-1.0657173895554059E-2</v>
      </c>
      <c r="P433" s="11">
        <f t="shared" si="25"/>
        <v>2.0197420515804976E-2</v>
      </c>
      <c r="Q433" s="11">
        <f t="shared" si="25"/>
        <v>1.452282157676342E-2</v>
      </c>
      <c r="R433" s="11">
        <f t="shared" si="24"/>
        <v>-2.7444253859347616E-3</v>
      </c>
      <c r="S433" s="11">
        <f t="shared" si="24"/>
        <v>2.2735891483357133E-2</v>
      </c>
      <c r="T433" s="11">
        <f t="shared" si="24"/>
        <v>2.7210884353741627E-2</v>
      </c>
      <c r="U433" s="11">
        <f t="shared" si="23"/>
        <v>1.0667367045261993E-2</v>
      </c>
    </row>
    <row r="434" spans="1:21" x14ac:dyDescent="0.2">
      <c r="A434" s="1">
        <v>43798</v>
      </c>
      <c r="B434" s="3">
        <v>62.5</v>
      </c>
      <c r="C434" s="3">
        <v>15.906666</v>
      </c>
      <c r="D434" s="3">
        <v>17.540001</v>
      </c>
      <c r="E434" s="3">
        <v>42.895237000000002</v>
      </c>
      <c r="F434" s="3">
        <v>22.203973999999999</v>
      </c>
      <c r="G434" s="3">
        <v>28.92</v>
      </c>
      <c r="H434" s="3">
        <v>29.15</v>
      </c>
      <c r="I434" s="3">
        <v>48.852229999999999</v>
      </c>
      <c r="J434" s="3">
        <v>49.98</v>
      </c>
      <c r="L434" s="11">
        <f t="shared" si="25"/>
        <v>3.5324502815101758E-3</v>
      </c>
      <c r="M434" s="11">
        <f t="shared" si="25"/>
        <v>-8.9304055408352453E-3</v>
      </c>
      <c r="N434" s="11">
        <f t="shared" si="25"/>
        <v>-6.2322379603398535E-3</v>
      </c>
      <c r="O434" s="11">
        <f t="shared" si="25"/>
        <v>6.4804830798062645E-3</v>
      </c>
      <c r="P434" s="11">
        <f t="shared" si="25"/>
        <v>1.3648803512732604E-2</v>
      </c>
      <c r="Q434" s="11">
        <f t="shared" si="25"/>
        <v>-4.132265697924682E-3</v>
      </c>
      <c r="R434" s="11">
        <f t="shared" si="24"/>
        <v>-1.2868302984480091E-2</v>
      </c>
      <c r="S434" s="11">
        <f t="shared" si="24"/>
        <v>-8.6401639676934941E-3</v>
      </c>
      <c r="T434" s="11">
        <f t="shared" si="24"/>
        <v>-7.7426842910996102E-3</v>
      </c>
      <c r="U434" s="11">
        <f t="shared" si="23"/>
        <v>-2.7649248409248811E-3</v>
      </c>
    </row>
    <row r="435" spans="1:21" x14ac:dyDescent="0.2">
      <c r="A435" s="1">
        <v>43797</v>
      </c>
      <c r="B435" s="3">
        <v>62.279998999999997</v>
      </c>
      <c r="C435" s="3">
        <v>16.049999</v>
      </c>
      <c r="D435" s="3">
        <v>17.649999999999999</v>
      </c>
      <c r="E435" s="3">
        <v>42.619045</v>
      </c>
      <c r="F435" s="3">
        <v>21.904997000000002</v>
      </c>
      <c r="G435" s="3">
        <v>29.040001</v>
      </c>
      <c r="H435" s="3">
        <v>29.530000999999999</v>
      </c>
      <c r="I435" s="3">
        <v>49.277999999999999</v>
      </c>
      <c r="J435" s="3">
        <v>50.369999</v>
      </c>
      <c r="L435" s="11">
        <f t="shared" si="25"/>
        <v>1.2861414584221026E-3</v>
      </c>
      <c r="M435" s="11">
        <f t="shared" si="25"/>
        <v>1.4752350463745015E-2</v>
      </c>
      <c r="N435" s="11">
        <f t="shared" si="25"/>
        <v>-1.2863479466637719E-2</v>
      </c>
      <c r="O435" s="11">
        <f t="shared" si="25"/>
        <v>3.4203818234047952E-2</v>
      </c>
      <c r="P435" s="11">
        <f t="shared" si="25"/>
        <v>3.1440602291705602E-2</v>
      </c>
      <c r="Q435" s="11">
        <f t="shared" si="25"/>
        <v>1.8947403508771936E-2</v>
      </c>
      <c r="R435" s="11">
        <f t="shared" si="24"/>
        <v>6.8189907944084666E-3</v>
      </c>
      <c r="S435" s="11">
        <f t="shared" si="24"/>
        <v>1.6224513728279991E-2</v>
      </c>
      <c r="T435" s="11">
        <f t="shared" si="24"/>
        <v>-4.15189781922113E-3</v>
      </c>
      <c r="U435" s="11">
        <f t="shared" si="23"/>
        <v>1.185093813261358E-2</v>
      </c>
    </row>
    <row r="436" spans="1:21" x14ac:dyDescent="0.2">
      <c r="A436" s="1">
        <v>43796</v>
      </c>
      <c r="B436" s="3">
        <v>62.200001</v>
      </c>
      <c r="C436" s="3">
        <v>15.816666</v>
      </c>
      <c r="D436" s="3">
        <v>17.879999000000002</v>
      </c>
      <c r="E436" s="3">
        <v>41.209522</v>
      </c>
      <c r="F436" s="3">
        <v>21.237283999999999</v>
      </c>
      <c r="G436" s="3">
        <v>28.5</v>
      </c>
      <c r="H436" s="3">
        <v>29.33</v>
      </c>
      <c r="I436" s="3">
        <v>48.491253</v>
      </c>
      <c r="J436" s="3">
        <v>50.580002</v>
      </c>
      <c r="L436" s="11">
        <f t="shared" si="25"/>
        <v>-7.974481531507472E-3</v>
      </c>
      <c r="M436" s="11">
        <f t="shared" si="25"/>
        <v>2.0430064516129012E-2</v>
      </c>
      <c r="N436" s="11">
        <f t="shared" si="25"/>
        <v>2.5817498565691443E-2</v>
      </c>
      <c r="O436" s="11">
        <f t="shared" si="25"/>
        <v>-5.7445517981491046E-3</v>
      </c>
      <c r="P436" s="11">
        <f t="shared" si="25"/>
        <v>4.1035780720806408E-2</v>
      </c>
      <c r="Q436" s="11">
        <f t="shared" si="25"/>
        <v>0</v>
      </c>
      <c r="R436" s="11">
        <f t="shared" si="24"/>
        <v>4.796128646929459E-3</v>
      </c>
      <c r="S436" s="11">
        <f t="shared" si="24"/>
        <v>4.9875024359799661E-3</v>
      </c>
      <c r="T436" s="11">
        <f t="shared" si="24"/>
        <v>-1.2495099326530725E-2</v>
      </c>
      <c r="U436" s="11">
        <f t="shared" si="23"/>
        <v>7.8725380254832215E-3</v>
      </c>
    </row>
    <row r="437" spans="1:21" x14ac:dyDescent="0.2">
      <c r="A437" s="1">
        <v>43795</v>
      </c>
      <c r="B437" s="3">
        <v>62.700001</v>
      </c>
      <c r="C437" s="3">
        <v>15.5</v>
      </c>
      <c r="D437" s="3">
        <v>17.43</v>
      </c>
      <c r="E437" s="3">
        <v>41.447620000000001</v>
      </c>
      <c r="F437" s="3">
        <v>20.400148000000002</v>
      </c>
      <c r="G437" s="3">
        <v>28.5</v>
      </c>
      <c r="H437" s="3">
        <v>29.190000999999999</v>
      </c>
      <c r="I437" s="3">
        <v>48.250602999999998</v>
      </c>
      <c r="J437" s="3">
        <v>51.220001000000003</v>
      </c>
      <c r="L437" s="11">
        <f t="shared" si="25"/>
        <v>-4.7618888888888841E-3</v>
      </c>
      <c r="M437" s="11">
        <f t="shared" si="25"/>
        <v>-2.6585702880169593E-2</v>
      </c>
      <c r="N437" s="11">
        <f t="shared" si="25"/>
        <v>-1.0221521282139663E-2</v>
      </c>
      <c r="O437" s="11">
        <f t="shared" si="25"/>
        <v>-1.2255950355730981E-2</v>
      </c>
      <c r="P437" s="11">
        <f t="shared" si="25"/>
        <v>-6.3107092868601071E-3</v>
      </c>
      <c r="Q437" s="11">
        <f t="shared" si="25"/>
        <v>-2.5307797537619647E-2</v>
      </c>
      <c r="R437" s="11">
        <f t="shared" si="24"/>
        <v>-1.8163437605112735E-2</v>
      </c>
      <c r="S437" s="11">
        <f t="shared" si="24"/>
        <v>-8.3698091120324915E-3</v>
      </c>
      <c r="T437" s="11">
        <f t="shared" si="24"/>
        <v>7.0782538915012318E-3</v>
      </c>
      <c r="U437" s="11">
        <f t="shared" si="23"/>
        <v>-1.1655395895228095E-2</v>
      </c>
    </row>
    <row r="438" spans="1:21" x14ac:dyDescent="0.2">
      <c r="A438" s="1">
        <v>43794</v>
      </c>
      <c r="B438" s="3">
        <v>63</v>
      </c>
      <c r="C438" s="3">
        <v>15.923333</v>
      </c>
      <c r="D438" s="3">
        <v>17.610001</v>
      </c>
      <c r="E438" s="3">
        <v>41.961903</v>
      </c>
      <c r="F438" s="3">
        <v>20.529705</v>
      </c>
      <c r="G438" s="3">
        <v>29.24</v>
      </c>
      <c r="H438" s="3">
        <v>29.73</v>
      </c>
      <c r="I438" s="3">
        <v>48.657859999999999</v>
      </c>
      <c r="J438" s="3">
        <v>50.860000999999997</v>
      </c>
      <c r="L438" s="11">
        <f t="shared" si="25"/>
        <v>-2.627507077009596E-2</v>
      </c>
      <c r="M438" s="11">
        <f t="shared" si="25"/>
        <v>-3.4754477056151929E-2</v>
      </c>
      <c r="N438" s="11">
        <f t="shared" si="25"/>
        <v>2.2766647694934649E-3</v>
      </c>
      <c r="O438" s="11">
        <f t="shared" si="25"/>
        <v>-4.7436189016421488E-3</v>
      </c>
      <c r="P438" s="11">
        <f t="shared" si="25"/>
        <v>1.2782605186606804E-2</v>
      </c>
      <c r="Q438" s="11">
        <f t="shared" si="25"/>
        <v>-8.8135593220339519E-3</v>
      </c>
      <c r="R438" s="11">
        <f t="shared" si="24"/>
        <v>-8.3388925950633758E-3</v>
      </c>
      <c r="S438" s="11">
        <f t="shared" si="24"/>
        <v>2.0578523998587686E-2</v>
      </c>
      <c r="T438" s="11">
        <f t="shared" si="24"/>
        <v>1.6590086280033712E-2</v>
      </c>
      <c r="U438" s="11">
        <f t="shared" si="23"/>
        <v>-3.4108598233628567E-3</v>
      </c>
    </row>
    <row r="439" spans="1:21" x14ac:dyDescent="0.2">
      <c r="A439" s="1">
        <v>43791</v>
      </c>
      <c r="B439" s="3">
        <v>64.699996999999996</v>
      </c>
      <c r="C439" s="3">
        <v>16.496666000000001</v>
      </c>
      <c r="D439" s="3">
        <v>17.57</v>
      </c>
      <c r="E439" s="3">
        <v>42.161903000000002</v>
      </c>
      <c r="F439" s="3">
        <v>20.270593999999999</v>
      </c>
      <c r="G439" s="3">
        <v>29.5</v>
      </c>
      <c r="H439" s="3">
        <v>29.98</v>
      </c>
      <c r="I439" s="3">
        <v>47.676743000000002</v>
      </c>
      <c r="J439" s="3">
        <v>50.029998999999997</v>
      </c>
      <c r="L439" s="11">
        <f t="shared" si="25"/>
        <v>2.4706969032419417E-2</v>
      </c>
      <c r="M439" s="11">
        <f t="shared" si="25"/>
        <v>1.2479521531905145E-2</v>
      </c>
      <c r="N439" s="11">
        <f t="shared" si="25"/>
        <v>-1.7045454545455191E-3</v>
      </c>
      <c r="O439" s="11">
        <f t="shared" si="25"/>
        <v>2.1929827856952213E-2</v>
      </c>
      <c r="P439" s="11">
        <f t="shared" si="25"/>
        <v>-2.9410655094761671E-3</v>
      </c>
      <c r="Q439" s="11">
        <f t="shared" si="25"/>
        <v>-1.6920135936383512E-3</v>
      </c>
      <c r="R439" s="11">
        <f t="shared" si="24"/>
        <v>4.3551088777219098E-3</v>
      </c>
      <c r="S439" s="11">
        <f t="shared" si="24"/>
        <v>1.2979387584507399E-2</v>
      </c>
      <c r="T439" s="11">
        <f t="shared" si="24"/>
        <v>3.3250744867853919E-2</v>
      </c>
      <c r="U439" s="11">
        <f t="shared" si="23"/>
        <v>1.1484881688188885E-2</v>
      </c>
    </row>
    <row r="440" spans="1:21" x14ac:dyDescent="0.2">
      <c r="A440" s="1">
        <v>43790</v>
      </c>
      <c r="B440" s="3">
        <v>63.139999000000003</v>
      </c>
      <c r="C440" s="3">
        <v>16.293333000000001</v>
      </c>
      <c r="D440" s="3">
        <v>17.600000000000001</v>
      </c>
      <c r="E440" s="3">
        <v>41.257140999999997</v>
      </c>
      <c r="F440" s="3">
        <v>20.330387000000002</v>
      </c>
      <c r="G440" s="3">
        <v>29.549999</v>
      </c>
      <c r="H440" s="3">
        <v>29.85</v>
      </c>
      <c r="I440" s="3">
        <v>47.065857000000001</v>
      </c>
      <c r="J440" s="3">
        <v>48.419998</v>
      </c>
      <c r="L440" s="11">
        <f t="shared" si="25"/>
        <v>5.2157992073254195E-2</v>
      </c>
      <c r="M440" s="11">
        <f t="shared" si="25"/>
        <v>1.9607822277847315E-2</v>
      </c>
      <c r="N440" s="11">
        <f t="shared" si="25"/>
        <v>3.9930973192758411E-3</v>
      </c>
      <c r="O440" s="11">
        <f t="shared" si="25"/>
        <v>5.607018013771637E-2</v>
      </c>
      <c r="P440" s="11">
        <f t="shared" si="25"/>
        <v>2.1532264203512716E-2</v>
      </c>
      <c r="Q440" s="11">
        <f t="shared" si="25"/>
        <v>2.9258099242706344E-2</v>
      </c>
      <c r="R440" s="11">
        <f t="shared" si="24"/>
        <v>3.7178560209223166E-2</v>
      </c>
      <c r="S440" s="11">
        <f t="shared" si="24"/>
        <v>-1.2237786856905084E-2</v>
      </c>
      <c r="T440" s="11">
        <f t="shared" si="24"/>
        <v>5.1899524679241216E-3</v>
      </c>
      <c r="U440" s="11">
        <f t="shared" si="23"/>
        <v>2.3638909008283887E-2</v>
      </c>
    </row>
    <row r="441" spans="1:21" x14ac:dyDescent="0.2">
      <c r="A441" s="1">
        <v>43788</v>
      </c>
      <c r="B441" s="3">
        <v>60.009998000000003</v>
      </c>
      <c r="C441" s="3">
        <v>15.98</v>
      </c>
      <c r="D441" s="3">
        <v>17.530000999999999</v>
      </c>
      <c r="E441" s="3">
        <v>39.066665999999998</v>
      </c>
      <c r="F441" s="3">
        <v>19.901855000000001</v>
      </c>
      <c r="G441" s="3">
        <v>28.709999</v>
      </c>
      <c r="H441" s="3">
        <v>28.780000999999999</v>
      </c>
      <c r="I441" s="3">
        <v>47.648975</v>
      </c>
      <c r="J441" s="3">
        <v>48.169998</v>
      </c>
      <c r="L441" s="11">
        <f t="shared" si="25"/>
        <v>-4.4791142083461799E-3</v>
      </c>
      <c r="M441" s="11">
        <f t="shared" si="25"/>
        <v>-2.2430628973516595E-2</v>
      </c>
      <c r="N441" s="11">
        <f t="shared" si="25"/>
        <v>-1.0722235368072128E-2</v>
      </c>
      <c r="O441" s="11">
        <f t="shared" si="25"/>
        <v>-3.1591604847861984E-3</v>
      </c>
      <c r="P441" s="11">
        <f t="shared" si="25"/>
        <v>1.4735802721930697E-2</v>
      </c>
      <c r="Q441" s="11">
        <f t="shared" si="25"/>
        <v>-2.0470829767002086E-2</v>
      </c>
      <c r="R441" s="11">
        <f t="shared" si="24"/>
        <v>-1.0316334250343869E-2</v>
      </c>
      <c r="S441" s="11">
        <f t="shared" si="24"/>
        <v>1.5785345379136818E-2</v>
      </c>
      <c r="T441" s="11">
        <f t="shared" si="24"/>
        <v>1.1762171565591917E-2</v>
      </c>
      <c r="U441" s="11">
        <f t="shared" si="23"/>
        <v>-3.2549981539341799E-3</v>
      </c>
    </row>
    <row r="442" spans="1:21" x14ac:dyDescent="0.2">
      <c r="A442" s="1">
        <v>43787</v>
      </c>
      <c r="B442" s="3">
        <v>60.279998999999997</v>
      </c>
      <c r="C442" s="3">
        <v>16.346665999999999</v>
      </c>
      <c r="D442" s="3">
        <v>17.719999000000001</v>
      </c>
      <c r="E442" s="3">
        <v>39.190474999999999</v>
      </c>
      <c r="F442" s="3">
        <v>19.612843999999999</v>
      </c>
      <c r="G442" s="3">
        <v>29.309999000000001</v>
      </c>
      <c r="H442" s="3">
        <v>29.08</v>
      </c>
      <c r="I442" s="3">
        <v>46.908507999999998</v>
      </c>
      <c r="J442" s="3">
        <v>47.610000999999997</v>
      </c>
      <c r="L442" s="11">
        <f t="shared" si="25"/>
        <v>-6.4282019590639035E-3</v>
      </c>
      <c r="M442" s="11">
        <f t="shared" si="25"/>
        <v>-1.526108433734954E-2</v>
      </c>
      <c r="N442" s="11">
        <f t="shared" si="25"/>
        <v>9.1116178309577425E-3</v>
      </c>
      <c r="O442" s="11">
        <f t="shared" si="25"/>
        <v>-1.4371318115384207E-2</v>
      </c>
      <c r="P442" s="11">
        <f t="shared" si="25"/>
        <v>-1.5507795560709454E-2</v>
      </c>
      <c r="Q442" s="11">
        <f t="shared" si="25"/>
        <v>-1.7030653370890285E-3</v>
      </c>
      <c r="R442" s="11">
        <f t="shared" si="24"/>
        <v>-7.508498549778155E-3</v>
      </c>
      <c r="S442" s="11">
        <f t="shared" si="24"/>
        <v>-7.4421775418049259E-3</v>
      </c>
      <c r="T442" s="11">
        <f t="shared" si="24"/>
        <v>1.2978744680850998E-2</v>
      </c>
      <c r="U442" s="11">
        <f t="shared" si="23"/>
        <v>-5.1257532099300528E-3</v>
      </c>
    </row>
    <row r="443" spans="1:21" x14ac:dyDescent="0.2">
      <c r="A443" s="1">
        <v>43783</v>
      </c>
      <c r="B443" s="3">
        <v>60.669998</v>
      </c>
      <c r="C443" s="3">
        <v>16.600000000000001</v>
      </c>
      <c r="D443" s="3">
        <v>17.559999000000001</v>
      </c>
      <c r="E443" s="3">
        <v>39.761906000000003</v>
      </c>
      <c r="F443" s="3">
        <v>19.921786999999998</v>
      </c>
      <c r="G443" s="3">
        <v>29.360001</v>
      </c>
      <c r="H443" s="3">
        <v>29.299999</v>
      </c>
      <c r="I443" s="3">
        <v>47.260227</v>
      </c>
      <c r="J443" s="3">
        <v>47</v>
      </c>
      <c r="L443" s="11">
        <f t="shared" si="25"/>
        <v>2.1380403320525123E-2</v>
      </c>
      <c r="M443" s="11">
        <f t="shared" si="25"/>
        <v>5.4512416717141035E-3</v>
      </c>
      <c r="N443" s="11">
        <f t="shared" si="25"/>
        <v>3.4285142857143568E-3</v>
      </c>
      <c r="O443" s="11">
        <f t="shared" si="25"/>
        <v>1.4334310858818677E-2</v>
      </c>
      <c r="P443" s="11">
        <f t="shared" si="25"/>
        <v>2.1983551644732906E-2</v>
      </c>
      <c r="Q443" s="11">
        <f t="shared" si="25"/>
        <v>2.765141757087855E-2</v>
      </c>
      <c r="R443" s="11">
        <f t="shared" si="24"/>
        <v>-2.0066923076923041E-2</v>
      </c>
      <c r="S443" s="11">
        <f t="shared" si="24"/>
        <v>1.3698571077967393E-2</v>
      </c>
      <c r="T443" s="11">
        <f t="shared" si="24"/>
        <v>-2.5466681355404944E-3</v>
      </c>
      <c r="U443" s="11">
        <f t="shared" si="23"/>
        <v>9.4793799130986189E-3</v>
      </c>
    </row>
    <row r="444" spans="1:21" x14ac:dyDescent="0.2">
      <c r="A444" s="1">
        <v>43782</v>
      </c>
      <c r="B444" s="3">
        <v>59.400002000000001</v>
      </c>
      <c r="C444" s="3">
        <v>16.510000000000002</v>
      </c>
      <c r="D444" s="3">
        <v>17.5</v>
      </c>
      <c r="E444" s="3">
        <v>39.200001</v>
      </c>
      <c r="F444" s="3">
        <v>19.493255999999999</v>
      </c>
      <c r="G444" s="3">
        <v>28.57</v>
      </c>
      <c r="H444" s="3">
        <v>29.9</v>
      </c>
      <c r="I444" s="3">
        <v>46.621578</v>
      </c>
      <c r="J444" s="3">
        <v>47.119999</v>
      </c>
      <c r="L444" s="11">
        <f t="shared" si="25"/>
        <v>7.6336046202950926E-3</v>
      </c>
      <c r="M444" s="11">
        <f t="shared" si="25"/>
        <v>6.7073170731709146E-3</v>
      </c>
      <c r="N444" s="11">
        <f t="shared" si="25"/>
        <v>-1.9607843137254981E-2</v>
      </c>
      <c r="O444" s="11">
        <f t="shared" si="25"/>
        <v>-3.1484740886380232E-3</v>
      </c>
      <c r="P444" s="11">
        <f t="shared" si="25"/>
        <v>3.0770643083694693E-3</v>
      </c>
      <c r="Q444" s="11">
        <f t="shared" si="25"/>
        <v>-7.6415766710115742E-3</v>
      </c>
      <c r="R444" s="11">
        <f t="shared" si="24"/>
        <v>-3.9973351099267486E-3</v>
      </c>
      <c r="S444" s="11">
        <f t="shared" si="24"/>
        <v>-1.0606923721755224E-2</v>
      </c>
      <c r="T444" s="11">
        <f t="shared" si="24"/>
        <v>-1.6283986793988039E-2</v>
      </c>
      <c r="U444" s="11">
        <f t="shared" si="23"/>
        <v>-4.8742392800821231E-3</v>
      </c>
    </row>
    <row r="445" spans="1:21" x14ac:dyDescent="0.2">
      <c r="A445" s="1">
        <v>43781</v>
      </c>
      <c r="B445" s="3">
        <v>58.950001</v>
      </c>
      <c r="C445" s="3">
        <v>16.399999999999999</v>
      </c>
      <c r="D445" s="3">
        <v>17.850000000000001</v>
      </c>
      <c r="E445" s="3">
        <v>39.323810999999999</v>
      </c>
      <c r="F445" s="3">
        <v>19.433458000000002</v>
      </c>
      <c r="G445" s="3">
        <v>28.790001</v>
      </c>
      <c r="H445" s="3">
        <v>30.02</v>
      </c>
      <c r="I445" s="3">
        <v>47.121391000000003</v>
      </c>
      <c r="J445" s="3">
        <v>47.900002000000001</v>
      </c>
      <c r="L445" s="11">
        <f t="shared" si="25"/>
        <v>-1.5859782442077384E-2</v>
      </c>
      <c r="M445" s="11">
        <f t="shared" si="25"/>
        <v>-1.7964130660830604E-2</v>
      </c>
      <c r="N445" s="11">
        <f t="shared" si="25"/>
        <v>-8.8839533592448717E-3</v>
      </c>
      <c r="O445" s="11">
        <f t="shared" si="25"/>
        <v>-1.9938261097338456E-2</v>
      </c>
      <c r="P445" s="11">
        <f t="shared" si="25"/>
        <v>-1.8621115626715458E-2</v>
      </c>
      <c r="Q445" s="11">
        <f t="shared" si="25"/>
        <v>-1.1332417193254845E-2</v>
      </c>
      <c r="R445" s="11">
        <f t="shared" si="24"/>
        <v>-1.4121543050195655E-2</v>
      </c>
      <c r="S445" s="11">
        <f t="shared" si="24"/>
        <v>-1.0303274703094445E-2</v>
      </c>
      <c r="T445" s="11">
        <f t="shared" si="24"/>
        <v>-4.7787034120360689E-3</v>
      </c>
      <c r="U445" s="11">
        <f t="shared" si="23"/>
        <v>-1.3533686838309751E-2</v>
      </c>
    </row>
    <row r="446" spans="1:21" x14ac:dyDescent="0.2">
      <c r="A446" s="1">
        <v>43780</v>
      </c>
      <c r="B446" s="3">
        <v>59.900002000000001</v>
      </c>
      <c r="C446" s="3">
        <v>16.700001</v>
      </c>
      <c r="D446" s="3">
        <v>18.010000000000002</v>
      </c>
      <c r="E446" s="3">
        <v>40.123809999999999</v>
      </c>
      <c r="F446" s="3">
        <v>19.802197</v>
      </c>
      <c r="G446" s="3">
        <v>29.120000999999998</v>
      </c>
      <c r="H446" s="3">
        <v>30.450001</v>
      </c>
      <c r="I446" s="3">
        <v>47.61195</v>
      </c>
      <c r="J446" s="3">
        <v>48.130001</v>
      </c>
      <c r="L446" s="11">
        <f t="shared" si="25"/>
        <v>6.7227226890756407E-3</v>
      </c>
      <c r="M446" s="11">
        <f t="shared" si="25"/>
        <v>2.8747452618174497E-2</v>
      </c>
      <c r="N446" s="11">
        <f t="shared" si="25"/>
        <v>2.445961319681475E-2</v>
      </c>
      <c r="O446" s="11">
        <f t="shared" si="25"/>
        <v>1.3959163361967203E-2</v>
      </c>
      <c r="P446" s="11">
        <f t="shared" si="25"/>
        <v>2.2645468992827211E-2</v>
      </c>
      <c r="Q446" s="11">
        <f t="shared" si="25"/>
        <v>1.2517420027816303E-2</v>
      </c>
      <c r="R446" s="11">
        <f t="shared" si="24"/>
        <v>1.4323817455030006E-2</v>
      </c>
      <c r="S446" s="11">
        <f t="shared" si="24"/>
        <v>1.2797763589073842E-2</v>
      </c>
      <c r="T446" s="11">
        <f t="shared" si="24"/>
        <v>-2.1350122000813331E-2</v>
      </c>
      <c r="U446" s="11">
        <f t="shared" si="23"/>
        <v>1.2758144436662901E-2</v>
      </c>
    </row>
    <row r="447" spans="1:21" x14ac:dyDescent="0.2">
      <c r="A447" s="1">
        <v>43777</v>
      </c>
      <c r="B447" s="3">
        <v>59.5</v>
      </c>
      <c r="C447" s="3">
        <v>16.233333999999999</v>
      </c>
      <c r="D447" s="3">
        <v>17.579999999999998</v>
      </c>
      <c r="E447" s="3">
        <v>39.571426000000002</v>
      </c>
      <c r="F447" s="3">
        <v>19.363696999999998</v>
      </c>
      <c r="G447" s="3">
        <v>28.76</v>
      </c>
      <c r="H447" s="3">
        <v>30.02</v>
      </c>
      <c r="I447" s="3">
        <v>47.010323</v>
      </c>
      <c r="J447" s="3">
        <v>49.18</v>
      </c>
      <c r="L447" s="11">
        <f t="shared" si="25"/>
        <v>-7.5062717680355051E-3</v>
      </c>
      <c r="M447" s="11">
        <f t="shared" si="25"/>
        <v>-1.4169900219625513E-2</v>
      </c>
      <c r="N447" s="11">
        <f t="shared" si="25"/>
        <v>-1.346801346801358E-2</v>
      </c>
      <c r="O447" s="11">
        <f t="shared" si="25"/>
        <v>-1.8890232029429063E-2</v>
      </c>
      <c r="P447" s="11">
        <f t="shared" si="25"/>
        <v>-4.4269654425321964E-2</v>
      </c>
      <c r="Q447" s="11">
        <f t="shared" si="25"/>
        <v>-2.4092264136147401E-2</v>
      </c>
      <c r="R447" s="11">
        <f t="shared" si="24"/>
        <v>-2.8478964401294469E-2</v>
      </c>
      <c r="S447" s="11">
        <f t="shared" si="24"/>
        <v>1.8039686556807964E-2</v>
      </c>
      <c r="T447" s="11">
        <f t="shared" si="24"/>
        <v>-1.8559189412109517E-2</v>
      </c>
      <c r="U447" s="11">
        <f t="shared" si="23"/>
        <v>-1.6821644811463227E-2</v>
      </c>
    </row>
    <row r="448" spans="1:21" x14ac:dyDescent="0.2">
      <c r="A448" s="1">
        <v>43776</v>
      </c>
      <c r="B448" s="3">
        <v>59.950001</v>
      </c>
      <c r="C448" s="3">
        <v>16.466664999999999</v>
      </c>
      <c r="D448" s="3">
        <v>17.82</v>
      </c>
      <c r="E448" s="3">
        <v>40.333331999999999</v>
      </c>
      <c r="F448" s="3">
        <v>20.260628000000001</v>
      </c>
      <c r="G448" s="3">
        <v>29.469999000000001</v>
      </c>
      <c r="H448" s="3">
        <v>30.9</v>
      </c>
      <c r="I448" s="3">
        <v>46.177298999999998</v>
      </c>
      <c r="J448" s="3">
        <v>50.110000999999997</v>
      </c>
      <c r="L448" s="11">
        <f t="shared" si="25"/>
        <v>-1.2030306526038223E-2</v>
      </c>
      <c r="M448" s="11">
        <f t="shared" si="25"/>
        <v>1.0224908602755087E-2</v>
      </c>
      <c r="N448" s="11">
        <f t="shared" si="25"/>
        <v>4.2105263157894667E-2</v>
      </c>
      <c r="O448" s="11">
        <f t="shared" si="25"/>
        <v>3.7923941569324715E-3</v>
      </c>
      <c r="P448" s="11">
        <f t="shared" si="25"/>
        <v>-7.8085884090560937E-3</v>
      </c>
      <c r="Q448" s="11">
        <f t="shared" si="25"/>
        <v>9.938279643591558E-3</v>
      </c>
      <c r="R448" s="11">
        <f t="shared" si="24"/>
        <v>4.0053888928101238E-2</v>
      </c>
      <c r="S448" s="11">
        <f t="shared" si="24"/>
        <v>1.6296624729470473E-2</v>
      </c>
      <c r="T448" s="11">
        <f t="shared" si="24"/>
        <v>8.4524453300954313E-3</v>
      </c>
      <c r="U448" s="11">
        <f t="shared" si="23"/>
        <v>1.2336101068194065E-2</v>
      </c>
    </row>
    <row r="449" spans="1:21" x14ac:dyDescent="0.2">
      <c r="A449" s="1">
        <v>43775</v>
      </c>
      <c r="B449" s="3">
        <v>60.68</v>
      </c>
      <c r="C449" s="3">
        <v>16.299999</v>
      </c>
      <c r="D449" s="3">
        <v>17.100000000000001</v>
      </c>
      <c r="E449" s="3">
        <v>40.180950000000003</v>
      </c>
      <c r="F449" s="3">
        <v>20.420079999999999</v>
      </c>
      <c r="G449" s="3">
        <v>29.18</v>
      </c>
      <c r="H449" s="3">
        <v>29.709999</v>
      </c>
      <c r="I449" s="3">
        <v>45.436832000000003</v>
      </c>
      <c r="J449" s="3">
        <v>49.689999</v>
      </c>
      <c r="L449" s="11">
        <f t="shared" si="25"/>
        <v>6.3018409005280423E-3</v>
      </c>
      <c r="M449" s="11">
        <f t="shared" si="25"/>
        <v>-8.1135706380179237E-3</v>
      </c>
      <c r="N449" s="11">
        <f t="shared" si="25"/>
        <v>-6.9685834476529273E-3</v>
      </c>
      <c r="O449" s="11">
        <f t="shared" si="25"/>
        <v>2.3700924355963155E-4</v>
      </c>
      <c r="P449" s="11">
        <f t="shared" si="25"/>
        <v>2.2965485169538273E-2</v>
      </c>
      <c r="Q449" s="11">
        <f t="shared" si="25"/>
        <v>2.2424631309578426E-2</v>
      </c>
      <c r="R449" s="11">
        <f t="shared" si="24"/>
        <v>2.023575042158558E-3</v>
      </c>
      <c r="S449" s="11">
        <f t="shared" si="24"/>
        <v>1.6356062941879579E-2</v>
      </c>
      <c r="T449" s="11">
        <f t="shared" si="24"/>
        <v>-3.6093844718144011E-3</v>
      </c>
      <c r="U449" s="11">
        <f t="shared" si="23"/>
        <v>5.7352295610841406E-3</v>
      </c>
    </row>
    <row r="450" spans="1:21" x14ac:dyDescent="0.2">
      <c r="A450" s="1">
        <v>43774</v>
      </c>
      <c r="B450" s="3">
        <v>60.299999</v>
      </c>
      <c r="C450" s="3">
        <v>16.433332</v>
      </c>
      <c r="D450" s="3">
        <v>17.219999000000001</v>
      </c>
      <c r="E450" s="3">
        <v>40.171429000000003</v>
      </c>
      <c r="F450" s="3">
        <v>19.961651</v>
      </c>
      <c r="G450" s="3">
        <v>28.540001</v>
      </c>
      <c r="H450" s="3">
        <v>29.65</v>
      </c>
      <c r="I450" s="3">
        <v>44.705624</v>
      </c>
      <c r="J450" s="3">
        <v>49.869999</v>
      </c>
      <c r="L450" s="11">
        <f t="shared" si="25"/>
        <v>-1.0664511720024429E-2</v>
      </c>
      <c r="M450" s="11">
        <f t="shared" si="25"/>
        <v>6.0888984038084135E-4</v>
      </c>
      <c r="N450" s="11">
        <f t="shared" si="25"/>
        <v>3.2374040767386189E-2</v>
      </c>
      <c r="O450" s="11">
        <f t="shared" si="25"/>
        <v>-1.6567633645866357E-3</v>
      </c>
      <c r="P450" s="11">
        <f t="shared" si="25"/>
        <v>-8.4158463302821205E-3</v>
      </c>
      <c r="Q450" s="11">
        <f t="shared" si="25"/>
        <v>-2.6602967257844477E-2</v>
      </c>
      <c r="R450" s="11">
        <f t="shared" si="24"/>
        <v>-2.3386066423383908E-2</v>
      </c>
      <c r="S450" s="11">
        <f t="shared" si="24"/>
        <v>-1.1258884861117412E-2</v>
      </c>
      <c r="T450" s="11">
        <f t="shared" si="24"/>
        <v>1.0035929345644256E-3</v>
      </c>
      <c r="U450" s="11">
        <f t="shared" si="23"/>
        <v>-5.3331684905452807E-3</v>
      </c>
    </row>
    <row r="451" spans="1:21" x14ac:dyDescent="0.2">
      <c r="A451" s="1">
        <v>43773</v>
      </c>
      <c r="B451" s="3">
        <v>60.950001</v>
      </c>
      <c r="C451" s="3">
        <v>16.423331999999998</v>
      </c>
      <c r="D451" s="3">
        <v>16.68</v>
      </c>
      <c r="E451" s="3">
        <v>40.238093999999997</v>
      </c>
      <c r="F451" s="3">
        <v>20.131070999999999</v>
      </c>
      <c r="G451" s="3">
        <v>29.32</v>
      </c>
      <c r="H451" s="3">
        <v>30.360001</v>
      </c>
      <c r="I451" s="3">
        <v>45.214691000000002</v>
      </c>
      <c r="J451" s="3">
        <v>49.82</v>
      </c>
      <c r="L451" s="11">
        <f t="shared" si="25"/>
        <v>-1.8834481951617542E-2</v>
      </c>
      <c r="M451" s="11">
        <f t="shared" si="25"/>
        <v>1.4226829268292628E-3</v>
      </c>
      <c r="N451" s="11">
        <f t="shared" si="25"/>
        <v>3.2817337461300382E-2</v>
      </c>
      <c r="O451" s="11">
        <f t="shared" si="25"/>
        <v>-2.4249423360837193E-2</v>
      </c>
      <c r="P451" s="11">
        <f t="shared" si="25"/>
        <v>-9.3182124523896927E-3</v>
      </c>
      <c r="Q451" s="11">
        <f t="shared" si="25"/>
        <v>9.641838510955977E-3</v>
      </c>
      <c r="R451" s="11">
        <f t="shared" si="24"/>
        <v>-2.3003286230693152E-3</v>
      </c>
      <c r="S451" s="11">
        <f t="shared" si="24"/>
        <v>-2.4505488754695353E-3</v>
      </c>
      <c r="T451" s="11">
        <f t="shared" si="24"/>
        <v>2.8488873420496975E-2</v>
      </c>
      <c r="U451" s="11">
        <f t="shared" si="23"/>
        <v>1.6908596729110358E-3</v>
      </c>
    </row>
    <row r="452" spans="1:21" x14ac:dyDescent="0.2">
      <c r="A452" s="1">
        <v>43770</v>
      </c>
      <c r="B452" s="3">
        <v>62.119999</v>
      </c>
      <c r="C452" s="3">
        <v>16.399999999999999</v>
      </c>
      <c r="D452" s="3">
        <v>16.149999999999999</v>
      </c>
      <c r="E452" s="3">
        <v>41.238093999999997</v>
      </c>
      <c r="F452" s="3">
        <v>20.320421</v>
      </c>
      <c r="G452" s="3">
        <v>29.040001</v>
      </c>
      <c r="H452" s="3">
        <v>30.43</v>
      </c>
      <c r="I452" s="3">
        <v>45.325763999999999</v>
      </c>
      <c r="J452" s="3">
        <v>48.439999</v>
      </c>
      <c r="L452" s="11">
        <f t="shared" si="25"/>
        <v>5.1099849445003377E-2</v>
      </c>
      <c r="M452" s="11">
        <f t="shared" si="25"/>
        <v>1.6949257642544163E-2</v>
      </c>
      <c r="N452" s="11">
        <f t="shared" si="25"/>
        <v>1.3810420590081536E-2</v>
      </c>
      <c r="O452" s="11">
        <f t="shared" si="25"/>
        <v>2.7790226635128856E-3</v>
      </c>
      <c r="P452" s="11">
        <f t="shared" si="25"/>
        <v>2.0009951918470031E-2</v>
      </c>
      <c r="Q452" s="11">
        <f t="shared" si="25"/>
        <v>-5.8198564128673766E-3</v>
      </c>
      <c r="R452" s="11">
        <f t="shared" si="24"/>
        <v>1.3162553904657967E-3</v>
      </c>
      <c r="S452" s="11">
        <f t="shared" si="24"/>
        <v>3.0725702860411978E-3</v>
      </c>
      <c r="T452" s="11">
        <f t="shared" si="24"/>
        <v>2.6271143511204586E-2</v>
      </c>
      <c r="U452" s="11">
        <f t="shared" si="23"/>
        <v>1.4387623892717357E-2</v>
      </c>
    </row>
    <row r="453" spans="1:21" x14ac:dyDescent="0.2">
      <c r="A453" s="1">
        <v>43769</v>
      </c>
      <c r="B453" s="3">
        <v>59.099997999999999</v>
      </c>
      <c r="C453" s="3">
        <v>16.126664999999999</v>
      </c>
      <c r="D453" s="3">
        <v>15.93</v>
      </c>
      <c r="E453" s="3">
        <v>41.123809999999999</v>
      </c>
      <c r="F453" s="3">
        <v>19.921786999999998</v>
      </c>
      <c r="G453" s="3">
        <v>29.209999</v>
      </c>
      <c r="H453" s="3">
        <v>30.389999</v>
      </c>
      <c r="I453" s="3">
        <v>45.186923999999998</v>
      </c>
      <c r="J453" s="3">
        <v>47.200001</v>
      </c>
      <c r="L453" s="11">
        <f t="shared" si="25"/>
        <v>1.0256376068376058E-2</v>
      </c>
      <c r="M453" s="11">
        <f t="shared" si="25"/>
        <v>-2.4742887618263518E-3</v>
      </c>
      <c r="N453" s="11">
        <f t="shared" si="25"/>
        <v>1.9193857965450988E-2</v>
      </c>
      <c r="O453" s="11">
        <f t="shared" si="25"/>
        <v>5.8234275712189766E-3</v>
      </c>
      <c r="P453" s="11">
        <f t="shared" si="25"/>
        <v>-3.1961266374580452E-2</v>
      </c>
      <c r="Q453" s="11">
        <f t="shared" si="25"/>
        <v>-6.8426274375643517E-4</v>
      </c>
      <c r="R453" s="11">
        <f t="shared" si="24"/>
        <v>1.0305817819148978E-2</v>
      </c>
      <c r="S453" s="11">
        <f t="shared" si="24"/>
        <v>-6.7141593225958961E-3</v>
      </c>
      <c r="T453" s="11">
        <f t="shared" si="24"/>
        <v>-2.8606688619057481E-2</v>
      </c>
      <c r="U453" s="11">
        <f t="shared" si="23"/>
        <v>-2.7623540441801798E-3</v>
      </c>
    </row>
    <row r="454" spans="1:21" x14ac:dyDescent="0.2">
      <c r="A454" s="1">
        <v>43768</v>
      </c>
      <c r="B454" s="3">
        <v>58.5</v>
      </c>
      <c r="C454" s="3">
        <v>16.166665999999999</v>
      </c>
      <c r="D454" s="3">
        <v>15.63</v>
      </c>
      <c r="E454" s="3">
        <v>40.885714999999998</v>
      </c>
      <c r="F454" s="3">
        <v>20.579535</v>
      </c>
      <c r="G454" s="3">
        <v>29.23</v>
      </c>
      <c r="H454" s="3">
        <v>30.08</v>
      </c>
      <c r="I454" s="3">
        <v>45.492367000000002</v>
      </c>
      <c r="J454" s="3">
        <v>48.59</v>
      </c>
      <c r="L454" s="11">
        <f t="shared" si="25"/>
        <v>1.211074415416513E-2</v>
      </c>
      <c r="M454" s="11">
        <f t="shared" si="25"/>
        <v>1.2526096556413173E-2</v>
      </c>
      <c r="N454" s="11">
        <f t="shared" si="25"/>
        <v>1.0996119016817589E-2</v>
      </c>
      <c r="O454" s="11">
        <f t="shared" si="25"/>
        <v>3.6205688693823797E-2</v>
      </c>
      <c r="P454" s="11">
        <f t="shared" si="25"/>
        <v>1.3745677382877042E-2</v>
      </c>
      <c r="Q454" s="11">
        <f t="shared" si="25"/>
        <v>3.7260468417317269E-2</v>
      </c>
      <c r="R454" s="11">
        <f t="shared" si="24"/>
        <v>8.7189805499663982E-3</v>
      </c>
      <c r="S454" s="11">
        <f t="shared" si="24"/>
        <v>-1.6250346143104478E-3</v>
      </c>
      <c r="T454" s="11">
        <f t="shared" si="24"/>
        <v>-1.2333401342922293E-3</v>
      </c>
      <c r="U454" s="11">
        <f t="shared" si="23"/>
        <v>1.4300600002530858E-2</v>
      </c>
    </row>
    <row r="455" spans="1:21" x14ac:dyDescent="0.2">
      <c r="A455" s="1">
        <v>43767</v>
      </c>
      <c r="B455" s="3">
        <v>57.799999</v>
      </c>
      <c r="C455" s="3">
        <v>15.966666</v>
      </c>
      <c r="D455" s="3">
        <v>15.46</v>
      </c>
      <c r="E455" s="3">
        <v>39.457141999999997</v>
      </c>
      <c r="F455" s="3">
        <v>20.300491000000001</v>
      </c>
      <c r="G455" s="3">
        <v>28.18</v>
      </c>
      <c r="H455" s="3">
        <v>29.82</v>
      </c>
      <c r="I455" s="3">
        <v>45.566414000000002</v>
      </c>
      <c r="J455" s="3">
        <v>48.650002000000001</v>
      </c>
      <c r="L455" s="11">
        <f t="shared" si="25"/>
        <v>6.9685886073662341E-3</v>
      </c>
      <c r="M455" s="11">
        <f t="shared" si="25"/>
        <v>-1.7435938461538458E-2</v>
      </c>
      <c r="N455" s="11">
        <f t="shared" si="25"/>
        <v>-7.0648683365446005E-3</v>
      </c>
      <c r="O455" s="11">
        <f t="shared" si="25"/>
        <v>0</v>
      </c>
      <c r="P455" s="11">
        <f t="shared" si="25"/>
        <v>-4.8851116178177017E-3</v>
      </c>
      <c r="Q455" s="11">
        <f t="shared" si="25"/>
        <v>-2.4913494809688543E-2</v>
      </c>
      <c r="R455" s="11">
        <f t="shared" si="24"/>
        <v>7.4324324324323938E-3</v>
      </c>
      <c r="S455" s="11">
        <f t="shared" si="24"/>
        <v>-9.2573563592766393E-3</v>
      </c>
      <c r="T455" s="11">
        <f t="shared" si="24"/>
        <v>-1.0266734902120368E-3</v>
      </c>
      <c r="U455" s="11">
        <f t="shared" ref="U455:U496" si="26">AVERAGE(L455:T455)</f>
        <v>-5.5758246705865941E-3</v>
      </c>
    </row>
    <row r="456" spans="1:21" x14ac:dyDescent="0.2">
      <c r="A456" s="1">
        <v>43766</v>
      </c>
      <c r="B456" s="3">
        <v>57.400002000000001</v>
      </c>
      <c r="C456" s="3">
        <v>16.25</v>
      </c>
      <c r="D456" s="3">
        <v>15.57</v>
      </c>
      <c r="E456" s="3">
        <v>39.457141999999997</v>
      </c>
      <c r="F456" s="3">
        <v>20.400148000000002</v>
      </c>
      <c r="G456" s="3">
        <v>28.9</v>
      </c>
      <c r="H456" s="3">
        <v>29.6</v>
      </c>
      <c r="I456" s="3">
        <v>45.992179999999998</v>
      </c>
      <c r="J456" s="3">
        <v>48.700001</v>
      </c>
      <c r="L456" s="11">
        <f t="shared" si="25"/>
        <v>-2.0861961057024076E-3</v>
      </c>
      <c r="M456" s="11">
        <f t="shared" si="25"/>
        <v>7.023446294510005E-3</v>
      </c>
      <c r="N456" s="11">
        <f t="shared" si="25"/>
        <v>-1.704545454545452E-2</v>
      </c>
      <c r="O456" s="11">
        <f t="shared" si="25"/>
        <v>-8.1398253113701673E-3</v>
      </c>
      <c r="P456" s="11">
        <f t="shared" si="25"/>
        <v>4.8866650737433679E-4</v>
      </c>
      <c r="Q456" s="11">
        <f t="shared" si="25"/>
        <v>1.1904797335602053E-2</v>
      </c>
      <c r="R456" s="11">
        <f t="shared" si="24"/>
        <v>1.1965811965812015E-2</v>
      </c>
      <c r="S456" s="11">
        <f t="shared" si="24"/>
        <v>-1.4087336060131158E-2</v>
      </c>
      <c r="T456" s="11">
        <f t="shared" si="24"/>
        <v>2.8830312421122186E-3</v>
      </c>
      <c r="U456" s="11">
        <f t="shared" si="26"/>
        <v>-7.8811763080529175E-4</v>
      </c>
    </row>
    <row r="457" spans="1:21" x14ac:dyDescent="0.2">
      <c r="A457" s="1">
        <v>43763</v>
      </c>
      <c r="B457" s="3">
        <v>57.52</v>
      </c>
      <c r="C457" s="3">
        <v>16.136665000000001</v>
      </c>
      <c r="D457" s="3">
        <v>15.84</v>
      </c>
      <c r="E457" s="3">
        <v>39.780951999999999</v>
      </c>
      <c r="F457" s="3">
        <v>20.390184000000001</v>
      </c>
      <c r="G457" s="3">
        <v>28.559999000000001</v>
      </c>
      <c r="H457" s="3">
        <v>29.25</v>
      </c>
      <c r="I457" s="3">
        <v>46.649344999999997</v>
      </c>
      <c r="J457" s="3">
        <v>48.560001</v>
      </c>
      <c r="L457" s="11">
        <f t="shared" si="25"/>
        <v>1.2676074166832352E-2</v>
      </c>
      <c r="M457" s="11">
        <f t="shared" si="25"/>
        <v>-4.3193335187302105E-3</v>
      </c>
      <c r="N457" s="11">
        <f t="shared" si="25"/>
        <v>-1.3084050659442398E-2</v>
      </c>
      <c r="O457" s="11">
        <f t="shared" si="25"/>
        <v>3.1219848590706947E-3</v>
      </c>
      <c r="P457" s="11">
        <f t="shared" si="25"/>
        <v>-1.6346115299307646E-2</v>
      </c>
      <c r="Q457" s="11">
        <f t="shared" si="25"/>
        <v>-2.4449878604606407E-3</v>
      </c>
      <c r="R457" s="11">
        <f t="shared" si="24"/>
        <v>3.2838983050847446E-2</v>
      </c>
      <c r="S457" s="11">
        <f t="shared" si="24"/>
        <v>1.589834164882857E-3</v>
      </c>
      <c r="T457" s="11">
        <f t="shared" si="24"/>
        <v>3.871659893048128E-2</v>
      </c>
      <c r="U457" s="11">
        <f t="shared" si="26"/>
        <v>5.8609986482415265E-3</v>
      </c>
    </row>
    <row r="458" spans="1:21" x14ac:dyDescent="0.2">
      <c r="A458" s="1">
        <v>43762</v>
      </c>
      <c r="B458" s="3">
        <v>56.799999</v>
      </c>
      <c r="C458" s="3">
        <v>16.206666999999999</v>
      </c>
      <c r="D458" s="3">
        <v>16.049999</v>
      </c>
      <c r="E458" s="3">
        <v>39.657142999999998</v>
      </c>
      <c r="F458" s="3">
        <v>20.729023000000002</v>
      </c>
      <c r="G458" s="3">
        <v>28.629999000000002</v>
      </c>
      <c r="H458" s="3">
        <v>28.32</v>
      </c>
      <c r="I458" s="3">
        <v>46.575297999999997</v>
      </c>
      <c r="J458" s="3">
        <v>46.75</v>
      </c>
      <c r="L458" s="11">
        <f t="shared" si="25"/>
        <v>-4.3821210233500616E-3</v>
      </c>
      <c r="M458" s="11">
        <f t="shared" si="25"/>
        <v>7.8773009950249516E-3</v>
      </c>
      <c r="N458" s="11">
        <f t="shared" si="25"/>
        <v>-6.2266504499792076E-4</v>
      </c>
      <c r="O458" s="11">
        <f t="shared" si="25"/>
        <v>-6.1739504128383416E-2</v>
      </c>
      <c r="P458" s="11">
        <f t="shared" si="25"/>
        <v>-6.6858036012665649E-3</v>
      </c>
      <c r="Q458" s="11">
        <f t="shared" si="25"/>
        <v>-1.743410041840941E-3</v>
      </c>
      <c r="R458" s="11">
        <f t="shared" si="24"/>
        <v>-2.1761691821703219E-2</v>
      </c>
      <c r="S458" s="11">
        <f t="shared" si="24"/>
        <v>-3.5643180195003635E-3</v>
      </c>
      <c r="T458" s="11">
        <f t="shared" si="24"/>
        <v>-7.6417107271977546E-3</v>
      </c>
      <c r="U458" s="11">
        <f t="shared" si="26"/>
        <v>-1.1140435934801698E-2</v>
      </c>
    </row>
    <row r="459" spans="1:21" x14ac:dyDescent="0.2">
      <c r="A459" s="1">
        <v>43761</v>
      </c>
      <c r="B459" s="3">
        <v>57.049999</v>
      </c>
      <c r="C459" s="3">
        <v>16.079999999999998</v>
      </c>
      <c r="D459" s="3">
        <v>16.059999000000001</v>
      </c>
      <c r="E459" s="3">
        <v>42.266666000000001</v>
      </c>
      <c r="F459" s="3">
        <v>20.868545999999998</v>
      </c>
      <c r="G459" s="3">
        <v>28.68</v>
      </c>
      <c r="H459" s="3">
        <v>28.950001</v>
      </c>
      <c r="I459" s="3">
        <v>46.741900999999999</v>
      </c>
      <c r="J459" s="3">
        <v>47.110000999999997</v>
      </c>
      <c r="L459" s="11">
        <f t="shared" si="25"/>
        <v>-1.2975778771207246E-2</v>
      </c>
      <c r="M459" s="11">
        <f t="shared" si="25"/>
        <v>1.4937955290089457E-2</v>
      </c>
      <c r="N459" s="11">
        <f t="shared" si="25"/>
        <v>7.5281681304894448E-3</v>
      </c>
      <c r="O459" s="11">
        <f t="shared" si="25"/>
        <v>-6.936696090083426E-3</v>
      </c>
      <c r="P459" s="11">
        <f t="shared" si="25"/>
        <v>2.3935193697824614E-3</v>
      </c>
      <c r="Q459" s="11">
        <f t="shared" si="25"/>
        <v>-8.6415485655029385E-3</v>
      </c>
      <c r="R459" s="11">
        <f t="shared" si="24"/>
        <v>1.3300700035001752E-2</v>
      </c>
      <c r="S459" s="11">
        <f t="shared" si="24"/>
        <v>-3.5517437476374025E-3</v>
      </c>
      <c r="T459" s="11">
        <f t="shared" si="24"/>
        <v>-4.0168711208641416E-3</v>
      </c>
      <c r="U459" s="11">
        <f t="shared" si="26"/>
        <v>2.2641161445199551E-4</v>
      </c>
    </row>
    <row r="460" spans="1:21" x14ac:dyDescent="0.2">
      <c r="A460" s="1">
        <v>43760</v>
      </c>
      <c r="B460" s="3">
        <v>57.799999</v>
      </c>
      <c r="C460" s="3">
        <v>15.843332999999999</v>
      </c>
      <c r="D460" s="3">
        <v>15.94</v>
      </c>
      <c r="E460" s="3">
        <v>42.561905000000003</v>
      </c>
      <c r="F460" s="3">
        <v>20.818715999999998</v>
      </c>
      <c r="G460" s="3">
        <v>28.93</v>
      </c>
      <c r="H460" s="3">
        <v>28.57</v>
      </c>
      <c r="I460" s="3">
        <v>46.908507999999998</v>
      </c>
      <c r="J460" s="3">
        <v>47.299999</v>
      </c>
      <c r="L460" s="11">
        <f t="shared" si="25"/>
        <v>1.5638710244245353E-2</v>
      </c>
      <c r="M460" s="11">
        <f t="shared" si="25"/>
        <v>1.3648944337811815E-2</v>
      </c>
      <c r="N460" s="11">
        <f t="shared" si="25"/>
        <v>1.3350286077558745E-2</v>
      </c>
      <c r="O460" s="11">
        <f t="shared" si="25"/>
        <v>2.0179776486069644E-3</v>
      </c>
      <c r="P460" s="11">
        <f t="shared" si="25"/>
        <v>-9.4831895314281857E-3</v>
      </c>
      <c r="Q460" s="11">
        <f t="shared" si="25"/>
        <v>-9.2466092723764159E-3</v>
      </c>
      <c r="R460" s="11">
        <f t="shared" si="24"/>
        <v>2.8808066258552419E-2</v>
      </c>
      <c r="S460" s="11">
        <f t="shared" si="24"/>
        <v>-5.1040147949196089E-3</v>
      </c>
      <c r="T460" s="11">
        <f t="shared" si="24"/>
        <v>1.9063758082264797E-3</v>
      </c>
      <c r="U460" s="11">
        <f t="shared" si="26"/>
        <v>5.7262829751419534E-3</v>
      </c>
    </row>
    <row r="461" spans="1:21" x14ac:dyDescent="0.2">
      <c r="A461" s="1">
        <v>43759</v>
      </c>
      <c r="B461" s="3">
        <v>56.91</v>
      </c>
      <c r="C461" s="3">
        <v>15.63</v>
      </c>
      <c r="D461" s="3">
        <v>15.73</v>
      </c>
      <c r="E461" s="3">
        <v>42.476188999999998</v>
      </c>
      <c r="F461" s="3">
        <v>21.018034</v>
      </c>
      <c r="G461" s="3">
        <v>29.200001</v>
      </c>
      <c r="H461" s="3">
        <v>27.77</v>
      </c>
      <c r="I461" s="3">
        <v>47.149158</v>
      </c>
      <c r="J461" s="3">
        <v>47.209999000000003</v>
      </c>
      <c r="L461" s="11">
        <f t="shared" si="25"/>
        <v>-4.8959434323473877E-3</v>
      </c>
      <c r="M461" s="11">
        <f t="shared" si="25"/>
        <v>9.6899224806201775E-3</v>
      </c>
      <c r="N461" s="11">
        <f t="shared" si="25"/>
        <v>-2.536461636017701E-3</v>
      </c>
      <c r="O461" s="11">
        <f t="shared" ref="O461:T496" si="27">(E461-E462)/E462</f>
        <v>-7.3448349887561964E-3</v>
      </c>
      <c r="P461" s="11">
        <f t="shared" si="27"/>
        <v>-1.8930664399647796E-3</v>
      </c>
      <c r="Q461" s="11">
        <f t="shared" si="27"/>
        <v>-3.4129011403720311E-3</v>
      </c>
      <c r="R461" s="11">
        <f t="shared" si="24"/>
        <v>6.1594202898550051E-3</v>
      </c>
      <c r="S461" s="11">
        <f t="shared" si="24"/>
        <v>8.5131149686981291E-3</v>
      </c>
      <c r="T461" s="11">
        <f t="shared" si="24"/>
        <v>2.5635455694882958E-2</v>
      </c>
      <c r="U461" s="11">
        <f t="shared" si="26"/>
        <v>3.323856199622019E-3</v>
      </c>
    </row>
    <row r="462" spans="1:21" x14ac:dyDescent="0.2">
      <c r="A462" s="1">
        <v>43756</v>
      </c>
      <c r="B462" s="3">
        <v>57.189999</v>
      </c>
      <c r="C462" s="3">
        <v>15.48</v>
      </c>
      <c r="D462" s="3">
        <v>15.77</v>
      </c>
      <c r="E462" s="3">
        <v>42.790478</v>
      </c>
      <c r="F462" s="3">
        <v>21.057898000000002</v>
      </c>
      <c r="G462" s="3">
        <v>29.299999</v>
      </c>
      <c r="H462" s="3">
        <v>27.6</v>
      </c>
      <c r="I462" s="3">
        <v>46.751159999999999</v>
      </c>
      <c r="J462" s="3">
        <v>46.029998999999997</v>
      </c>
      <c r="L462" s="11">
        <f t="shared" ref="L462:N496" si="28">(B462-B463)/B463</f>
        <v>9.5321620641778543E-3</v>
      </c>
      <c r="M462" s="11">
        <f t="shared" si="28"/>
        <v>6.2838787927167704E-3</v>
      </c>
      <c r="N462" s="11">
        <f t="shared" si="28"/>
        <v>-5.0473186119873864E-3</v>
      </c>
      <c r="O462" s="11">
        <f t="shared" si="27"/>
        <v>1.5596844218179711E-2</v>
      </c>
      <c r="P462" s="11">
        <f t="shared" si="27"/>
        <v>9.4742999394526665E-4</v>
      </c>
      <c r="Q462" s="11">
        <f t="shared" si="27"/>
        <v>3.7683451946439101E-3</v>
      </c>
      <c r="R462" s="11">
        <f t="shared" si="24"/>
        <v>-2.1691973969630773E-3</v>
      </c>
      <c r="S462" s="11">
        <f t="shared" si="24"/>
        <v>4.8577965063236021E-2</v>
      </c>
      <c r="T462" s="11">
        <f t="shared" si="24"/>
        <v>-1.4557910823333711E-2</v>
      </c>
      <c r="U462" s="11">
        <f t="shared" si="26"/>
        <v>6.9924664994017068E-3</v>
      </c>
    </row>
    <row r="463" spans="1:21" x14ac:dyDescent="0.2">
      <c r="A463" s="1">
        <v>43755</v>
      </c>
      <c r="B463" s="3">
        <v>56.650002000000001</v>
      </c>
      <c r="C463" s="3">
        <v>15.383333</v>
      </c>
      <c r="D463" s="3">
        <v>15.85</v>
      </c>
      <c r="E463" s="3">
        <v>42.133330999999998</v>
      </c>
      <c r="F463" s="3">
        <v>21.037966000000001</v>
      </c>
      <c r="G463" s="3">
        <v>29.190000999999999</v>
      </c>
      <c r="H463" s="3">
        <v>27.66</v>
      </c>
      <c r="I463" s="3">
        <v>44.585296999999997</v>
      </c>
      <c r="J463" s="3">
        <v>46.709999000000003</v>
      </c>
      <c r="L463" s="11">
        <f t="shared" si="28"/>
        <v>2.7571212995261885E-2</v>
      </c>
      <c r="M463" s="11">
        <f t="shared" si="28"/>
        <v>2.1017722168925806E-2</v>
      </c>
      <c r="N463" s="11">
        <f t="shared" si="28"/>
        <v>-5.6461731493099038E-3</v>
      </c>
      <c r="O463" s="11">
        <f t="shared" si="27"/>
        <v>-1.1289219422512891E-3</v>
      </c>
      <c r="P463" s="11">
        <f t="shared" si="27"/>
        <v>-9.3852867438227097E-3</v>
      </c>
      <c r="Q463" s="11">
        <f t="shared" si="27"/>
        <v>-8.4918475376410483E-3</v>
      </c>
      <c r="R463" s="11">
        <f t="shared" si="24"/>
        <v>-9.6670247046186739E-3</v>
      </c>
      <c r="S463" s="11">
        <f t="shared" si="24"/>
        <v>5.4268332641554907E-3</v>
      </c>
      <c r="T463" s="11">
        <f t="shared" si="24"/>
        <v>-1.9230769641682324E-3</v>
      </c>
      <c r="U463" s="11">
        <f t="shared" si="26"/>
        <v>1.9748263762812582E-3</v>
      </c>
    </row>
    <row r="464" spans="1:21" x14ac:dyDescent="0.2">
      <c r="A464" s="1">
        <v>43754</v>
      </c>
      <c r="B464" s="3">
        <v>55.130001</v>
      </c>
      <c r="C464" s="3">
        <v>15.066666</v>
      </c>
      <c r="D464" s="3">
        <v>15.94</v>
      </c>
      <c r="E464" s="3">
        <v>42.180950000000003</v>
      </c>
      <c r="F464" s="3">
        <v>21.237283999999999</v>
      </c>
      <c r="G464" s="3">
        <v>29.440000999999999</v>
      </c>
      <c r="H464" s="3">
        <v>27.93</v>
      </c>
      <c r="I464" s="3">
        <v>44.344645999999997</v>
      </c>
      <c r="J464" s="3">
        <v>46.799999</v>
      </c>
      <c r="L464" s="11">
        <f t="shared" si="28"/>
        <v>8.9678259327932441E-3</v>
      </c>
      <c r="M464" s="11">
        <f t="shared" si="28"/>
        <v>1.5502135048399717E-2</v>
      </c>
      <c r="N464" s="11">
        <f t="shared" si="28"/>
        <v>1.7230376515634943E-2</v>
      </c>
      <c r="O464" s="11">
        <f t="shared" si="27"/>
        <v>-1.3805407988842642E-2</v>
      </c>
      <c r="P464" s="11">
        <f t="shared" si="27"/>
        <v>5.6630712455190907E-3</v>
      </c>
      <c r="Q464" s="11">
        <f t="shared" si="27"/>
        <v>2.1158550121401335E-2</v>
      </c>
      <c r="R464" s="11">
        <f t="shared" si="24"/>
        <v>1.1956521739130373E-2</v>
      </c>
      <c r="S464" s="11">
        <f t="shared" si="24"/>
        <v>-9.3052105577787862E-3</v>
      </c>
      <c r="T464" s="11">
        <f t="shared" si="24"/>
        <v>-2.3168461699018931E-2</v>
      </c>
      <c r="U464" s="11">
        <f t="shared" si="26"/>
        <v>3.799933373026484E-3</v>
      </c>
    </row>
    <row r="465" spans="1:21" x14ac:dyDescent="0.2">
      <c r="A465" s="1">
        <v>43753</v>
      </c>
      <c r="B465" s="3">
        <v>54.639999000000003</v>
      </c>
      <c r="C465" s="3">
        <v>14.836665999999999</v>
      </c>
      <c r="D465" s="3">
        <v>15.67</v>
      </c>
      <c r="E465" s="3">
        <v>42.771427000000003</v>
      </c>
      <c r="F465" s="3">
        <v>21.117692999999999</v>
      </c>
      <c r="G465" s="3">
        <v>28.83</v>
      </c>
      <c r="H465" s="3">
        <v>27.6</v>
      </c>
      <c r="I465" s="3">
        <v>44.761158000000002</v>
      </c>
      <c r="J465" s="3">
        <v>47.91</v>
      </c>
      <c r="L465" s="11">
        <f t="shared" si="28"/>
        <v>-9.6066525142885911E-3</v>
      </c>
      <c r="M465" s="11">
        <f t="shared" si="28"/>
        <v>-1.4393290841304118E-2</v>
      </c>
      <c r="N465" s="11">
        <f t="shared" si="28"/>
        <v>1.5554115359688932E-2</v>
      </c>
      <c r="O465" s="11">
        <f t="shared" si="27"/>
        <v>1.9291880065591956E-2</v>
      </c>
      <c r="P465" s="11">
        <f t="shared" si="27"/>
        <v>1.3875625927747064E-2</v>
      </c>
      <c r="Q465" s="11">
        <f t="shared" si="27"/>
        <v>1.5498450704418791E-2</v>
      </c>
      <c r="R465" s="11">
        <f t="shared" si="24"/>
        <v>1.061885795015958E-2</v>
      </c>
      <c r="S465" s="11">
        <f t="shared" si="24"/>
        <v>-1.1042913772221018E-2</v>
      </c>
      <c r="T465" s="11">
        <f t="shared" si="24"/>
        <v>-1.6670555671158412E-3</v>
      </c>
      <c r="U465" s="11">
        <f t="shared" si="26"/>
        <v>4.2365574791863063E-3</v>
      </c>
    </row>
    <row r="466" spans="1:21" x14ac:dyDescent="0.2">
      <c r="A466" s="1">
        <v>43752</v>
      </c>
      <c r="B466" s="3">
        <v>55.169998</v>
      </c>
      <c r="C466" s="3">
        <v>15.053333</v>
      </c>
      <c r="D466" s="3">
        <v>15.43</v>
      </c>
      <c r="E466" s="3">
        <v>41.961903</v>
      </c>
      <c r="F466" s="3">
        <v>20.828682000000001</v>
      </c>
      <c r="G466" s="3">
        <v>28.389999</v>
      </c>
      <c r="H466" s="3">
        <v>27.309999000000001</v>
      </c>
      <c r="I466" s="3">
        <v>45.260970999999998</v>
      </c>
      <c r="J466" s="3">
        <v>47.990001999999997</v>
      </c>
      <c r="L466" s="11">
        <f t="shared" si="28"/>
        <v>-7.3768259310246281E-3</v>
      </c>
      <c r="M466" s="11">
        <f t="shared" si="28"/>
        <v>2.44175371550513E-3</v>
      </c>
      <c r="N466" s="11">
        <f t="shared" si="28"/>
        <v>9.1563113145847336E-3</v>
      </c>
      <c r="O466" s="11">
        <f t="shared" si="27"/>
        <v>1.7551950873384275E-2</v>
      </c>
      <c r="P466" s="11">
        <f t="shared" si="27"/>
        <v>1.5055893254782592E-2</v>
      </c>
      <c r="Q466" s="11">
        <f t="shared" si="27"/>
        <v>1.5742325018163656E-2</v>
      </c>
      <c r="R466" s="11">
        <f t="shared" si="24"/>
        <v>1.8341526045487777E-3</v>
      </c>
      <c r="S466" s="11">
        <f t="shared" si="24"/>
        <v>1.663195307654617E-2</v>
      </c>
      <c r="T466" s="11">
        <f t="shared" si="24"/>
        <v>-1.3363425439215287E-2</v>
      </c>
      <c r="U466" s="11">
        <f t="shared" si="26"/>
        <v>6.4082320541417144E-3</v>
      </c>
    </row>
    <row r="467" spans="1:21" x14ac:dyDescent="0.2">
      <c r="A467" s="1">
        <v>43749</v>
      </c>
      <c r="B467" s="3">
        <v>55.580002</v>
      </c>
      <c r="C467" s="3">
        <v>15.016666000000001</v>
      </c>
      <c r="D467" s="3">
        <v>15.29</v>
      </c>
      <c r="E467" s="3">
        <v>41.238093999999997</v>
      </c>
      <c r="F467" s="3">
        <v>20.519739000000001</v>
      </c>
      <c r="G467" s="3">
        <v>27.950001</v>
      </c>
      <c r="H467" s="3">
        <v>27.26</v>
      </c>
      <c r="I467" s="3">
        <v>44.520508</v>
      </c>
      <c r="J467" s="3">
        <v>48.639999000000003</v>
      </c>
      <c r="L467" s="11">
        <f t="shared" si="28"/>
        <v>1.0913095671153211E-2</v>
      </c>
      <c r="M467" s="11">
        <f t="shared" si="28"/>
        <v>2.2469360983629644E-2</v>
      </c>
      <c r="N467" s="11">
        <f t="shared" si="28"/>
        <v>4.3686006825938484E-2</v>
      </c>
      <c r="O467" s="11">
        <f t="shared" si="27"/>
        <v>2.9236972200282371E-2</v>
      </c>
      <c r="P467" s="11">
        <f t="shared" si="27"/>
        <v>4.5708489253068245E-2</v>
      </c>
      <c r="Q467" s="11">
        <f t="shared" si="27"/>
        <v>1.6363672727272738E-2</v>
      </c>
      <c r="R467" s="11">
        <f t="shared" si="24"/>
        <v>1.9446522064323228E-2</v>
      </c>
      <c r="S467" s="11">
        <f t="shared" si="24"/>
        <v>1.2205416514934226E-2</v>
      </c>
      <c r="T467" s="11">
        <f t="shared" si="24"/>
        <v>2.9635837017957922E-2</v>
      </c>
      <c r="U467" s="11">
        <f t="shared" si="26"/>
        <v>2.5518374806506674E-2</v>
      </c>
    </row>
    <row r="468" spans="1:21" x14ac:dyDescent="0.2">
      <c r="A468" s="1">
        <v>43748</v>
      </c>
      <c r="B468" s="3">
        <v>54.98</v>
      </c>
      <c r="C468" s="3">
        <v>14.686666000000001</v>
      </c>
      <c r="D468" s="3">
        <v>14.65</v>
      </c>
      <c r="E468" s="3">
        <v>40.066665999999998</v>
      </c>
      <c r="F468" s="3">
        <v>19.622810000000001</v>
      </c>
      <c r="G468" s="3">
        <v>27.5</v>
      </c>
      <c r="H468" s="3">
        <v>26.74</v>
      </c>
      <c r="I468" s="3">
        <v>43.983668999999999</v>
      </c>
      <c r="J468" s="3">
        <v>47.240001999999997</v>
      </c>
      <c r="L468" s="11">
        <f t="shared" si="28"/>
        <v>3.2846898409614423E-3</v>
      </c>
      <c r="M468" s="11">
        <f t="shared" si="28"/>
        <v>3.6446242288069503E-3</v>
      </c>
      <c r="N468" s="11">
        <f t="shared" si="28"/>
        <v>6.8728522336769515E-3</v>
      </c>
      <c r="O468" s="11">
        <f t="shared" si="27"/>
        <v>-2.3444783796033632E-2</v>
      </c>
      <c r="P468" s="11">
        <f t="shared" si="27"/>
        <v>-3.5425540147826918E-3</v>
      </c>
      <c r="Q468" s="11">
        <f t="shared" si="27"/>
        <v>-1.0897565895474763E-3</v>
      </c>
      <c r="R468" s="11">
        <f t="shared" si="24"/>
        <v>8.2956259426847229E-3</v>
      </c>
      <c r="S468" s="11">
        <f t="shared" si="24"/>
        <v>2.531694214500228E-3</v>
      </c>
      <c r="T468" s="11">
        <f t="shared" si="24"/>
        <v>3.4377141860176944E-2</v>
      </c>
      <c r="U468" s="11">
        <f t="shared" si="26"/>
        <v>3.436614880049271E-3</v>
      </c>
    </row>
    <row r="469" spans="1:21" x14ac:dyDescent="0.2">
      <c r="A469" s="1">
        <v>43747</v>
      </c>
      <c r="B469" s="3">
        <v>54.799999</v>
      </c>
      <c r="C469" s="3">
        <v>14.633333</v>
      </c>
      <c r="D469" s="3">
        <v>14.55</v>
      </c>
      <c r="E469" s="3">
        <v>41.028571999999997</v>
      </c>
      <c r="F469" s="3">
        <v>19.692571999999998</v>
      </c>
      <c r="G469" s="3">
        <v>27.530000999999999</v>
      </c>
      <c r="H469" s="3">
        <v>26.52</v>
      </c>
      <c r="I469" s="3">
        <v>43.872596999999999</v>
      </c>
      <c r="J469" s="3">
        <v>45.669998</v>
      </c>
      <c r="L469" s="11">
        <f t="shared" si="28"/>
        <v>-7.2464129122026761E-3</v>
      </c>
      <c r="M469" s="11">
        <f t="shared" si="28"/>
        <v>1.385681325304426E-2</v>
      </c>
      <c r="N469" s="11">
        <f t="shared" si="28"/>
        <v>8.3160083160083859E-3</v>
      </c>
      <c r="O469" s="11">
        <f t="shared" si="27"/>
        <v>3.0267869545359746E-3</v>
      </c>
      <c r="P469" s="11">
        <f t="shared" si="27"/>
        <v>2.649346890868591E-2</v>
      </c>
      <c r="Q469" s="11">
        <f t="shared" si="27"/>
        <v>1.7744991413862859E-2</v>
      </c>
      <c r="R469" s="11">
        <f t="shared" si="24"/>
        <v>1.921598770176787E-2</v>
      </c>
      <c r="S469" s="11">
        <f t="shared" si="24"/>
        <v>1.9354815175447536E-2</v>
      </c>
      <c r="T469" s="11">
        <f t="shared" si="24"/>
        <v>7.7228155339805682E-3</v>
      </c>
      <c r="U469" s="11">
        <f t="shared" si="26"/>
        <v>1.2053919371681187E-2</v>
      </c>
    </row>
    <row r="470" spans="1:21" x14ac:dyDescent="0.2">
      <c r="A470" s="1">
        <v>43746</v>
      </c>
      <c r="B470" s="3">
        <v>55.200001</v>
      </c>
      <c r="C470" s="3">
        <v>14.433332999999999</v>
      </c>
      <c r="D470" s="3">
        <v>14.43</v>
      </c>
      <c r="E470" s="3">
        <v>40.904761999999998</v>
      </c>
      <c r="F470" s="3">
        <v>19.184313</v>
      </c>
      <c r="G470" s="3">
        <v>27.049999</v>
      </c>
      <c r="H470" s="3">
        <v>26.02</v>
      </c>
      <c r="I470" s="3">
        <v>43.039574000000002</v>
      </c>
      <c r="J470" s="3">
        <v>45.32</v>
      </c>
      <c r="L470" s="11">
        <f t="shared" si="28"/>
        <v>-1.4285696428571424E-2</v>
      </c>
      <c r="M470" s="11">
        <f t="shared" si="28"/>
        <v>6.9767443482963553E-3</v>
      </c>
      <c r="N470" s="11">
        <f t="shared" si="28"/>
        <v>-1.9701086956521802E-2</v>
      </c>
      <c r="O470" s="11">
        <f t="shared" si="27"/>
        <v>-5.7870312700938897E-3</v>
      </c>
      <c r="P470" s="11">
        <f t="shared" si="27"/>
        <v>-1.5848711985314269E-2</v>
      </c>
      <c r="Q470" s="11">
        <f t="shared" si="27"/>
        <v>-3.6954916369367059E-4</v>
      </c>
      <c r="R470" s="11">
        <f t="shared" si="27"/>
        <v>-5.7317539166985912E-3</v>
      </c>
      <c r="S470" s="11">
        <f t="shared" si="27"/>
        <v>-1.2738800467146106E-2</v>
      </c>
      <c r="T470" s="11">
        <f t="shared" si="27"/>
        <v>-1.5638596532610769E-2</v>
      </c>
      <c r="U470" s="11">
        <f t="shared" si="26"/>
        <v>-9.2360535969282405E-3</v>
      </c>
    </row>
    <row r="471" spans="1:21" x14ac:dyDescent="0.2">
      <c r="A471" s="1">
        <v>43745</v>
      </c>
      <c r="B471" s="3">
        <v>56</v>
      </c>
      <c r="C471" s="3">
        <v>14.333333</v>
      </c>
      <c r="D471" s="3">
        <v>14.72</v>
      </c>
      <c r="E471" s="3">
        <v>41.142856999999999</v>
      </c>
      <c r="F471" s="3">
        <v>19.493255999999999</v>
      </c>
      <c r="G471" s="3">
        <v>27.059999000000001</v>
      </c>
      <c r="H471" s="3">
        <v>26.17</v>
      </c>
      <c r="I471" s="3">
        <v>43.594920999999999</v>
      </c>
      <c r="J471" s="3">
        <v>46.040000999999997</v>
      </c>
      <c r="L471" s="11">
        <f t="shared" si="28"/>
        <v>8.6455331412103181E-3</v>
      </c>
      <c r="M471" s="11">
        <f t="shared" si="28"/>
        <v>-3.4792390572390572E-2</v>
      </c>
      <c r="N471" s="11">
        <f t="shared" si="28"/>
        <v>-1.2080536912751658E-2</v>
      </c>
      <c r="O471" s="11">
        <f t="shared" si="27"/>
        <v>-1.4823293745261625E-2</v>
      </c>
      <c r="P471" s="11">
        <f t="shared" si="27"/>
        <v>-1.1122230393573197E-2</v>
      </c>
      <c r="Q471" s="11">
        <f t="shared" si="27"/>
        <v>-3.4261277658815072E-2</v>
      </c>
      <c r="R471" s="11">
        <f t="shared" si="27"/>
        <v>-1.282534892493398E-2</v>
      </c>
      <c r="S471" s="11">
        <f t="shared" si="27"/>
        <v>5.7654840870285584E-3</v>
      </c>
      <c r="T471" s="11">
        <f t="shared" si="27"/>
        <v>-1.1805086928525579E-2</v>
      </c>
      <c r="U471" s="11">
        <f t="shared" si="26"/>
        <v>-1.3033238656445867E-2</v>
      </c>
    </row>
    <row r="472" spans="1:21" x14ac:dyDescent="0.2">
      <c r="A472" s="1">
        <v>43742</v>
      </c>
      <c r="B472" s="3">
        <v>55.52</v>
      </c>
      <c r="C472" s="3">
        <v>14.85</v>
      </c>
      <c r="D472" s="3">
        <v>14.9</v>
      </c>
      <c r="E472" s="3">
        <v>41.761906000000003</v>
      </c>
      <c r="F472" s="3">
        <v>19.712503000000002</v>
      </c>
      <c r="G472" s="3">
        <v>28.02</v>
      </c>
      <c r="H472" s="3">
        <v>26.51</v>
      </c>
      <c r="I472" s="3">
        <v>43.345016000000001</v>
      </c>
      <c r="J472" s="3">
        <v>46.59</v>
      </c>
      <c r="L472" s="11">
        <f t="shared" si="28"/>
        <v>4.7547169811320816E-2</v>
      </c>
      <c r="M472" s="11">
        <f t="shared" si="28"/>
        <v>2.1789014261215846E-2</v>
      </c>
      <c r="N472" s="11">
        <f t="shared" si="28"/>
        <v>6.0769750168804763E-3</v>
      </c>
      <c r="O472" s="11">
        <f t="shared" si="27"/>
        <v>1.6458130261926638E-2</v>
      </c>
      <c r="P472" s="11">
        <f t="shared" si="27"/>
        <v>3.1282501415675443E-2</v>
      </c>
      <c r="Q472" s="11">
        <f t="shared" si="27"/>
        <v>1.8909090909090893E-2</v>
      </c>
      <c r="R472" s="11">
        <f t="shared" si="27"/>
        <v>-8.6013462976812591E-3</v>
      </c>
      <c r="S472" s="11">
        <f t="shared" si="27"/>
        <v>1.0574058311209188E-2</v>
      </c>
      <c r="T472" s="11">
        <f t="shared" si="27"/>
        <v>2.5308121155548511E-2</v>
      </c>
      <c r="U472" s="11">
        <f t="shared" si="26"/>
        <v>1.8815968316131842E-2</v>
      </c>
    </row>
    <row r="473" spans="1:21" x14ac:dyDescent="0.2">
      <c r="A473" s="1">
        <v>43741</v>
      </c>
      <c r="B473" s="3">
        <v>53</v>
      </c>
      <c r="C473" s="3">
        <v>14.533333000000001</v>
      </c>
      <c r="D473" s="3">
        <v>14.81</v>
      </c>
      <c r="E473" s="3">
        <v>41.085712000000001</v>
      </c>
      <c r="F473" s="3">
        <v>19.114552</v>
      </c>
      <c r="G473" s="3">
        <v>27.5</v>
      </c>
      <c r="H473" s="3">
        <v>26.74</v>
      </c>
      <c r="I473" s="3">
        <v>42.891478999999997</v>
      </c>
      <c r="J473" s="3">
        <v>45.439999</v>
      </c>
      <c r="L473" s="11">
        <f t="shared" si="28"/>
        <v>3.616809242744505E-2</v>
      </c>
      <c r="M473" s="11">
        <f t="shared" si="28"/>
        <v>1.1600951814429342E-2</v>
      </c>
      <c r="N473" s="11">
        <f t="shared" si="28"/>
        <v>-8.7014725568941766E-3</v>
      </c>
      <c r="O473" s="11">
        <f t="shared" si="27"/>
        <v>1.0304459692095808E-2</v>
      </c>
      <c r="P473" s="11">
        <f t="shared" si="27"/>
        <v>-1.2358288952140547E-2</v>
      </c>
      <c r="Q473" s="11">
        <f t="shared" si="27"/>
        <v>8.4341767510084497E-3</v>
      </c>
      <c r="R473" s="11">
        <f t="shared" si="27"/>
        <v>7.4854044717580443E-4</v>
      </c>
      <c r="S473" s="11">
        <f t="shared" si="27"/>
        <v>-1.5083478380060926E-3</v>
      </c>
      <c r="T473" s="11">
        <f t="shared" si="27"/>
        <v>7.5388251680188739E-3</v>
      </c>
      <c r="U473" s="11">
        <f t="shared" si="26"/>
        <v>5.8029929947925009E-3</v>
      </c>
    </row>
    <row r="474" spans="1:21" x14ac:dyDescent="0.2">
      <c r="A474" s="1">
        <v>43740</v>
      </c>
      <c r="B474" s="3">
        <v>51.150002000000001</v>
      </c>
      <c r="C474" s="3">
        <v>14.366666</v>
      </c>
      <c r="D474" s="3">
        <v>14.94</v>
      </c>
      <c r="E474" s="3">
        <v>40.666663999999997</v>
      </c>
      <c r="F474" s="3">
        <v>19.353731</v>
      </c>
      <c r="G474" s="3">
        <v>27.27</v>
      </c>
      <c r="H474" s="3">
        <v>26.719999000000001</v>
      </c>
      <c r="I474" s="3">
        <v>42.956271999999998</v>
      </c>
      <c r="J474" s="3">
        <v>45.099997999999999</v>
      </c>
      <c r="L474" s="11">
        <f t="shared" si="28"/>
        <v>2.9589412238325299E-2</v>
      </c>
      <c r="M474" s="11">
        <f t="shared" si="28"/>
        <v>-1.5307333790267271E-2</v>
      </c>
      <c r="N474" s="11">
        <f t="shared" si="28"/>
        <v>-1.5161502966381043E-2</v>
      </c>
      <c r="O474" s="11">
        <f t="shared" si="27"/>
        <v>-3.8504902135791282E-2</v>
      </c>
      <c r="P474" s="11">
        <f t="shared" si="27"/>
        <v>-1.5213017971874446E-2</v>
      </c>
      <c r="Q474" s="11">
        <f t="shared" si="27"/>
        <v>-2.5723472668810251E-2</v>
      </c>
      <c r="R474" s="11">
        <f t="shared" si="27"/>
        <v>-2.8716866593965835E-2</v>
      </c>
      <c r="S474" s="11">
        <f t="shared" si="27"/>
        <v>-2.6023041179583012E-2</v>
      </c>
      <c r="T474" s="11">
        <f t="shared" si="27"/>
        <v>-5.470553457777276E-2</v>
      </c>
      <c r="U474" s="11">
        <f t="shared" si="26"/>
        <v>-2.1085139960680066E-2</v>
      </c>
    </row>
    <row r="475" spans="1:21" x14ac:dyDescent="0.2">
      <c r="A475" s="1">
        <v>43739</v>
      </c>
      <c r="B475" s="3">
        <v>49.68</v>
      </c>
      <c r="C475" s="3">
        <v>14.59</v>
      </c>
      <c r="D475" s="3">
        <v>15.17</v>
      </c>
      <c r="E475" s="3">
        <v>42.295237999999998</v>
      </c>
      <c r="F475" s="3">
        <v>19.652708000000001</v>
      </c>
      <c r="G475" s="3">
        <v>27.99</v>
      </c>
      <c r="H475" s="3">
        <v>27.51</v>
      </c>
      <c r="I475" s="3">
        <v>44.103991999999998</v>
      </c>
      <c r="J475" s="3">
        <v>47.709999000000003</v>
      </c>
      <c r="L475" s="11">
        <f t="shared" si="28"/>
        <v>3.2310177705976691E-3</v>
      </c>
      <c r="M475" s="11">
        <f t="shared" si="28"/>
        <v>3.2088242770759185E-3</v>
      </c>
      <c r="N475" s="11">
        <f t="shared" si="28"/>
        <v>-1.4294996751137143E-2</v>
      </c>
      <c r="O475" s="11">
        <f t="shared" si="27"/>
        <v>-2.3097228383407893E-2</v>
      </c>
      <c r="P475" s="11">
        <f t="shared" si="27"/>
        <v>-1.2024096252291741E-2</v>
      </c>
      <c r="Q475" s="11">
        <f t="shared" si="27"/>
        <v>-2.9809358752166479E-2</v>
      </c>
      <c r="R475" s="11">
        <f t="shared" si="27"/>
        <v>-1.4518693811930126E-3</v>
      </c>
      <c r="S475" s="11">
        <f t="shared" si="27"/>
        <v>-1.2576899876949126E-3</v>
      </c>
      <c r="T475" s="11">
        <f t="shared" si="27"/>
        <v>-8.3771727748684023E-4</v>
      </c>
      <c r="U475" s="11">
        <f t="shared" si="26"/>
        <v>-8.4814571930782717E-3</v>
      </c>
    </row>
    <row r="476" spans="1:21" x14ac:dyDescent="0.2">
      <c r="A476" s="1">
        <v>43738</v>
      </c>
      <c r="B476" s="3">
        <v>49.52</v>
      </c>
      <c r="C476" s="3">
        <v>14.543333000000001</v>
      </c>
      <c r="D476" s="3">
        <v>15.39</v>
      </c>
      <c r="E476" s="3">
        <v>43.295237999999998</v>
      </c>
      <c r="F476" s="3">
        <v>19.89189</v>
      </c>
      <c r="G476" s="3">
        <v>28.85</v>
      </c>
      <c r="H476" s="3">
        <v>27.549999</v>
      </c>
      <c r="I476" s="3">
        <v>44.159531000000001</v>
      </c>
      <c r="J476" s="3">
        <v>47.75</v>
      </c>
      <c r="L476" s="11">
        <f t="shared" si="28"/>
        <v>2.8351356250479439E-3</v>
      </c>
      <c r="M476" s="11">
        <f t="shared" si="28"/>
        <v>-1.6899504661998754E-2</v>
      </c>
      <c r="N476" s="11">
        <f t="shared" si="28"/>
        <v>1.6512549537648611E-2</v>
      </c>
      <c r="O476" s="11">
        <f t="shared" si="27"/>
        <v>2.9438473467287622E-2</v>
      </c>
      <c r="P476" s="11">
        <f t="shared" si="27"/>
        <v>3.5194001370589863E-3</v>
      </c>
      <c r="Q476" s="11">
        <f t="shared" si="27"/>
        <v>9.4471658502450363E-3</v>
      </c>
      <c r="R476" s="11">
        <f t="shared" si="27"/>
        <v>-3.9768980477223595E-3</v>
      </c>
      <c r="S476" s="11">
        <f t="shared" si="27"/>
        <v>1.0805154913829959E-2</v>
      </c>
      <c r="T476" s="11">
        <f t="shared" si="27"/>
        <v>1.8883759966429588E-3</v>
      </c>
      <c r="U476" s="11">
        <f t="shared" si="26"/>
        <v>5.9522058686711119E-3</v>
      </c>
    </row>
    <row r="477" spans="1:21" x14ac:dyDescent="0.2">
      <c r="A477" s="1">
        <v>43735</v>
      </c>
      <c r="B477" s="3">
        <v>49.380001</v>
      </c>
      <c r="C477" s="3">
        <v>14.793333000000001</v>
      </c>
      <c r="D477" s="3">
        <v>15.14</v>
      </c>
      <c r="E477" s="3">
        <v>42.057139999999997</v>
      </c>
      <c r="F477" s="3">
        <v>19.822127999999999</v>
      </c>
      <c r="G477" s="3">
        <v>28.58</v>
      </c>
      <c r="H477" s="3">
        <v>27.66</v>
      </c>
      <c r="I477" s="3">
        <v>43.687480999999998</v>
      </c>
      <c r="J477" s="3">
        <v>47.66</v>
      </c>
      <c r="L477" s="11">
        <f t="shared" si="28"/>
        <v>-2.222691362994831E-3</v>
      </c>
      <c r="M477" s="11">
        <f t="shared" si="28"/>
        <v>-8.7111907239487991E-3</v>
      </c>
      <c r="N477" s="11">
        <f t="shared" si="28"/>
        <v>-5.2562417871222121E-3</v>
      </c>
      <c r="O477" s="11">
        <f t="shared" si="27"/>
        <v>-4.7329515264650851E-3</v>
      </c>
      <c r="P477" s="11">
        <f t="shared" si="27"/>
        <v>-6.493536761431524E-3</v>
      </c>
      <c r="Q477" s="11">
        <f t="shared" si="27"/>
        <v>-4.1812193665081068E-3</v>
      </c>
      <c r="R477" s="11">
        <f t="shared" si="27"/>
        <v>-1.4440793702498486E-3</v>
      </c>
      <c r="S477" s="11">
        <f t="shared" si="27"/>
        <v>2.3639132833704262E-2</v>
      </c>
      <c r="T477" s="11">
        <f t="shared" si="27"/>
        <v>-4.1788758006921127E-3</v>
      </c>
      <c r="U477" s="11">
        <f t="shared" si="26"/>
        <v>-1.5090726517453616E-3</v>
      </c>
    </row>
    <row r="478" spans="1:21" x14ac:dyDescent="0.2">
      <c r="A478" s="1">
        <v>43734</v>
      </c>
      <c r="B478" s="3">
        <v>49.490001999999997</v>
      </c>
      <c r="C478" s="3">
        <v>14.923333</v>
      </c>
      <c r="D478" s="3">
        <v>15.22</v>
      </c>
      <c r="E478" s="3">
        <v>42.257140999999997</v>
      </c>
      <c r="F478" s="3">
        <v>19.951685000000001</v>
      </c>
      <c r="G478" s="3">
        <v>28.700001</v>
      </c>
      <c r="H478" s="3">
        <v>27.700001</v>
      </c>
      <c r="I478" s="3">
        <v>42.678595999999999</v>
      </c>
      <c r="J478" s="3">
        <v>47.860000999999997</v>
      </c>
      <c r="L478" s="11">
        <f t="shared" si="28"/>
        <v>1.1651758448559162E-2</v>
      </c>
      <c r="M478" s="11">
        <f t="shared" si="28"/>
        <v>1.7268779822767526E-2</v>
      </c>
      <c r="N478" s="11">
        <f t="shared" si="28"/>
        <v>-4.5781556572922506E-3</v>
      </c>
      <c r="O478" s="11">
        <f t="shared" si="27"/>
        <v>-6.0484374593519291E-3</v>
      </c>
      <c r="P478" s="11">
        <f t="shared" si="27"/>
        <v>-9.9801633488150578E-4</v>
      </c>
      <c r="Q478" s="11">
        <f t="shared" si="27"/>
        <v>9.4970453746043119E-3</v>
      </c>
      <c r="R478" s="11">
        <f t="shared" si="27"/>
        <v>1.316755669348941E-2</v>
      </c>
      <c r="S478" s="11">
        <f t="shared" si="27"/>
        <v>1.0962505630296418E-2</v>
      </c>
      <c r="T478" s="11">
        <f t="shared" si="27"/>
        <v>0</v>
      </c>
      <c r="U478" s="11">
        <f t="shared" si="26"/>
        <v>5.6581151686879048E-3</v>
      </c>
    </row>
    <row r="479" spans="1:21" x14ac:dyDescent="0.2">
      <c r="A479" s="1">
        <v>43733</v>
      </c>
      <c r="B479" s="3">
        <v>48.919998</v>
      </c>
      <c r="C479" s="3">
        <v>14.67</v>
      </c>
      <c r="D479" s="3">
        <v>15.29</v>
      </c>
      <c r="E479" s="3">
        <v>42.514285999999998</v>
      </c>
      <c r="F479" s="3">
        <v>19.971616999999998</v>
      </c>
      <c r="G479" s="3">
        <v>28.43</v>
      </c>
      <c r="H479" s="3">
        <v>27.34</v>
      </c>
      <c r="I479" s="3">
        <v>42.215805000000003</v>
      </c>
      <c r="J479" s="3">
        <v>47.860000999999997</v>
      </c>
      <c r="L479" s="11">
        <f t="shared" si="28"/>
        <v>-1.6326938775510277E-3</v>
      </c>
      <c r="M479" s="11">
        <f t="shared" si="28"/>
        <v>-6.5462305438479347E-3</v>
      </c>
      <c r="N479" s="11">
        <f t="shared" si="28"/>
        <v>5.921052631578938E-3</v>
      </c>
      <c r="O479" s="11">
        <f t="shared" si="27"/>
        <v>2.3853255462504688E-2</v>
      </c>
      <c r="P479" s="11">
        <f t="shared" si="27"/>
        <v>1.1099935516588916E-2</v>
      </c>
      <c r="Q479" s="11">
        <f t="shared" si="27"/>
        <v>-4.9002450122506321E-3</v>
      </c>
      <c r="R479" s="11">
        <f t="shared" si="27"/>
        <v>2.5669233590025773E-3</v>
      </c>
      <c r="S479" s="11">
        <f t="shared" si="27"/>
        <v>2.6558606138239082E-2</v>
      </c>
      <c r="T479" s="11">
        <f t="shared" si="27"/>
        <v>1.9816769656935802E-2</v>
      </c>
      <c r="U479" s="11">
        <f t="shared" si="26"/>
        <v>8.5263748145778234E-3</v>
      </c>
    </row>
    <row r="480" spans="1:21" x14ac:dyDescent="0.2">
      <c r="A480" s="1">
        <v>43732</v>
      </c>
      <c r="B480" s="3">
        <v>49</v>
      </c>
      <c r="C480" s="3">
        <v>14.766666000000001</v>
      </c>
      <c r="D480" s="3">
        <v>15.2</v>
      </c>
      <c r="E480" s="3">
        <v>41.523808000000002</v>
      </c>
      <c r="F480" s="3">
        <v>19.752367</v>
      </c>
      <c r="G480" s="3">
        <v>28.57</v>
      </c>
      <c r="H480" s="3">
        <v>27.27</v>
      </c>
      <c r="I480" s="3">
        <v>41.123618999999998</v>
      </c>
      <c r="J480" s="3">
        <v>46.93</v>
      </c>
      <c r="L480" s="11">
        <f t="shared" si="28"/>
        <v>-2.0399919216489376E-4</v>
      </c>
      <c r="M480" s="11">
        <f t="shared" si="28"/>
        <v>-1.2483303889507438E-2</v>
      </c>
      <c r="N480" s="11">
        <f t="shared" si="28"/>
        <v>-1.1060507482107998E-2</v>
      </c>
      <c r="O480" s="11">
        <f t="shared" si="27"/>
        <v>-1.8901960411835235E-2</v>
      </c>
      <c r="P480" s="11">
        <f t="shared" si="27"/>
        <v>1.3810655181953322E-2</v>
      </c>
      <c r="Q480" s="11">
        <f t="shared" si="27"/>
        <v>-4.5296514101166767E-3</v>
      </c>
      <c r="R480" s="11">
        <f t="shared" si="27"/>
        <v>-7.6419213973799435E-3</v>
      </c>
      <c r="S480" s="11">
        <f t="shared" si="27"/>
        <v>-1.2666622154142559E-2</v>
      </c>
      <c r="T480" s="11">
        <f t="shared" si="27"/>
        <v>-2.4324283755687466E-2</v>
      </c>
      <c r="U480" s="11">
        <f t="shared" si="26"/>
        <v>-8.6668438345543219E-3</v>
      </c>
    </row>
    <row r="481" spans="1:21" x14ac:dyDescent="0.2">
      <c r="A481" s="1">
        <v>43731</v>
      </c>
      <c r="B481" s="3">
        <v>49.009998000000003</v>
      </c>
      <c r="C481" s="3">
        <v>14.953333000000001</v>
      </c>
      <c r="D481" s="3">
        <v>15.37</v>
      </c>
      <c r="E481" s="3">
        <v>42.323810999999999</v>
      </c>
      <c r="F481" s="3">
        <v>19.48329</v>
      </c>
      <c r="G481" s="3">
        <v>28.700001</v>
      </c>
      <c r="H481" s="3">
        <v>27.48</v>
      </c>
      <c r="I481" s="3">
        <v>41.651198999999998</v>
      </c>
      <c r="J481" s="3">
        <v>48.099997999999999</v>
      </c>
      <c r="L481" s="11">
        <f t="shared" si="28"/>
        <v>-2.4870673492665078E-2</v>
      </c>
      <c r="M481" s="11">
        <f t="shared" si="28"/>
        <v>-1.0150022513240178E-2</v>
      </c>
      <c r="N481" s="11">
        <f t="shared" si="28"/>
        <v>7.8688524590163414E-3</v>
      </c>
      <c r="O481" s="11">
        <f t="shared" si="27"/>
        <v>-3.3282533463411215E-2</v>
      </c>
      <c r="P481" s="11">
        <f t="shared" si="27"/>
        <v>-7.6141040879802004E-3</v>
      </c>
      <c r="Q481" s="11">
        <f t="shared" si="27"/>
        <v>0</v>
      </c>
      <c r="R481" s="11">
        <f t="shared" si="27"/>
        <v>1.7777777777777795E-2</v>
      </c>
      <c r="S481" s="11">
        <f t="shared" si="27"/>
        <v>-1.9394222969161476E-2</v>
      </c>
      <c r="T481" s="11">
        <f t="shared" si="27"/>
        <v>-6.6088395955737188E-3</v>
      </c>
      <c r="U481" s="11">
        <f t="shared" si="26"/>
        <v>-8.4748628761375251E-3</v>
      </c>
    </row>
    <row r="482" spans="1:21" x14ac:dyDescent="0.2">
      <c r="A482" s="1">
        <v>43728</v>
      </c>
      <c r="B482" s="3">
        <v>50.259998000000003</v>
      </c>
      <c r="C482" s="3">
        <v>15.106666000000001</v>
      </c>
      <c r="D482" s="3">
        <v>15.25</v>
      </c>
      <c r="E482" s="3">
        <v>43.780951999999999</v>
      </c>
      <c r="F482" s="3">
        <v>19.632776</v>
      </c>
      <c r="G482" s="3">
        <v>28.700001</v>
      </c>
      <c r="H482" s="3">
        <v>27</v>
      </c>
      <c r="I482" s="3">
        <v>42.474967999999997</v>
      </c>
      <c r="J482" s="3">
        <v>48.419998</v>
      </c>
      <c r="L482" s="11">
        <f t="shared" si="28"/>
        <v>1.0251216080402071E-2</v>
      </c>
      <c r="M482" s="11">
        <f t="shared" si="28"/>
        <v>1.6599327052489985E-2</v>
      </c>
      <c r="N482" s="11">
        <f t="shared" si="28"/>
        <v>-1.929260450160776E-2</v>
      </c>
      <c r="O482" s="11">
        <f t="shared" si="27"/>
        <v>2.1800490160226826E-3</v>
      </c>
      <c r="P482" s="11">
        <f t="shared" si="27"/>
        <v>1.5251331194769035E-3</v>
      </c>
      <c r="Q482" s="11">
        <f t="shared" si="27"/>
        <v>1.8814376996805063E-2</v>
      </c>
      <c r="R482" s="11">
        <f t="shared" si="27"/>
        <v>-1.0626639405399808E-2</v>
      </c>
      <c r="S482" s="11">
        <f t="shared" si="27"/>
        <v>-4.3566682616577763E-4</v>
      </c>
      <c r="T482" s="11">
        <f t="shared" si="27"/>
        <v>2.0694950331125697E-3</v>
      </c>
      <c r="U482" s="11">
        <f t="shared" si="26"/>
        <v>2.3427429516817695E-3</v>
      </c>
    </row>
    <row r="483" spans="1:21" x14ac:dyDescent="0.2">
      <c r="A483" s="1">
        <v>43727</v>
      </c>
      <c r="B483" s="3">
        <v>49.75</v>
      </c>
      <c r="C483" s="3">
        <v>14.86</v>
      </c>
      <c r="D483" s="3">
        <v>15.55</v>
      </c>
      <c r="E483" s="3">
        <v>43.685715000000002</v>
      </c>
      <c r="F483" s="3">
        <v>19.602879000000001</v>
      </c>
      <c r="G483" s="3">
        <v>28.17</v>
      </c>
      <c r="H483" s="3">
        <v>27.290001</v>
      </c>
      <c r="I483" s="3">
        <v>42.493481000000003</v>
      </c>
      <c r="J483" s="3">
        <v>48.32</v>
      </c>
      <c r="L483" s="11">
        <f t="shared" si="28"/>
        <v>9.1278095157770762E-3</v>
      </c>
      <c r="M483" s="11">
        <f t="shared" si="28"/>
        <v>-7.5689894828359717E-3</v>
      </c>
      <c r="N483" s="11">
        <f t="shared" si="28"/>
        <v>1.287830006439237E-3</v>
      </c>
      <c r="O483" s="11">
        <f t="shared" si="27"/>
        <v>1.63970770959872E-2</v>
      </c>
      <c r="P483" s="11">
        <f t="shared" si="27"/>
        <v>2.7154015996307873E-2</v>
      </c>
      <c r="Q483" s="11">
        <f t="shared" si="27"/>
        <v>3.528118468508587E-2</v>
      </c>
      <c r="R483" s="11">
        <f t="shared" si="27"/>
        <v>2.5717120709666001E-3</v>
      </c>
      <c r="S483" s="11">
        <f t="shared" si="27"/>
        <v>-5.2003695697437052E-3</v>
      </c>
      <c r="T483" s="11">
        <f t="shared" si="27"/>
        <v>-1.6529338159944776E-3</v>
      </c>
      <c r="U483" s="11">
        <f t="shared" si="26"/>
        <v>8.599704055776633E-3</v>
      </c>
    </row>
    <row r="484" spans="1:21" x14ac:dyDescent="0.2">
      <c r="A484" s="1">
        <v>43726</v>
      </c>
      <c r="B484" s="3">
        <v>49.299999</v>
      </c>
      <c r="C484" s="3">
        <v>14.973333</v>
      </c>
      <c r="D484" s="3">
        <v>15.53</v>
      </c>
      <c r="E484" s="3">
        <v>42.980953</v>
      </c>
      <c r="F484" s="3">
        <v>19.084654</v>
      </c>
      <c r="G484" s="3">
        <v>27.209999</v>
      </c>
      <c r="H484" s="3">
        <v>27.219999000000001</v>
      </c>
      <c r="I484" s="3">
        <v>42.715617999999999</v>
      </c>
      <c r="J484" s="3">
        <v>48.400002000000001</v>
      </c>
      <c r="L484" s="11">
        <f t="shared" si="28"/>
        <v>4.4824162802601219E-3</v>
      </c>
      <c r="M484" s="11">
        <f t="shared" si="28"/>
        <v>1.8132389761214403E-2</v>
      </c>
      <c r="N484" s="11">
        <f t="shared" si="28"/>
        <v>9.0968161143598954E-3</v>
      </c>
      <c r="O484" s="11">
        <f t="shared" si="27"/>
        <v>1.4157351023104609E-2</v>
      </c>
      <c r="P484" s="11">
        <f t="shared" si="27"/>
        <v>0</v>
      </c>
      <c r="Q484" s="11">
        <f t="shared" si="27"/>
        <v>9.2729973765948576E-3</v>
      </c>
      <c r="R484" s="11">
        <f t="shared" si="27"/>
        <v>-1.697370830719715E-2</v>
      </c>
      <c r="S484" s="11">
        <f t="shared" si="27"/>
        <v>-3.0244926135604665E-3</v>
      </c>
      <c r="T484" s="11">
        <f t="shared" si="27"/>
        <v>-1.0224948457057322E-2</v>
      </c>
      <c r="U484" s="11">
        <f t="shared" si="26"/>
        <v>2.7687579086354383E-3</v>
      </c>
    </row>
    <row r="485" spans="1:21" x14ac:dyDescent="0.2">
      <c r="A485" s="1">
        <v>43725</v>
      </c>
      <c r="B485" s="3">
        <v>49.080002</v>
      </c>
      <c r="C485" s="3">
        <v>14.706666</v>
      </c>
      <c r="D485" s="3">
        <v>15.39</v>
      </c>
      <c r="E485" s="3">
        <v>42.380951000000003</v>
      </c>
      <c r="F485" s="3">
        <v>19.084654</v>
      </c>
      <c r="G485" s="3">
        <v>26.959999</v>
      </c>
      <c r="H485" s="3">
        <v>27.690000999999999</v>
      </c>
      <c r="I485" s="3">
        <v>42.845202999999998</v>
      </c>
      <c r="J485" s="3">
        <v>48.900002000000001</v>
      </c>
      <c r="L485" s="11">
        <f t="shared" si="28"/>
        <v>1.8046111139724291E-2</v>
      </c>
      <c r="M485" s="11">
        <f t="shared" si="28"/>
        <v>2.4378919172459653E-2</v>
      </c>
      <c r="N485" s="11">
        <f t="shared" si="28"/>
        <v>4.5691906005222117E-3</v>
      </c>
      <c r="O485" s="11">
        <f t="shared" si="27"/>
        <v>5.8770572874953762E-3</v>
      </c>
      <c r="P485" s="11">
        <f t="shared" si="27"/>
        <v>2.5160643194816201E-2</v>
      </c>
      <c r="Q485" s="11">
        <f t="shared" si="27"/>
        <v>2.3927041397645333E-2</v>
      </c>
      <c r="R485" s="11">
        <f t="shared" si="27"/>
        <v>-1.3185959129934484E-2</v>
      </c>
      <c r="S485" s="11">
        <f t="shared" si="27"/>
        <v>6.9611012146814869E-3</v>
      </c>
      <c r="T485" s="11">
        <f t="shared" si="27"/>
        <v>6.3799547231940153E-3</v>
      </c>
      <c r="U485" s="11">
        <f t="shared" si="26"/>
        <v>1.1346006622289344E-2</v>
      </c>
    </row>
    <row r="486" spans="1:21" x14ac:dyDescent="0.2">
      <c r="A486" s="1">
        <v>43724</v>
      </c>
      <c r="B486" s="3">
        <v>48.209999000000003</v>
      </c>
      <c r="C486" s="3">
        <v>14.356666000000001</v>
      </c>
      <c r="D486" s="3">
        <v>15.32</v>
      </c>
      <c r="E486" s="3">
        <v>42.133330999999998</v>
      </c>
      <c r="F486" s="3">
        <v>18.616257000000001</v>
      </c>
      <c r="G486" s="3">
        <v>26.33</v>
      </c>
      <c r="H486" s="3">
        <v>28.059999000000001</v>
      </c>
      <c r="I486" s="3">
        <v>42.549014999999997</v>
      </c>
      <c r="J486" s="3">
        <v>48.59</v>
      </c>
      <c r="L486" s="11">
        <f t="shared" si="28"/>
        <v>2.2869231720135208E-3</v>
      </c>
      <c r="M486" s="11">
        <f t="shared" si="28"/>
        <v>1.6278837587880598E-3</v>
      </c>
      <c r="N486" s="11">
        <f t="shared" si="28"/>
        <v>6.5316786414107029E-4</v>
      </c>
      <c r="O486" s="11">
        <f t="shared" si="27"/>
        <v>5.4544874876034438E-3</v>
      </c>
      <c r="P486" s="11">
        <f t="shared" si="27"/>
        <v>1.3015237735058464E-2</v>
      </c>
      <c r="Q486" s="11">
        <f t="shared" si="27"/>
        <v>1.4643506179440918E-2</v>
      </c>
      <c r="R486" s="11">
        <f t="shared" si="27"/>
        <v>4.389881115694981E-2</v>
      </c>
      <c r="S486" s="11">
        <f t="shared" si="27"/>
        <v>-6.5216295585712215E-4</v>
      </c>
      <c r="T486" s="11">
        <f t="shared" si="27"/>
        <v>-2.4101244745907784E-2</v>
      </c>
      <c r="U486" s="11">
        <f t="shared" si="26"/>
        <v>6.3140677391367072E-3</v>
      </c>
    </row>
    <row r="487" spans="1:21" x14ac:dyDescent="0.2">
      <c r="A487" s="1">
        <v>43721</v>
      </c>
      <c r="B487" s="3">
        <v>48.099997999999999</v>
      </c>
      <c r="C487" s="3">
        <v>14.333333</v>
      </c>
      <c r="D487" s="3">
        <v>15.31</v>
      </c>
      <c r="E487" s="3">
        <v>41.904761999999998</v>
      </c>
      <c r="F487" s="3">
        <v>18.377075000000001</v>
      </c>
      <c r="G487" s="3">
        <v>25.950001</v>
      </c>
      <c r="H487" s="3">
        <v>26.879999000000002</v>
      </c>
      <c r="I487" s="3">
        <v>42.576782000000001</v>
      </c>
      <c r="J487" s="3">
        <v>49.790000999999997</v>
      </c>
      <c r="L487" s="11">
        <f t="shared" si="28"/>
        <v>-1.2320389890751767E-2</v>
      </c>
      <c r="M487" s="11">
        <f t="shared" si="28"/>
        <v>-3.3273360309053958E-2</v>
      </c>
      <c r="N487" s="11">
        <f t="shared" si="28"/>
        <v>1.9633507853403886E-3</v>
      </c>
      <c r="O487" s="11">
        <f t="shared" si="27"/>
        <v>-3.1903159363460248E-2</v>
      </c>
      <c r="P487" s="11">
        <f t="shared" si="27"/>
        <v>-2.226941637484799E-2</v>
      </c>
      <c r="Q487" s="11">
        <f t="shared" si="27"/>
        <v>-3.3879373273292136E-2</v>
      </c>
      <c r="R487" s="11">
        <f t="shared" si="27"/>
        <v>-6.6518849464850208E-3</v>
      </c>
      <c r="S487" s="11">
        <f t="shared" si="27"/>
        <v>4.3668017199418561E-3</v>
      </c>
      <c r="T487" s="11">
        <f t="shared" si="27"/>
        <v>2.0125176496782857E-3</v>
      </c>
      <c r="U487" s="11">
        <f t="shared" si="26"/>
        <v>-1.4661657111436735E-2</v>
      </c>
    </row>
    <row r="488" spans="1:21" x14ac:dyDescent="0.2">
      <c r="A488" s="1">
        <v>43720</v>
      </c>
      <c r="B488" s="3">
        <v>48.700001</v>
      </c>
      <c r="C488" s="3">
        <v>14.826665999999999</v>
      </c>
      <c r="D488" s="3">
        <v>15.28</v>
      </c>
      <c r="E488" s="3">
        <v>43.285713000000001</v>
      </c>
      <c r="F488" s="3">
        <v>18.795642999999998</v>
      </c>
      <c r="G488" s="3">
        <v>26.860001</v>
      </c>
      <c r="H488" s="3">
        <v>27.059999000000001</v>
      </c>
      <c r="I488" s="3">
        <v>42.391666000000001</v>
      </c>
      <c r="J488" s="3">
        <v>49.689999</v>
      </c>
      <c r="L488" s="11">
        <f t="shared" si="28"/>
        <v>-1.5365912158631524E-2</v>
      </c>
      <c r="M488" s="11">
        <f t="shared" si="28"/>
        <v>-1.1228610178050972E-3</v>
      </c>
      <c r="N488" s="11">
        <f t="shared" si="28"/>
        <v>3.9421813403415712E-3</v>
      </c>
      <c r="O488" s="11">
        <f t="shared" si="27"/>
        <v>-4.3811567752637375E-3</v>
      </c>
      <c r="P488" s="11">
        <f t="shared" si="27"/>
        <v>3.7253785963192411E-3</v>
      </c>
      <c r="Q488" s="11">
        <f t="shared" si="27"/>
        <v>-7.0239558973735723E-3</v>
      </c>
      <c r="R488" s="11">
        <f t="shared" si="27"/>
        <v>7.071008296575902E-3</v>
      </c>
      <c r="S488" s="11">
        <f t="shared" si="27"/>
        <v>-2.8304248168274796E-3</v>
      </c>
      <c r="T488" s="11">
        <f t="shared" si="27"/>
        <v>3.6287757324551459E-2</v>
      </c>
      <c r="U488" s="11">
        <f t="shared" si="26"/>
        <v>2.2557794324318623E-3</v>
      </c>
    </row>
    <row r="489" spans="1:21" x14ac:dyDescent="0.2">
      <c r="A489" s="1">
        <v>43719</v>
      </c>
      <c r="B489" s="3">
        <v>49.459999000000003</v>
      </c>
      <c r="C489" s="3">
        <v>14.843332999999999</v>
      </c>
      <c r="D489" s="3">
        <v>15.22</v>
      </c>
      <c r="E489" s="3">
        <v>43.476188999999998</v>
      </c>
      <c r="F489" s="3">
        <v>18.725881999999999</v>
      </c>
      <c r="G489" s="3">
        <v>27.049999</v>
      </c>
      <c r="H489" s="3">
        <v>26.870000999999998</v>
      </c>
      <c r="I489" s="3">
        <v>42.511992999999997</v>
      </c>
      <c r="J489" s="3">
        <v>47.950001</v>
      </c>
      <c r="L489" s="11">
        <f t="shared" si="28"/>
        <v>3.4511565896014174E-2</v>
      </c>
      <c r="M489" s="11">
        <f t="shared" si="28"/>
        <v>1.4350797593412182E-2</v>
      </c>
      <c r="N489" s="11">
        <f t="shared" si="28"/>
        <v>8.6149768058317276E-3</v>
      </c>
      <c r="O489" s="11">
        <f t="shared" si="27"/>
        <v>1.6930262128096629E-2</v>
      </c>
      <c r="P489" s="11">
        <f t="shared" si="27"/>
        <v>5.2071697064816048E-2</v>
      </c>
      <c r="Q489" s="11">
        <f t="shared" si="27"/>
        <v>3.7591062523973894E-2</v>
      </c>
      <c r="R489" s="11">
        <f t="shared" si="27"/>
        <v>-8.4870479704798139E-3</v>
      </c>
      <c r="S489" s="11">
        <f t="shared" si="27"/>
        <v>2.066672798542963E-2</v>
      </c>
      <c r="T489" s="11">
        <f t="shared" si="27"/>
        <v>-6.011629103995407E-3</v>
      </c>
      <c r="U489" s="11">
        <f t="shared" si="26"/>
        <v>1.8915379213677676E-2</v>
      </c>
    </row>
    <row r="490" spans="1:21" x14ac:dyDescent="0.2">
      <c r="A490" s="1">
        <v>43718</v>
      </c>
      <c r="B490" s="3">
        <v>47.810001</v>
      </c>
      <c r="C490" s="3">
        <v>14.633333</v>
      </c>
      <c r="D490" s="3">
        <v>15.09</v>
      </c>
      <c r="E490" s="3">
        <v>42.752380000000002</v>
      </c>
      <c r="F490" s="3">
        <v>17.799054999999999</v>
      </c>
      <c r="G490" s="3">
        <v>26.07</v>
      </c>
      <c r="H490" s="3">
        <v>27.1</v>
      </c>
      <c r="I490" s="3">
        <v>41.651198999999998</v>
      </c>
      <c r="J490" s="3">
        <v>48.240001999999997</v>
      </c>
      <c r="L490" s="11">
        <f t="shared" si="28"/>
        <v>-2.5036302941790103E-3</v>
      </c>
      <c r="M490" s="11">
        <f t="shared" si="28"/>
        <v>1.8256732919065702E-3</v>
      </c>
      <c r="N490" s="11">
        <f t="shared" si="28"/>
        <v>-7.2368421052631205E-3</v>
      </c>
      <c r="O490" s="11">
        <f t="shared" si="27"/>
        <v>-1.384004785527449E-2</v>
      </c>
      <c r="P490" s="11">
        <f t="shared" si="27"/>
        <v>-3.1978282965703986E-2</v>
      </c>
      <c r="Q490" s="11">
        <f t="shared" si="27"/>
        <v>2.0751721975265393E-2</v>
      </c>
      <c r="R490" s="11">
        <f t="shared" si="27"/>
        <v>6.3126624582250908E-3</v>
      </c>
      <c r="S490" s="11">
        <f t="shared" si="27"/>
        <v>5.5865788259162E-3</v>
      </c>
      <c r="T490" s="11">
        <f t="shared" si="27"/>
        <v>7.3084779141464138E-3</v>
      </c>
      <c r="U490" s="11">
        <f t="shared" si="26"/>
        <v>-1.5304098616623256E-3</v>
      </c>
    </row>
    <row r="491" spans="1:21" x14ac:dyDescent="0.2">
      <c r="A491" s="1">
        <v>43717</v>
      </c>
      <c r="B491" s="3">
        <v>47.93</v>
      </c>
      <c r="C491" s="3">
        <v>14.606666000000001</v>
      </c>
      <c r="D491" s="3">
        <v>15.2</v>
      </c>
      <c r="E491" s="3">
        <v>43.352378999999999</v>
      </c>
      <c r="F491" s="3">
        <v>18.387041</v>
      </c>
      <c r="G491" s="3">
        <v>25.540001</v>
      </c>
      <c r="H491" s="3">
        <v>26.93</v>
      </c>
      <c r="I491" s="3">
        <v>41.419803999999999</v>
      </c>
      <c r="J491" s="3">
        <v>47.889999000000003</v>
      </c>
      <c r="L491" s="11">
        <f t="shared" si="28"/>
        <v>-1.2503020941736411E-3</v>
      </c>
      <c r="M491" s="11">
        <f t="shared" si="28"/>
        <v>-4.5315947712418307E-2</v>
      </c>
      <c r="N491" s="11">
        <f t="shared" si="28"/>
        <v>1.3333333333333286E-2</v>
      </c>
      <c r="O491" s="11">
        <f t="shared" si="27"/>
        <v>-2.7973521433790206E-2</v>
      </c>
      <c r="P491" s="11">
        <f t="shared" si="27"/>
        <v>-1.6000143422729894E-2</v>
      </c>
      <c r="Q491" s="11">
        <f t="shared" si="27"/>
        <v>-2.8897263456169695E-2</v>
      </c>
      <c r="R491" s="11">
        <f t="shared" si="27"/>
        <v>1.5460030165912525E-2</v>
      </c>
      <c r="S491" s="11">
        <f t="shared" si="27"/>
        <v>-2.8019181012877321E-2</v>
      </c>
      <c r="T491" s="11">
        <f t="shared" si="27"/>
        <v>3.1001032701807752E-2</v>
      </c>
      <c r="U491" s="11">
        <f t="shared" si="26"/>
        <v>-9.7402181034561656E-3</v>
      </c>
    </row>
    <row r="492" spans="1:21" x14ac:dyDescent="0.2">
      <c r="A492" s="1">
        <v>43714</v>
      </c>
      <c r="B492" s="3">
        <v>47.990001999999997</v>
      </c>
      <c r="C492" s="3">
        <v>15.3</v>
      </c>
      <c r="D492" s="3">
        <v>15</v>
      </c>
      <c r="E492" s="3">
        <v>44.599997999999999</v>
      </c>
      <c r="F492" s="3">
        <v>18.686019999999999</v>
      </c>
      <c r="G492" s="3">
        <v>26.299999</v>
      </c>
      <c r="H492" s="3">
        <v>26.52</v>
      </c>
      <c r="I492" s="3">
        <v>42.613807999999999</v>
      </c>
      <c r="J492" s="3">
        <v>46.450001</v>
      </c>
      <c r="L492" s="11">
        <f t="shared" si="28"/>
        <v>-9.0852364237043737E-3</v>
      </c>
      <c r="M492" s="11">
        <f t="shared" si="28"/>
        <v>1.3245033112582853E-2</v>
      </c>
      <c r="N492" s="11">
        <f t="shared" si="28"/>
        <v>6.6711140760505579E-4</v>
      </c>
      <c r="O492" s="11">
        <f t="shared" si="27"/>
        <v>-8.8889333333333469E-3</v>
      </c>
      <c r="P492" s="11">
        <f t="shared" si="27"/>
        <v>-1.2117957409355996E-2</v>
      </c>
      <c r="Q492" s="11">
        <f t="shared" si="27"/>
        <v>-1.0161874294316921E-2</v>
      </c>
      <c r="R492" s="11">
        <f t="shared" si="27"/>
        <v>4.9261464541927435E-3</v>
      </c>
      <c r="S492" s="11">
        <f t="shared" si="27"/>
        <v>-2.0425487212017066E-2</v>
      </c>
      <c r="T492" s="11">
        <f t="shared" si="27"/>
        <v>-1.5047076526225882E-3</v>
      </c>
      <c r="U492" s="11">
        <f t="shared" si="26"/>
        <v>-4.8162117056632925E-3</v>
      </c>
    </row>
    <row r="493" spans="1:21" x14ac:dyDescent="0.2">
      <c r="A493" s="1">
        <v>43713</v>
      </c>
      <c r="B493" s="3">
        <v>48.43</v>
      </c>
      <c r="C493" s="3">
        <v>15.1</v>
      </c>
      <c r="D493" s="3">
        <v>14.99</v>
      </c>
      <c r="E493" s="3">
        <v>45</v>
      </c>
      <c r="F493" s="3">
        <v>18.915234000000002</v>
      </c>
      <c r="G493" s="3">
        <v>26.57</v>
      </c>
      <c r="H493" s="3">
        <v>26.389999</v>
      </c>
      <c r="I493" s="3">
        <v>43.502364999999998</v>
      </c>
      <c r="J493" s="3">
        <v>46.52</v>
      </c>
      <c r="L493" s="11">
        <f t="shared" si="28"/>
        <v>7.0700769390724949E-3</v>
      </c>
      <c r="M493" s="11">
        <f t="shared" si="28"/>
        <v>1.501236903483613E-2</v>
      </c>
      <c r="N493" s="11">
        <f t="shared" si="28"/>
        <v>-7.2847682119204921E-3</v>
      </c>
      <c r="O493" s="11">
        <f t="shared" si="27"/>
        <v>1.4836646664144239E-3</v>
      </c>
      <c r="P493" s="11">
        <f t="shared" si="27"/>
        <v>-3.1512468307688807E-3</v>
      </c>
      <c r="Q493" s="11">
        <f t="shared" si="27"/>
        <v>1.026619810898094E-2</v>
      </c>
      <c r="R493" s="11">
        <f t="shared" si="27"/>
        <v>4.9504569687737233E-3</v>
      </c>
      <c r="S493" s="11">
        <f t="shared" si="27"/>
        <v>4.2734939146297293E-3</v>
      </c>
      <c r="T493" s="11">
        <f t="shared" si="27"/>
        <v>0</v>
      </c>
      <c r="U493" s="11">
        <f t="shared" si="26"/>
        <v>3.6244716211131186E-3</v>
      </c>
    </row>
    <row r="494" spans="1:21" x14ac:dyDescent="0.2">
      <c r="A494" s="1">
        <v>43712</v>
      </c>
      <c r="B494" s="3">
        <v>48.09</v>
      </c>
      <c r="C494" s="3">
        <v>14.876666</v>
      </c>
      <c r="D494" s="3">
        <v>15.1</v>
      </c>
      <c r="E494" s="3">
        <v>44.933334000000002</v>
      </c>
      <c r="F494" s="3">
        <v>18.975028999999999</v>
      </c>
      <c r="G494" s="3">
        <v>26.299999</v>
      </c>
      <c r="H494" s="3">
        <v>26.26</v>
      </c>
      <c r="I494" s="3">
        <v>43.317248999999997</v>
      </c>
      <c r="J494" s="3">
        <v>46.52</v>
      </c>
      <c r="L494" s="11">
        <f t="shared" si="28"/>
        <v>1.0294160096393366E-2</v>
      </c>
      <c r="M494" s="11">
        <f t="shared" si="28"/>
        <v>2.0114263316897484E-2</v>
      </c>
      <c r="N494" s="11">
        <f t="shared" si="28"/>
        <v>2.0270270270270199E-2</v>
      </c>
      <c r="O494" s="11">
        <f t="shared" si="27"/>
        <v>1.3316169501662915E-2</v>
      </c>
      <c r="P494" s="11">
        <f t="shared" si="27"/>
        <v>2.2007573131868526E-2</v>
      </c>
      <c r="Q494" s="11">
        <f t="shared" si="27"/>
        <v>9.9845618285498341E-3</v>
      </c>
      <c r="R494" s="11">
        <f t="shared" si="27"/>
        <v>2.5781250000000006E-2</v>
      </c>
      <c r="S494" s="11">
        <f t="shared" si="27"/>
        <v>1.4084567382356439E-2</v>
      </c>
      <c r="T494" s="11">
        <f t="shared" si="27"/>
        <v>2.196836555360281E-2</v>
      </c>
      <c r="U494" s="11">
        <f t="shared" si="26"/>
        <v>1.7535686786844619E-2</v>
      </c>
    </row>
    <row r="495" spans="1:21" x14ac:dyDescent="0.2">
      <c r="A495" s="1">
        <v>43711</v>
      </c>
      <c r="B495" s="3">
        <v>47.599997999999999</v>
      </c>
      <c r="C495" s="3">
        <v>14.583333</v>
      </c>
      <c r="D495" s="3">
        <v>14.8</v>
      </c>
      <c r="E495" s="3">
        <v>44.342857000000002</v>
      </c>
      <c r="F495" s="3">
        <v>18.566427000000001</v>
      </c>
      <c r="G495" s="3">
        <v>26.040001</v>
      </c>
      <c r="H495" s="3">
        <v>25.6</v>
      </c>
      <c r="I495" s="3">
        <v>42.715617999999999</v>
      </c>
      <c r="J495" s="3">
        <v>45.52</v>
      </c>
      <c r="L495" s="11">
        <f t="shared" si="28"/>
        <v>-1.2448194762485605E-2</v>
      </c>
      <c r="M495" s="11">
        <f t="shared" si="28"/>
        <v>-4.3240557270849272E-3</v>
      </c>
      <c r="N495" s="11">
        <f t="shared" si="28"/>
        <v>-1.1356045424181692E-2</v>
      </c>
      <c r="O495" s="11">
        <f t="shared" si="27"/>
        <v>-7.2494108805617333E-3</v>
      </c>
      <c r="P495" s="11">
        <f t="shared" si="27"/>
        <v>1.6128692910702186E-3</v>
      </c>
      <c r="Q495" s="11">
        <f t="shared" si="27"/>
        <v>-6.1068699959209976E-3</v>
      </c>
      <c r="R495" s="11">
        <f t="shared" si="27"/>
        <v>1.1857747504258864E-2</v>
      </c>
      <c r="S495" s="11">
        <f t="shared" si="27"/>
        <v>-4.193487821781243E-2</v>
      </c>
      <c r="T495" s="11">
        <f t="shared" si="27"/>
        <v>-1.0649815720487532E-2</v>
      </c>
      <c r="U495" s="11">
        <f t="shared" si="26"/>
        <v>-8.9554059925784271E-3</v>
      </c>
    </row>
    <row r="496" spans="1:21" x14ac:dyDescent="0.2">
      <c r="A496" s="1">
        <v>43710</v>
      </c>
      <c r="B496" s="3">
        <v>48.200001</v>
      </c>
      <c r="C496" s="3">
        <v>14.646666</v>
      </c>
      <c r="D496" s="3">
        <v>14.97</v>
      </c>
      <c r="E496" s="3">
        <v>44.666663999999997</v>
      </c>
      <c r="F496" s="3">
        <v>18.536529999999999</v>
      </c>
      <c r="G496" s="3">
        <v>26.200001</v>
      </c>
      <c r="H496" s="3">
        <v>25.299999</v>
      </c>
      <c r="I496" s="3">
        <v>44.585296999999997</v>
      </c>
      <c r="J496" s="3">
        <v>46.009998000000003</v>
      </c>
      <c r="L496" s="11">
        <f t="shared" si="28"/>
        <v>-2.5869017784963554E-2</v>
      </c>
      <c r="M496" s="11">
        <f t="shared" si="28"/>
        <v>-1.9196451321349332E-2</v>
      </c>
      <c r="N496" s="11">
        <f t="shared" si="28"/>
        <v>-5.9760956175298708E-3</v>
      </c>
      <c r="O496" s="11">
        <f t="shared" si="27"/>
        <v>-2.9762277450051376E-3</v>
      </c>
      <c r="P496" s="11">
        <f t="shared" si="27"/>
        <v>-6.9407159058412615E-3</v>
      </c>
      <c r="Q496" s="11">
        <f t="shared" si="27"/>
        <v>8.0800692574067683E-3</v>
      </c>
      <c r="R496" s="11">
        <f t="shared" si="27"/>
        <v>-7.8431764705882475E-3</v>
      </c>
      <c r="S496" s="11">
        <f t="shared" si="27"/>
        <v>-5.7791530994018197E-3</v>
      </c>
      <c r="T496" s="11">
        <f t="shared" si="27"/>
        <v>9.6554312047400209E-3</v>
      </c>
      <c r="U496" s="11">
        <f t="shared" si="26"/>
        <v>-6.3161486091702712E-3</v>
      </c>
    </row>
    <row r="497" spans="1:16" x14ac:dyDescent="0.2">
      <c r="A497" s="1">
        <v>43707</v>
      </c>
      <c r="B497" s="3">
        <v>49.48</v>
      </c>
      <c r="C497" s="3">
        <v>14.933332999999999</v>
      </c>
      <c r="D497" s="3">
        <v>15.06</v>
      </c>
      <c r="E497" s="3">
        <v>44.799999</v>
      </c>
      <c r="F497" s="3">
        <v>18.666086</v>
      </c>
      <c r="G497" s="3">
        <v>25.99</v>
      </c>
      <c r="H497" s="3">
        <v>25.5</v>
      </c>
      <c r="I497" s="3">
        <v>44.844459999999998</v>
      </c>
      <c r="J497" s="3">
        <v>45.57</v>
      </c>
      <c r="P497" s="3"/>
    </row>
  </sheetData>
  <mergeCells count="1">
    <mergeCell ref="D1:G1"/>
  </mergeCells>
  <conditionalFormatting sqref="L4:U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B2" r:id="rId1" xr:uid="{882E17AE-04BD-5340-95BE-306D8A29CB14}"/>
  </hyperlinks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A822-8CC3-DD4A-8F58-B66CC7441B89}">
  <dimension ref="B1:J250"/>
  <sheetViews>
    <sheetView tabSelected="1" zoomScaleNormal="100" workbookViewId="0">
      <selection activeCell="K15" sqref="K15"/>
    </sheetView>
  </sheetViews>
  <sheetFormatPr baseColWidth="10" defaultRowHeight="16" x14ac:dyDescent="0.2"/>
  <cols>
    <col min="2" max="2" width="12" bestFit="1" customWidth="1"/>
    <col min="3" max="3" width="17.33203125" bestFit="1" customWidth="1"/>
    <col min="5" max="5" width="15.6640625" style="41" bestFit="1" customWidth="1"/>
    <col min="7" max="7" width="12" bestFit="1" customWidth="1"/>
    <col min="8" max="8" width="17.33203125" bestFit="1" customWidth="1"/>
    <col min="10" max="10" width="16.6640625" style="41" customWidth="1"/>
  </cols>
  <sheetData>
    <row r="1" spans="2:10" x14ac:dyDescent="0.2">
      <c r="B1" s="29" t="s">
        <v>283</v>
      </c>
      <c r="G1" s="29" t="s">
        <v>283</v>
      </c>
    </row>
    <row r="2" spans="2:10" x14ac:dyDescent="0.2">
      <c r="B2" s="1">
        <f>MAX(B5:B249)</f>
        <v>44069</v>
      </c>
      <c r="E2" s="41" t="s">
        <v>284</v>
      </c>
      <c r="G2" s="1">
        <f>MAX(G5:G249)</f>
        <v>44435</v>
      </c>
      <c r="J2" s="41" t="s">
        <v>285</v>
      </c>
    </row>
    <row r="3" spans="2:10" x14ac:dyDescent="0.2">
      <c r="E3" s="46" t="s">
        <v>286</v>
      </c>
      <c r="J3" s="46" t="s">
        <v>287</v>
      </c>
    </row>
    <row r="4" spans="2:10" x14ac:dyDescent="0.2">
      <c r="B4" s="2" t="s">
        <v>9</v>
      </c>
      <c r="C4" s="33" t="s">
        <v>273</v>
      </c>
      <c r="G4" s="2" t="s">
        <v>9</v>
      </c>
      <c r="H4" s="33" t="s">
        <v>273</v>
      </c>
    </row>
    <row r="5" spans="2:10" x14ac:dyDescent="0.2">
      <c r="B5" s="1">
        <v>44069</v>
      </c>
      <c r="C5" s="11">
        <v>-1.2133971351403462E-2</v>
      </c>
      <c r="E5" s="42" t="s">
        <v>280</v>
      </c>
      <c r="G5" s="1">
        <v>44435</v>
      </c>
      <c r="H5" s="11">
        <v>1.9825325533630919E-2</v>
      </c>
      <c r="J5" s="42" t="s">
        <v>280</v>
      </c>
    </row>
    <row r="6" spans="2:10" x14ac:dyDescent="0.2">
      <c r="B6" s="1">
        <v>44068</v>
      </c>
      <c r="C6" s="11">
        <v>-2.9927551655366449E-3</v>
      </c>
      <c r="E6" s="43">
        <f>_xlfn.PERCENTILE.INC(C5:C249,5%)</f>
        <v>-3.7829567179607899E-2</v>
      </c>
      <c r="G6" s="1">
        <v>44434</v>
      </c>
      <c r="H6" s="11">
        <v>-1.4564183223517525E-2</v>
      </c>
      <c r="J6" s="43">
        <f>_xlfn.PERCENTILE.INC(H5:H249,5%)</f>
        <v>-2.3420867264903729E-2</v>
      </c>
    </row>
    <row r="7" spans="2:10" x14ac:dyDescent="0.2">
      <c r="B7" s="1">
        <v>44067</v>
      </c>
      <c r="C7" s="11">
        <v>3.1315876006579165E-3</v>
      </c>
      <c r="E7" s="42" t="s">
        <v>281</v>
      </c>
      <c r="G7" s="1">
        <v>44433</v>
      </c>
      <c r="H7" s="11">
        <v>4.6818614709321863E-3</v>
      </c>
      <c r="J7" s="42" t="s">
        <v>281</v>
      </c>
    </row>
    <row r="8" spans="2:10" x14ac:dyDescent="0.2">
      <c r="B8" s="1">
        <v>44064</v>
      </c>
      <c r="C8" s="11">
        <v>-9.3179739191366472E-3</v>
      </c>
      <c r="E8" s="44">
        <v>1000000</v>
      </c>
      <c r="G8" s="1">
        <v>44432</v>
      </c>
      <c r="H8" s="11">
        <v>3.3839822185092641E-2</v>
      </c>
      <c r="J8" s="44">
        <v>1000000</v>
      </c>
    </row>
    <row r="9" spans="2:10" x14ac:dyDescent="0.2">
      <c r="B9" s="1">
        <v>44063</v>
      </c>
      <c r="C9" s="11">
        <v>1.3396719573267463E-2</v>
      </c>
      <c r="E9" s="42" t="s">
        <v>276</v>
      </c>
      <c r="G9" s="1">
        <v>44431</v>
      </c>
      <c r="H9" s="11">
        <v>-1.6341997088778634E-2</v>
      </c>
      <c r="J9" s="42" t="s">
        <v>276</v>
      </c>
    </row>
    <row r="10" spans="2:10" x14ac:dyDescent="0.2">
      <c r="B10" s="1">
        <v>44062</v>
      </c>
      <c r="C10" s="11">
        <v>-2.099690495106725E-2</v>
      </c>
      <c r="E10" s="45">
        <f>E6*E8</f>
        <v>-37829.567179607897</v>
      </c>
      <c r="G10" s="1">
        <v>44428</v>
      </c>
      <c r="H10" s="11">
        <v>1.1027358031566799E-2</v>
      </c>
      <c r="J10" s="45">
        <f>J6*J8</f>
        <v>-23420.867264903729</v>
      </c>
    </row>
    <row r="11" spans="2:10" x14ac:dyDescent="0.2">
      <c r="B11" s="1">
        <v>44061</v>
      </c>
      <c r="C11" s="11">
        <v>2.7753778786104872E-2</v>
      </c>
      <c r="G11" s="1">
        <v>44427</v>
      </c>
      <c r="H11" s="11">
        <v>1.0770617024894791E-2</v>
      </c>
    </row>
    <row r="12" spans="2:10" x14ac:dyDescent="0.2">
      <c r="B12" s="1">
        <v>44060</v>
      </c>
      <c r="C12" s="11">
        <v>-1.919229952764865E-2</v>
      </c>
      <c r="G12" s="1">
        <v>44426</v>
      </c>
      <c r="H12" s="11">
        <v>-1.1895792143233448E-2</v>
      </c>
    </row>
    <row r="13" spans="2:10" x14ac:dyDescent="0.2">
      <c r="B13" s="1">
        <v>44057</v>
      </c>
      <c r="C13" s="11">
        <v>2.8871315220064132E-3</v>
      </c>
      <c r="G13" s="1">
        <v>44425</v>
      </c>
      <c r="H13" s="11">
        <v>-2.4722671578694157E-2</v>
      </c>
    </row>
    <row r="14" spans="2:10" x14ac:dyDescent="0.2">
      <c r="B14" s="1">
        <v>44056</v>
      </c>
      <c r="C14" s="11">
        <v>-1.3281506096559415E-2</v>
      </c>
      <c r="G14" s="1">
        <v>44424</v>
      </c>
      <c r="H14" s="11">
        <v>-2.2181649181173175E-2</v>
      </c>
    </row>
    <row r="15" spans="2:10" x14ac:dyDescent="0.2">
      <c r="B15" s="1">
        <v>44055</v>
      </c>
      <c r="C15" s="11">
        <v>2.3291855723454064E-3</v>
      </c>
      <c r="G15" s="1">
        <v>44421</v>
      </c>
      <c r="H15" s="11">
        <v>-2.196516449646739E-3</v>
      </c>
    </row>
    <row r="16" spans="2:10" x14ac:dyDescent="0.2">
      <c r="B16" s="1">
        <v>44054</v>
      </c>
      <c r="C16" s="11">
        <v>6.2528287784500503E-3</v>
      </c>
      <c r="G16" s="1">
        <v>44420</v>
      </c>
      <c r="H16" s="11">
        <v>-2.9747560383515128E-3</v>
      </c>
    </row>
    <row r="17" spans="2:8" x14ac:dyDescent="0.2">
      <c r="B17" s="1">
        <v>44053</v>
      </c>
      <c r="C17" s="11">
        <v>3.1298123780408049E-3</v>
      </c>
      <c r="G17" s="1">
        <v>44419</v>
      </c>
      <c r="H17" s="11">
        <v>-4.3657016279552829E-3</v>
      </c>
    </row>
    <row r="18" spans="2:8" x14ac:dyDescent="0.2">
      <c r="B18" s="1">
        <v>44050</v>
      </c>
      <c r="C18" s="11">
        <v>-1.7332416631199311E-2</v>
      </c>
      <c r="G18" s="1">
        <v>44418</v>
      </c>
      <c r="H18" s="11">
        <v>-1.1140437784796656E-2</v>
      </c>
    </row>
    <row r="19" spans="2:8" x14ac:dyDescent="0.2">
      <c r="B19" s="1">
        <v>44049</v>
      </c>
      <c r="C19" s="11">
        <v>1.8189665084700164E-2</v>
      </c>
      <c r="G19" s="1">
        <v>44417</v>
      </c>
      <c r="H19" s="11">
        <v>-7.233118901206019E-5</v>
      </c>
    </row>
    <row r="20" spans="2:8" x14ac:dyDescent="0.2">
      <c r="B20" s="1">
        <v>44048</v>
      </c>
      <c r="C20" s="11">
        <v>3.6735583836344426E-2</v>
      </c>
      <c r="G20" s="1">
        <v>44414</v>
      </c>
      <c r="H20" s="11">
        <v>2.9283499837412953E-3</v>
      </c>
    </row>
    <row r="21" spans="2:8" x14ac:dyDescent="0.2">
      <c r="B21" s="1">
        <v>44047</v>
      </c>
      <c r="C21" s="11">
        <v>-7.4181832980718364E-3</v>
      </c>
      <c r="G21" s="1">
        <v>44413</v>
      </c>
      <c r="H21" s="11">
        <v>-2.0309698259652689E-3</v>
      </c>
    </row>
    <row r="22" spans="2:8" x14ac:dyDescent="0.2">
      <c r="B22" s="1">
        <v>44046</v>
      </c>
      <c r="C22" s="11">
        <v>-5.34030170566925E-3</v>
      </c>
      <c r="G22" s="1">
        <v>44412</v>
      </c>
      <c r="H22" s="11">
        <v>-1.1712226941425721E-2</v>
      </c>
    </row>
    <row r="23" spans="2:8" x14ac:dyDescent="0.2">
      <c r="B23" s="1">
        <v>44043</v>
      </c>
      <c r="C23" s="11">
        <v>-1.0199293362292394E-2</v>
      </c>
      <c r="G23" s="1">
        <v>44411</v>
      </c>
      <c r="H23" s="11">
        <v>7.4226382268095456E-4</v>
      </c>
    </row>
    <row r="24" spans="2:8" x14ac:dyDescent="0.2">
      <c r="B24" s="1">
        <v>44042</v>
      </c>
      <c r="C24" s="11">
        <v>6.1874726033568084E-3</v>
      </c>
      <c r="G24" s="1">
        <v>44410</v>
      </c>
      <c r="H24" s="11">
        <v>8.2443404549873093E-3</v>
      </c>
    </row>
    <row r="25" spans="2:8" x14ac:dyDescent="0.2">
      <c r="B25" s="1">
        <v>44041</v>
      </c>
      <c r="C25" s="11">
        <v>1.4945087028578699E-2</v>
      </c>
      <c r="G25" s="1">
        <v>44407</v>
      </c>
      <c r="H25" s="11">
        <v>-3.8161437063132006E-2</v>
      </c>
    </row>
    <row r="26" spans="2:8" x14ac:dyDescent="0.2">
      <c r="B26" s="1">
        <v>44040</v>
      </c>
      <c r="C26" s="11">
        <v>-9.3510619165397841E-3</v>
      </c>
      <c r="G26" s="1">
        <v>44406</v>
      </c>
      <c r="H26" s="11">
        <v>2.3693076520470155E-3</v>
      </c>
    </row>
    <row r="27" spans="2:8" x14ac:dyDescent="0.2">
      <c r="B27" s="1">
        <v>44039</v>
      </c>
      <c r="C27" s="11">
        <v>5.8370733253197155E-3</v>
      </c>
      <c r="G27" s="1">
        <v>44405</v>
      </c>
      <c r="H27" s="11">
        <v>1.9885243619874285E-3</v>
      </c>
    </row>
    <row r="28" spans="2:8" x14ac:dyDescent="0.2">
      <c r="B28" s="1">
        <v>44036</v>
      </c>
      <c r="C28" s="11">
        <v>-4.9162997261903959E-3</v>
      </c>
      <c r="G28" s="1">
        <v>44404</v>
      </c>
      <c r="H28" s="11">
        <v>-2.0789320958073249E-2</v>
      </c>
    </row>
    <row r="29" spans="2:8" x14ac:dyDescent="0.2">
      <c r="B29" s="1">
        <v>44035</v>
      </c>
      <c r="C29" s="11">
        <v>-1.5515668789554623E-2</v>
      </c>
      <c r="G29" s="1">
        <v>44403</v>
      </c>
      <c r="H29" s="11">
        <v>1.8796257213132281E-3</v>
      </c>
    </row>
    <row r="30" spans="2:8" x14ac:dyDescent="0.2">
      <c r="B30" s="1">
        <v>44034</v>
      </c>
      <c r="C30" s="11">
        <v>-4.4148331231912575E-3</v>
      </c>
      <c r="G30" s="1">
        <v>44400</v>
      </c>
      <c r="H30" s="11">
        <v>-6.2167041096695642E-3</v>
      </c>
    </row>
    <row r="31" spans="2:8" x14ac:dyDescent="0.2">
      <c r="B31" s="1">
        <v>44033</v>
      </c>
      <c r="C31" s="11">
        <v>-2.5514854397904459E-3</v>
      </c>
      <c r="G31" s="1">
        <v>44399</v>
      </c>
      <c r="H31" s="11">
        <v>3.9530929799207921E-3</v>
      </c>
    </row>
    <row r="32" spans="2:8" x14ac:dyDescent="0.2">
      <c r="B32" s="1">
        <v>44032</v>
      </c>
      <c r="C32" s="11">
        <v>2.106340626833058E-2</v>
      </c>
      <c r="G32" s="1">
        <v>44398</v>
      </c>
      <c r="H32" s="11">
        <v>-7.9910057421936475E-3</v>
      </c>
    </row>
    <row r="33" spans="2:8" x14ac:dyDescent="0.2">
      <c r="B33" s="1">
        <v>44029</v>
      </c>
      <c r="C33" s="11">
        <v>1.8109005746659558E-2</v>
      </c>
      <c r="G33" s="1">
        <v>44397</v>
      </c>
      <c r="H33" s="11">
        <v>1.2513721772212692E-2</v>
      </c>
    </row>
    <row r="34" spans="2:8" x14ac:dyDescent="0.2">
      <c r="B34" s="1">
        <v>44028</v>
      </c>
      <c r="C34" s="11">
        <v>-1.1154341754426153E-2</v>
      </c>
      <c r="G34" s="1">
        <v>44396</v>
      </c>
      <c r="H34" s="11">
        <v>-1.9890299905379244E-2</v>
      </c>
    </row>
    <row r="35" spans="2:8" x14ac:dyDescent="0.2">
      <c r="B35" s="1">
        <v>44027</v>
      </c>
      <c r="C35" s="11">
        <v>9.7706731866510424E-3</v>
      </c>
      <c r="G35" s="1">
        <v>44393</v>
      </c>
      <c r="H35" s="11">
        <v>-1.254312488291066E-2</v>
      </c>
    </row>
    <row r="36" spans="2:8" x14ac:dyDescent="0.2">
      <c r="B36" s="1">
        <v>44026</v>
      </c>
      <c r="C36" s="11">
        <v>2.2583320890377217E-2</v>
      </c>
      <c r="G36" s="1">
        <v>44392</v>
      </c>
      <c r="H36" s="11">
        <v>-1.0823581221029954E-2</v>
      </c>
    </row>
    <row r="37" spans="2:8" x14ac:dyDescent="0.2">
      <c r="B37" s="1">
        <v>44025</v>
      </c>
      <c r="C37" s="11">
        <v>-1.2156570368122925E-2</v>
      </c>
      <c r="G37" s="1">
        <v>44391</v>
      </c>
      <c r="H37" s="11">
        <v>6.0061689512160834E-3</v>
      </c>
    </row>
    <row r="38" spans="2:8" x14ac:dyDescent="0.2">
      <c r="B38" s="1">
        <v>44022</v>
      </c>
      <c r="C38" s="11">
        <v>5.9254394489647449E-3</v>
      </c>
      <c r="G38" s="1">
        <v>44390</v>
      </c>
      <c r="H38" s="11">
        <v>1.0641094325744513E-2</v>
      </c>
    </row>
    <row r="39" spans="2:8" x14ac:dyDescent="0.2">
      <c r="B39" s="1">
        <v>44021</v>
      </c>
      <c r="C39" s="11">
        <v>1.258145752340281E-3</v>
      </c>
      <c r="G39" s="1">
        <v>44389</v>
      </c>
      <c r="H39" s="11">
        <v>1.6812297910928756E-2</v>
      </c>
    </row>
    <row r="40" spans="2:8" x14ac:dyDescent="0.2">
      <c r="B40" s="1">
        <v>44020</v>
      </c>
      <c r="C40" s="11">
        <v>1.9380892789925813E-2</v>
      </c>
      <c r="G40" s="1">
        <v>44385</v>
      </c>
      <c r="H40" s="11">
        <v>-1.1266480844785343E-2</v>
      </c>
    </row>
    <row r="41" spans="2:8" x14ac:dyDescent="0.2">
      <c r="B41" s="1">
        <v>44019</v>
      </c>
      <c r="C41" s="11">
        <v>-2.9753011904548477E-3</v>
      </c>
      <c r="G41" s="1">
        <v>44384</v>
      </c>
      <c r="H41" s="11">
        <v>1.6937253605129085E-2</v>
      </c>
    </row>
    <row r="42" spans="2:8" x14ac:dyDescent="0.2">
      <c r="B42" s="1">
        <v>44018</v>
      </c>
      <c r="C42" s="11">
        <v>2.054508977534137E-2</v>
      </c>
      <c r="G42" s="1">
        <v>44383</v>
      </c>
      <c r="H42" s="11">
        <v>-7.885903148302767E-2</v>
      </c>
    </row>
    <row r="43" spans="2:8" x14ac:dyDescent="0.2">
      <c r="B43" s="1">
        <v>44015</v>
      </c>
      <c r="C43" s="11">
        <v>1.0488569645979669E-2</v>
      </c>
      <c r="G43" s="1">
        <v>44382</v>
      </c>
      <c r="H43" s="11">
        <v>-4.5231178024675934E-3</v>
      </c>
    </row>
    <row r="44" spans="2:8" x14ac:dyDescent="0.2">
      <c r="B44" s="1">
        <v>44014</v>
      </c>
      <c r="C44" s="11">
        <v>-1.7500903322278443E-3</v>
      </c>
      <c r="G44" s="1">
        <v>44379</v>
      </c>
      <c r="H44" s="11">
        <v>1.3052830024359696E-2</v>
      </c>
    </row>
    <row r="45" spans="2:8" x14ac:dyDescent="0.2">
      <c r="B45" s="1">
        <v>44013</v>
      </c>
      <c r="C45" s="11">
        <v>1.1876906544405319E-2</v>
      </c>
      <c r="G45" s="1">
        <v>44378</v>
      </c>
      <c r="H45" s="11">
        <v>-1.7121009698014382E-2</v>
      </c>
    </row>
    <row r="46" spans="2:8" x14ac:dyDescent="0.2">
      <c r="B46" s="1">
        <v>44012</v>
      </c>
      <c r="C46" s="11">
        <v>2.5542572113959714E-4</v>
      </c>
      <c r="G46" s="1">
        <v>44377</v>
      </c>
      <c r="H46" s="11">
        <v>-5.0660904819863732E-3</v>
      </c>
    </row>
    <row r="47" spans="2:8" x14ac:dyDescent="0.2">
      <c r="B47" s="1">
        <v>44011</v>
      </c>
      <c r="C47" s="11">
        <v>1.8127467376550209E-2</v>
      </c>
      <c r="G47" s="1">
        <v>44376</v>
      </c>
      <c r="H47" s="11">
        <v>1.019750718842149E-3</v>
      </c>
    </row>
    <row r="48" spans="2:8" x14ac:dyDescent="0.2">
      <c r="B48" s="1">
        <v>44008</v>
      </c>
      <c r="C48" s="11">
        <v>-2.5818667217414739E-2</v>
      </c>
      <c r="G48" s="1">
        <v>44375</v>
      </c>
      <c r="H48" s="11">
        <v>7.9076136766404789E-3</v>
      </c>
    </row>
    <row r="49" spans="2:8" x14ac:dyDescent="0.2">
      <c r="B49" s="1">
        <v>44007</v>
      </c>
      <c r="C49" s="11">
        <v>2.2867828736269011E-2</v>
      </c>
      <c r="G49" s="1">
        <v>44372</v>
      </c>
      <c r="H49" s="11">
        <v>-1.9636753487162643E-2</v>
      </c>
    </row>
    <row r="50" spans="2:8" x14ac:dyDescent="0.2">
      <c r="B50" s="1">
        <v>44006</v>
      </c>
      <c r="C50" s="11">
        <v>-1.3731952356490083E-2</v>
      </c>
      <c r="G50" s="1">
        <v>44371</v>
      </c>
      <c r="H50" s="11">
        <v>9.9561222159436531E-3</v>
      </c>
    </row>
    <row r="51" spans="2:8" x14ac:dyDescent="0.2">
      <c r="B51" s="1">
        <v>44005</v>
      </c>
      <c r="C51" s="11">
        <v>1.1914778527118319E-2</v>
      </c>
      <c r="G51" s="1">
        <v>44370</v>
      </c>
      <c r="H51" s="11">
        <v>-3.1837901211221897E-3</v>
      </c>
    </row>
    <row r="52" spans="2:8" x14ac:dyDescent="0.2">
      <c r="B52" s="1">
        <v>44004</v>
      </c>
      <c r="C52" s="11">
        <v>-5.4564749570380888E-3</v>
      </c>
      <c r="G52" s="1">
        <v>44369</v>
      </c>
      <c r="H52" s="11">
        <v>-4.3757495202439121E-3</v>
      </c>
    </row>
    <row r="53" spans="2:8" x14ac:dyDescent="0.2">
      <c r="B53" s="1">
        <v>44001</v>
      </c>
      <c r="C53" s="11">
        <v>7.508116617507739E-3</v>
      </c>
      <c r="G53" s="1">
        <v>44368</v>
      </c>
      <c r="H53" s="11">
        <v>9.1609707593208172E-3</v>
      </c>
    </row>
    <row r="54" spans="2:8" x14ac:dyDescent="0.2">
      <c r="B54" s="1">
        <v>44000</v>
      </c>
      <c r="C54" s="11">
        <v>5.6601794578504949E-3</v>
      </c>
      <c r="G54" s="1">
        <v>44365</v>
      </c>
      <c r="H54" s="11">
        <v>7.4857277089129442E-3</v>
      </c>
    </row>
    <row r="55" spans="2:8" x14ac:dyDescent="0.2">
      <c r="B55" s="1">
        <v>43999</v>
      </c>
      <c r="C55" s="11">
        <v>2.2795265867311759E-2</v>
      </c>
      <c r="G55" s="1">
        <v>44364</v>
      </c>
      <c r="H55" s="11">
        <v>-8.880664737057049E-3</v>
      </c>
    </row>
    <row r="56" spans="2:8" x14ac:dyDescent="0.2">
      <c r="B56" s="1">
        <v>43998</v>
      </c>
      <c r="C56" s="11">
        <v>-5.0665284474979829E-3</v>
      </c>
      <c r="G56" s="1">
        <v>44363</v>
      </c>
      <c r="H56" s="11">
        <v>-2.6920474586064947E-3</v>
      </c>
    </row>
    <row r="57" spans="2:8" x14ac:dyDescent="0.2">
      <c r="B57" s="1">
        <v>43997</v>
      </c>
      <c r="C57" s="11">
        <v>1.1502759162252466E-3</v>
      </c>
      <c r="G57" s="1">
        <v>44362</v>
      </c>
      <c r="H57" s="11">
        <v>3.9651184941080853E-3</v>
      </c>
    </row>
    <row r="58" spans="2:8" x14ac:dyDescent="0.2">
      <c r="B58" s="1">
        <v>43994</v>
      </c>
      <c r="C58" s="11">
        <v>-1.6351030009865271E-2</v>
      </c>
      <c r="G58" s="1">
        <v>44361</v>
      </c>
      <c r="H58" s="11">
        <v>1.0619263018780658E-2</v>
      </c>
    </row>
    <row r="59" spans="2:8" x14ac:dyDescent="0.2">
      <c r="B59" s="1">
        <v>43992</v>
      </c>
      <c r="C59" s="11">
        <v>-1.9811466028730226E-2</v>
      </c>
      <c r="G59" s="1">
        <v>44358</v>
      </c>
      <c r="H59" s="11">
        <v>-4.4628885603874915E-3</v>
      </c>
    </row>
    <row r="60" spans="2:8" x14ac:dyDescent="0.2">
      <c r="B60" s="1">
        <v>43991</v>
      </c>
      <c r="C60" s="11">
        <v>-9.1507900480778238E-4</v>
      </c>
      <c r="G60" s="1">
        <v>44357</v>
      </c>
      <c r="H60" s="11">
        <v>5.0605793233154028E-4</v>
      </c>
    </row>
    <row r="61" spans="2:8" x14ac:dyDescent="0.2">
      <c r="B61" s="1">
        <v>43990</v>
      </c>
      <c r="C61" s="11">
        <v>2.0428934658644454E-2</v>
      </c>
      <c r="G61" s="1">
        <v>44356</v>
      </c>
      <c r="H61" s="11">
        <v>2.1804420513263198E-3</v>
      </c>
    </row>
    <row r="62" spans="2:8" x14ac:dyDescent="0.2">
      <c r="B62" s="1">
        <v>43987</v>
      </c>
      <c r="C62" s="11">
        <v>-2.7473708583384093E-3</v>
      </c>
      <c r="G62" s="1">
        <v>44355</v>
      </c>
      <c r="H62" s="11">
        <v>-8.6005331696286727E-3</v>
      </c>
    </row>
    <row r="63" spans="2:8" x14ac:dyDescent="0.2">
      <c r="B63" s="1">
        <v>43986</v>
      </c>
      <c r="C63" s="11">
        <v>-2.1092376934263102E-3</v>
      </c>
      <c r="G63" s="1">
        <v>44354</v>
      </c>
      <c r="H63" s="11">
        <v>6.2617623566760938E-3</v>
      </c>
    </row>
    <row r="64" spans="2:8" x14ac:dyDescent="0.2">
      <c r="B64" s="1">
        <v>43985</v>
      </c>
      <c r="C64" s="11">
        <v>2.0812912331061955E-2</v>
      </c>
      <c r="G64" s="1">
        <v>44351</v>
      </c>
      <c r="H64" s="11">
        <v>7.9686279264743233E-3</v>
      </c>
    </row>
    <row r="65" spans="2:8" x14ac:dyDescent="0.2">
      <c r="B65" s="1">
        <v>43984</v>
      </c>
      <c r="C65" s="11">
        <v>2.746198781529377E-2</v>
      </c>
      <c r="G65" s="1">
        <v>44349</v>
      </c>
      <c r="H65" s="11">
        <v>-5.7365761111148883E-3</v>
      </c>
    </row>
    <row r="66" spans="2:8" x14ac:dyDescent="0.2">
      <c r="B66" s="1">
        <v>43983</v>
      </c>
      <c r="C66" s="11">
        <v>1.483708312884501E-2</v>
      </c>
      <c r="G66" s="1">
        <v>44348</v>
      </c>
      <c r="H66" s="11">
        <v>1.1690617975320849E-2</v>
      </c>
    </row>
    <row r="67" spans="2:8" x14ac:dyDescent="0.2">
      <c r="B67" s="1">
        <v>43980</v>
      </c>
      <c r="C67" s="11">
        <v>5.5770186433855909E-3</v>
      </c>
      <c r="G67" s="1">
        <v>44347</v>
      </c>
      <c r="H67" s="11">
        <v>3.9982741713253129E-3</v>
      </c>
    </row>
    <row r="68" spans="2:8" x14ac:dyDescent="0.2">
      <c r="B68" s="1">
        <v>43979</v>
      </c>
      <c r="C68" s="11">
        <v>-1.8045922211656715E-2</v>
      </c>
      <c r="G68" s="1">
        <v>44344</v>
      </c>
      <c r="H68" s="11">
        <v>1.5663022341610162E-2</v>
      </c>
    </row>
    <row r="69" spans="2:8" x14ac:dyDescent="0.2">
      <c r="B69" s="1">
        <v>43978</v>
      </c>
      <c r="C69" s="11">
        <v>3.5724305763390536E-2</v>
      </c>
      <c r="G69" s="1">
        <v>44343</v>
      </c>
      <c r="H69" s="11">
        <v>6.5620562143979448E-3</v>
      </c>
    </row>
    <row r="70" spans="2:8" x14ac:dyDescent="0.2">
      <c r="B70" s="1">
        <v>43977</v>
      </c>
      <c r="C70" s="11">
        <v>-1.792481206977053E-3</v>
      </c>
      <c r="G70" s="1">
        <v>44342</v>
      </c>
      <c r="H70" s="11">
        <v>6.8964744571549559E-3</v>
      </c>
    </row>
    <row r="71" spans="2:8" x14ac:dyDescent="0.2">
      <c r="B71" s="1">
        <v>43976</v>
      </c>
      <c r="C71" s="11">
        <v>2.9018980267741936E-2</v>
      </c>
      <c r="G71" s="1">
        <v>44341</v>
      </c>
      <c r="H71" s="11">
        <v>-6.8737475436754679E-3</v>
      </c>
    </row>
    <row r="72" spans="2:8" x14ac:dyDescent="0.2">
      <c r="B72" s="1">
        <v>43973</v>
      </c>
      <c r="C72" s="11">
        <v>-2.1147729040182896E-2</v>
      </c>
      <c r="G72" s="1">
        <v>44340</v>
      </c>
      <c r="H72" s="11">
        <v>1.4727494021283559E-2</v>
      </c>
    </row>
    <row r="73" spans="2:8" x14ac:dyDescent="0.2">
      <c r="B73" s="1">
        <v>43972</v>
      </c>
      <c r="C73" s="11">
        <v>2.3278127926305722E-2</v>
      </c>
      <c r="G73" s="1">
        <v>44337</v>
      </c>
      <c r="H73" s="11">
        <v>-6.8494839145566352E-3</v>
      </c>
    </row>
    <row r="74" spans="2:8" x14ac:dyDescent="0.2">
      <c r="B74" s="1">
        <v>43971</v>
      </c>
      <c r="C74" s="11">
        <v>3.7787792809075055E-3</v>
      </c>
      <c r="G74" s="1">
        <v>44336</v>
      </c>
      <c r="H74" s="11">
        <v>2.2093417118241015E-3</v>
      </c>
    </row>
    <row r="75" spans="2:8" x14ac:dyDescent="0.2">
      <c r="B75" s="1">
        <v>43970</v>
      </c>
      <c r="C75" s="11">
        <v>1.9042264825458868E-2</v>
      </c>
      <c r="G75" s="1">
        <v>44335</v>
      </c>
      <c r="H75" s="11">
        <v>-8.5438548724419607E-3</v>
      </c>
    </row>
    <row r="76" spans="2:8" x14ac:dyDescent="0.2">
      <c r="B76" s="1">
        <v>43969</v>
      </c>
      <c r="C76" s="11">
        <v>4.4901978290233791E-2</v>
      </c>
      <c r="G76" s="1">
        <v>44334</v>
      </c>
      <c r="H76" s="11">
        <v>-5.1428366998880837E-3</v>
      </c>
    </row>
    <row r="77" spans="2:8" x14ac:dyDescent="0.2">
      <c r="B77" s="1">
        <v>43966</v>
      </c>
      <c r="C77" s="11">
        <v>-3.7906283008417169E-3</v>
      </c>
      <c r="G77" s="1">
        <v>44333</v>
      </c>
      <c r="H77" s="11">
        <v>8.2426555948400832E-3</v>
      </c>
    </row>
    <row r="78" spans="2:8" x14ac:dyDescent="0.2">
      <c r="B78" s="1">
        <v>43965</v>
      </c>
      <c r="C78" s="11">
        <v>-1.6565741981596413E-3</v>
      </c>
      <c r="G78" s="1">
        <v>44330</v>
      </c>
      <c r="H78" s="11">
        <v>1.2815045828752904E-2</v>
      </c>
    </row>
    <row r="79" spans="2:8" x14ac:dyDescent="0.2">
      <c r="B79" s="1">
        <v>43964</v>
      </c>
      <c r="C79" s="11">
        <v>1.1065881085668512E-2</v>
      </c>
      <c r="G79" s="1">
        <v>44329</v>
      </c>
      <c r="H79" s="11">
        <v>2.9456024240794914E-3</v>
      </c>
    </row>
    <row r="80" spans="2:8" x14ac:dyDescent="0.2">
      <c r="B80" s="1">
        <v>43963</v>
      </c>
      <c r="C80" s="11">
        <v>-1.7096067548108038E-2</v>
      </c>
      <c r="G80" s="1">
        <v>44328</v>
      </c>
      <c r="H80" s="11">
        <v>-3.470345483837653E-2</v>
      </c>
    </row>
    <row r="81" spans="2:8" x14ac:dyDescent="0.2">
      <c r="B81" s="1">
        <v>43962</v>
      </c>
      <c r="C81" s="11">
        <v>-1.9995363360439108E-2</v>
      </c>
      <c r="G81" s="1">
        <v>44327</v>
      </c>
      <c r="H81" s="11">
        <v>7.0975436935896297E-3</v>
      </c>
    </row>
    <row r="82" spans="2:8" x14ac:dyDescent="0.2">
      <c r="B82" s="1">
        <v>43959</v>
      </c>
      <c r="C82" s="11">
        <v>2.2787759034129711E-2</v>
      </c>
      <c r="G82" s="1">
        <v>44326</v>
      </c>
      <c r="H82" s="11">
        <v>-4.1167439694669086E-3</v>
      </c>
    </row>
    <row r="83" spans="2:8" x14ac:dyDescent="0.2">
      <c r="B83" s="1">
        <v>43958</v>
      </c>
      <c r="C83" s="11">
        <v>-9.5130055847262932E-3</v>
      </c>
      <c r="G83" s="1">
        <v>44323</v>
      </c>
      <c r="H83" s="11">
        <v>2.1887277708123945E-2</v>
      </c>
    </row>
    <row r="84" spans="2:8" x14ac:dyDescent="0.2">
      <c r="B84" s="1">
        <v>43957</v>
      </c>
      <c r="C84" s="11">
        <v>3.1380249978794515E-3</v>
      </c>
      <c r="G84" s="1">
        <v>44322</v>
      </c>
      <c r="H84" s="11">
        <v>4.3385156605729882E-5</v>
      </c>
    </row>
    <row r="85" spans="2:8" x14ac:dyDescent="0.2">
      <c r="B85" s="1">
        <v>43956</v>
      </c>
      <c r="C85" s="11">
        <v>1.4839293878607111E-2</v>
      </c>
      <c r="G85" s="1">
        <v>44321</v>
      </c>
      <c r="H85" s="11">
        <v>1.5187346784059995E-2</v>
      </c>
    </row>
    <row r="86" spans="2:8" x14ac:dyDescent="0.2">
      <c r="B86" s="1">
        <v>43955</v>
      </c>
      <c r="C86" s="11">
        <v>-2.1422527727874476E-2</v>
      </c>
      <c r="G86" s="1">
        <v>44320</v>
      </c>
      <c r="H86" s="11">
        <v>-7.1978093164583156E-3</v>
      </c>
    </row>
    <row r="87" spans="2:8" x14ac:dyDescent="0.2">
      <c r="B87" s="1">
        <v>43951</v>
      </c>
      <c r="C87" s="11">
        <v>-3.9738153307119072E-2</v>
      </c>
      <c r="G87" s="1">
        <v>44319</v>
      </c>
      <c r="H87" s="11">
        <v>3.9193107229240909E-3</v>
      </c>
    </row>
    <row r="88" spans="2:8" x14ac:dyDescent="0.2">
      <c r="B88" s="1">
        <v>43950</v>
      </c>
      <c r="C88" s="11">
        <v>2.0521137723520138E-2</v>
      </c>
      <c r="G88" s="1">
        <v>44316</v>
      </c>
      <c r="H88" s="11">
        <v>-1.3282292767502604E-2</v>
      </c>
    </row>
    <row r="89" spans="2:8" x14ac:dyDescent="0.2">
      <c r="B89" s="1">
        <v>43949</v>
      </c>
      <c r="C89" s="11">
        <v>3.4121333611472786E-2</v>
      </c>
      <c r="G89" s="1">
        <v>44315</v>
      </c>
      <c r="H89" s="11">
        <v>-1.0668554951734868E-2</v>
      </c>
    </row>
    <row r="90" spans="2:8" x14ac:dyDescent="0.2">
      <c r="B90" s="1">
        <v>43948</v>
      </c>
      <c r="C90" s="11">
        <v>3.1851487818247259E-2</v>
      </c>
      <c r="G90" s="1">
        <v>44314</v>
      </c>
      <c r="H90" s="11">
        <v>1.3878335556615908E-2</v>
      </c>
    </row>
    <row r="91" spans="2:8" x14ac:dyDescent="0.2">
      <c r="B91" s="1">
        <v>43945</v>
      </c>
      <c r="C91" s="11">
        <v>-5.0489188244490543E-2</v>
      </c>
      <c r="G91" s="1">
        <v>44313</v>
      </c>
      <c r="H91" s="11">
        <v>-9.5356556893114799E-3</v>
      </c>
    </row>
    <row r="92" spans="2:8" x14ac:dyDescent="0.2">
      <c r="B92" s="1">
        <v>43944</v>
      </c>
      <c r="C92" s="11">
        <v>-1.8396009333199168E-2</v>
      </c>
      <c r="G92" s="1">
        <v>44312</v>
      </c>
      <c r="H92" s="11">
        <v>-3.9146745139308076E-3</v>
      </c>
    </row>
    <row r="93" spans="2:8" x14ac:dyDescent="0.2">
      <c r="B93" s="1">
        <v>43943</v>
      </c>
      <c r="C93" s="11">
        <v>5.388037903418616E-2</v>
      </c>
      <c r="G93" s="1">
        <v>44309</v>
      </c>
      <c r="H93" s="11">
        <v>1.3719701405888629E-2</v>
      </c>
    </row>
    <row r="94" spans="2:8" x14ac:dyDescent="0.2">
      <c r="B94" s="1">
        <v>43941</v>
      </c>
      <c r="C94" s="11">
        <v>2.7052674240729047E-2</v>
      </c>
      <c r="G94" s="1">
        <v>44308</v>
      </c>
      <c r="H94" s="11">
        <v>-1.4805253978894222E-2</v>
      </c>
    </row>
    <row r="95" spans="2:8" x14ac:dyDescent="0.2">
      <c r="B95" s="1">
        <v>43938</v>
      </c>
      <c r="C95" s="11">
        <v>3.4217980476533856E-2</v>
      </c>
      <c r="G95" s="1">
        <v>44306</v>
      </c>
      <c r="H95" s="11">
        <v>-6.714175172062904E-3</v>
      </c>
    </row>
    <row r="96" spans="2:8" x14ac:dyDescent="0.2">
      <c r="B96" s="1">
        <v>43937</v>
      </c>
      <c r="C96" s="11">
        <v>-6.130809579794165E-3</v>
      </c>
      <c r="G96" s="1">
        <v>44305</v>
      </c>
      <c r="H96" s="11">
        <v>2.8444085629418833E-5</v>
      </c>
    </row>
    <row r="97" spans="2:8" x14ac:dyDescent="0.2">
      <c r="B97" s="1">
        <v>43936</v>
      </c>
      <c r="C97" s="11">
        <v>-7.4959646794551648E-3</v>
      </c>
      <c r="G97" s="1">
        <v>44302</v>
      </c>
      <c r="H97" s="11">
        <v>2.0650341153951681E-3</v>
      </c>
    </row>
    <row r="98" spans="2:8" x14ac:dyDescent="0.2">
      <c r="B98" s="1">
        <v>43935</v>
      </c>
      <c r="C98" s="11">
        <v>1.7379072570442407E-2</v>
      </c>
      <c r="G98" s="1">
        <v>44301</v>
      </c>
      <c r="H98" s="11">
        <v>4.7408280054004734E-3</v>
      </c>
    </row>
    <row r="99" spans="2:8" x14ac:dyDescent="0.2">
      <c r="B99" s="1">
        <v>43934</v>
      </c>
      <c r="C99" s="11">
        <v>3.5030517486769638E-3</v>
      </c>
      <c r="G99" s="1">
        <v>44300</v>
      </c>
      <c r="H99" s="11">
        <v>-4.5612269804451095E-3</v>
      </c>
    </row>
    <row r="100" spans="2:8" x14ac:dyDescent="0.2">
      <c r="B100" s="1">
        <v>43930</v>
      </c>
      <c r="C100" s="11">
        <v>-2.8220812955928543E-2</v>
      </c>
      <c r="G100" s="1">
        <v>44299</v>
      </c>
      <c r="H100" s="11">
        <v>1.1688360806251796E-2</v>
      </c>
    </row>
    <row r="101" spans="2:8" x14ac:dyDescent="0.2">
      <c r="B101" s="1">
        <v>43929</v>
      </c>
      <c r="C101" s="11">
        <v>3.1908589805926015E-2</v>
      </c>
      <c r="G101" s="1">
        <v>44298</v>
      </c>
      <c r="H101" s="11">
        <v>2.8043463124769459E-3</v>
      </c>
    </row>
    <row r="102" spans="2:8" x14ac:dyDescent="0.2">
      <c r="B102" s="1">
        <v>43928</v>
      </c>
      <c r="C102" s="11">
        <v>2.7832037703259944E-2</v>
      </c>
      <c r="G102" s="1">
        <v>44295</v>
      </c>
      <c r="H102" s="11">
        <v>-2.2450264749880179E-3</v>
      </c>
    </row>
    <row r="103" spans="2:8" x14ac:dyDescent="0.2">
      <c r="B103" s="1">
        <v>43927</v>
      </c>
      <c r="C103" s="11">
        <v>8.7196352866316496E-2</v>
      </c>
      <c r="G103" s="1">
        <v>44294</v>
      </c>
      <c r="H103" s="11">
        <v>2.6472578213831612E-3</v>
      </c>
    </row>
    <row r="104" spans="2:8" x14ac:dyDescent="0.2">
      <c r="B104" s="1">
        <v>43924</v>
      </c>
      <c r="C104" s="11">
        <v>-4.6429324443328368E-2</v>
      </c>
      <c r="G104" s="1">
        <v>44293</v>
      </c>
      <c r="H104" s="11">
        <v>-2.8561745669577611E-3</v>
      </c>
    </row>
    <row r="105" spans="2:8" x14ac:dyDescent="0.2">
      <c r="B105" s="1">
        <v>43923</v>
      </c>
      <c r="C105" s="11">
        <v>4.2121929986381146E-2</v>
      </c>
      <c r="G105" s="1">
        <v>44292</v>
      </c>
      <c r="H105" s="11">
        <v>9.4200815791136636E-3</v>
      </c>
    </row>
    <row r="106" spans="2:8" x14ac:dyDescent="0.2">
      <c r="B106" s="1">
        <v>43922</v>
      </c>
      <c r="C106" s="11">
        <v>-1.9281874106553402E-2</v>
      </c>
      <c r="G106" s="1">
        <v>44291</v>
      </c>
      <c r="H106" s="11">
        <v>1.7839708909210484E-2</v>
      </c>
    </row>
    <row r="107" spans="2:8" x14ac:dyDescent="0.2">
      <c r="B107" s="1">
        <v>43921</v>
      </c>
      <c r="C107" s="11">
        <v>-2.3979278881185805E-2</v>
      </c>
      <c r="G107" s="1">
        <v>44287</v>
      </c>
      <c r="H107" s="11">
        <v>-5.8085275914246705E-3</v>
      </c>
    </row>
    <row r="108" spans="2:8" x14ac:dyDescent="0.2">
      <c r="B108" s="1">
        <v>43920</v>
      </c>
      <c r="C108" s="11">
        <v>-6.6919793697721563E-3</v>
      </c>
      <c r="G108" s="1">
        <v>44286</v>
      </c>
      <c r="H108" s="11">
        <v>-4.3137560572307047E-3</v>
      </c>
    </row>
    <row r="109" spans="2:8" x14ac:dyDescent="0.2">
      <c r="B109" s="1">
        <v>43917</v>
      </c>
      <c r="C109" s="11">
        <v>-5.7883713775098711E-2</v>
      </c>
      <c r="G109" s="1">
        <v>44285</v>
      </c>
      <c r="H109" s="11">
        <v>2.1367419471328579E-2</v>
      </c>
    </row>
    <row r="110" spans="2:8" x14ac:dyDescent="0.2">
      <c r="B110" s="1">
        <v>43916</v>
      </c>
      <c r="C110" s="11">
        <v>2.4760044709959187E-2</v>
      </c>
      <c r="G110" s="1">
        <v>44284</v>
      </c>
      <c r="H110" s="11">
        <v>-1.6104181584030925E-3</v>
      </c>
    </row>
    <row r="111" spans="2:8" x14ac:dyDescent="0.2">
      <c r="B111" s="1">
        <v>43915</v>
      </c>
      <c r="C111" s="11">
        <v>0.10715768393027206</v>
      </c>
      <c r="G111" s="1">
        <v>44281</v>
      </c>
      <c r="H111" s="11">
        <v>5.6478148590038786E-3</v>
      </c>
    </row>
    <row r="112" spans="2:8" x14ac:dyDescent="0.2">
      <c r="B112" s="1">
        <v>43914</v>
      </c>
      <c r="C112" s="11">
        <v>0.11317498619116877</v>
      </c>
      <c r="G112" s="1">
        <v>44280</v>
      </c>
      <c r="H112" s="11">
        <v>4.868983769488567E-3</v>
      </c>
    </row>
    <row r="113" spans="2:8" x14ac:dyDescent="0.2">
      <c r="B113" s="1">
        <v>43913</v>
      </c>
      <c r="C113" s="11">
        <v>-4.4062832626019684E-2</v>
      </c>
      <c r="G113" s="1">
        <v>44279</v>
      </c>
      <c r="H113" s="11">
        <v>-1.4767490485568795E-2</v>
      </c>
    </row>
    <row r="114" spans="2:8" x14ac:dyDescent="0.2">
      <c r="B114" s="1">
        <v>43910</v>
      </c>
      <c r="C114" s="11">
        <v>-5.0130966033054523E-3</v>
      </c>
      <c r="G114" s="1">
        <v>44278</v>
      </c>
      <c r="H114" s="11">
        <v>-7.9114819387780134E-3</v>
      </c>
    </row>
    <row r="115" spans="2:8" x14ac:dyDescent="0.2">
      <c r="B115" s="1">
        <v>43909</v>
      </c>
      <c r="C115" s="11">
        <v>5.9194070105611361E-2</v>
      </c>
      <c r="G115" s="1">
        <v>44277</v>
      </c>
      <c r="H115" s="11">
        <v>-8.0073290730090039E-3</v>
      </c>
    </row>
    <row r="116" spans="2:8" x14ac:dyDescent="0.2">
      <c r="B116" s="1">
        <v>43908</v>
      </c>
      <c r="C116" s="11">
        <v>-0.11755262048577649</v>
      </c>
      <c r="G116" s="1">
        <v>44274</v>
      </c>
      <c r="H116" s="11">
        <v>2.4193751635212771E-2</v>
      </c>
    </row>
    <row r="117" spans="2:8" x14ac:dyDescent="0.2">
      <c r="B117" s="1">
        <v>43907</v>
      </c>
      <c r="C117" s="11">
        <v>2.345767370887409E-2</v>
      </c>
      <c r="G117" s="1">
        <v>44273</v>
      </c>
      <c r="H117" s="11">
        <v>-1.881319094349683E-2</v>
      </c>
    </row>
    <row r="118" spans="2:8" x14ac:dyDescent="0.2">
      <c r="B118" s="1">
        <v>43906</v>
      </c>
      <c r="C118" s="11">
        <v>-0.16829943856372809</v>
      </c>
      <c r="G118" s="1">
        <v>44272</v>
      </c>
      <c r="H118" s="11">
        <v>2.3955097244390915E-2</v>
      </c>
    </row>
    <row r="119" spans="2:8" x14ac:dyDescent="0.2">
      <c r="B119" s="1">
        <v>43903</v>
      </c>
      <c r="C119" s="11">
        <v>0.12370881961332583</v>
      </c>
      <c r="G119" s="1">
        <v>44271</v>
      </c>
      <c r="H119" s="11">
        <v>-6.8056331779300667E-3</v>
      </c>
    </row>
    <row r="120" spans="2:8" x14ac:dyDescent="0.2">
      <c r="B120" s="1">
        <v>43902</v>
      </c>
      <c r="C120" s="11">
        <v>-0.15190456470971417</v>
      </c>
      <c r="G120" s="1">
        <v>44270</v>
      </c>
      <c r="H120" s="11">
        <v>2.6908779419353062E-3</v>
      </c>
    </row>
    <row r="121" spans="2:8" x14ac:dyDescent="0.2">
      <c r="B121" s="1">
        <v>43901</v>
      </c>
      <c r="C121" s="11">
        <v>-7.9440438328311699E-2</v>
      </c>
      <c r="G121" s="1">
        <v>44267</v>
      </c>
      <c r="H121" s="11">
        <v>-5.4333008399454468E-3</v>
      </c>
    </row>
    <row r="122" spans="2:8" x14ac:dyDescent="0.2">
      <c r="B122" s="1">
        <v>43900</v>
      </c>
      <c r="C122" s="11">
        <v>8.304050155845423E-2</v>
      </c>
      <c r="G122" s="1">
        <v>44266</v>
      </c>
      <c r="H122" s="11">
        <v>2.7893146606475478E-2</v>
      </c>
    </row>
    <row r="123" spans="2:8" x14ac:dyDescent="0.2">
      <c r="B123" s="1">
        <v>43899</v>
      </c>
      <c r="C123" s="11">
        <v>-0.12742990154328332</v>
      </c>
      <c r="G123" s="1">
        <v>44265</v>
      </c>
      <c r="H123" s="11">
        <v>1.493156588887954E-2</v>
      </c>
    </row>
    <row r="124" spans="2:8" x14ac:dyDescent="0.2">
      <c r="B124" s="1">
        <v>43896</v>
      </c>
      <c r="C124" s="11">
        <v>-4.4401142701907585E-2</v>
      </c>
      <c r="G124" s="1">
        <v>44264</v>
      </c>
      <c r="H124" s="11">
        <v>-2.6283801444501485E-3</v>
      </c>
    </row>
    <row r="125" spans="2:8" x14ac:dyDescent="0.2">
      <c r="B125" s="1">
        <v>43895</v>
      </c>
      <c r="C125" s="11">
        <v>-4.4884258551644393E-2</v>
      </c>
      <c r="G125" s="1">
        <v>44263</v>
      </c>
      <c r="H125" s="11">
        <v>-5.6242762434017997E-2</v>
      </c>
    </row>
    <row r="126" spans="2:8" x14ac:dyDescent="0.2">
      <c r="B126" s="1">
        <v>43894</v>
      </c>
      <c r="C126" s="11">
        <v>2.3513206271041122E-2</v>
      </c>
      <c r="G126" s="1">
        <v>44260</v>
      </c>
      <c r="H126" s="11">
        <v>2.2687390121247784E-2</v>
      </c>
    </row>
    <row r="127" spans="2:8" x14ac:dyDescent="0.2">
      <c r="B127" s="1">
        <v>43893</v>
      </c>
      <c r="C127" s="11">
        <v>-2.7581713961609853E-3</v>
      </c>
      <c r="G127" s="1">
        <v>44259</v>
      </c>
      <c r="H127" s="11">
        <v>1.3393429136128137E-2</v>
      </c>
    </row>
    <row r="128" spans="2:8" x14ac:dyDescent="0.2">
      <c r="B128" s="1">
        <v>43892</v>
      </c>
      <c r="C128" s="11">
        <v>2.4839284677426396E-2</v>
      </c>
      <c r="G128" s="1">
        <v>44258</v>
      </c>
      <c r="H128" s="11">
        <v>-9.3300191184168199E-3</v>
      </c>
    </row>
    <row r="129" spans="2:8" x14ac:dyDescent="0.2">
      <c r="B129" s="1">
        <v>43889</v>
      </c>
      <c r="C129" s="11">
        <v>-4.4951811230640516E-4</v>
      </c>
      <c r="G129" s="1">
        <v>44257</v>
      </c>
      <c r="H129" s="11">
        <v>5.9003696606285232E-3</v>
      </c>
    </row>
    <row r="130" spans="2:8" x14ac:dyDescent="0.2">
      <c r="B130" s="1">
        <v>43888</v>
      </c>
      <c r="C130" s="11">
        <v>-9.8736362042765313E-2</v>
      </c>
      <c r="G130" s="1">
        <v>44256</v>
      </c>
      <c r="H130" s="11">
        <v>6.4413526592451177E-3</v>
      </c>
    </row>
    <row r="131" spans="2:8" x14ac:dyDescent="0.2">
      <c r="B131" s="1">
        <v>43882</v>
      </c>
      <c r="C131" s="11">
        <v>2.2837054947939845E-3</v>
      </c>
      <c r="G131" s="1">
        <v>44253</v>
      </c>
      <c r="H131" s="11">
        <v>-2.5371491190476964E-2</v>
      </c>
    </row>
    <row r="132" spans="2:8" x14ac:dyDescent="0.2">
      <c r="B132" s="1">
        <v>43881</v>
      </c>
      <c r="C132" s="11">
        <v>-1.2687023628978293E-2</v>
      </c>
      <c r="G132" s="1">
        <v>44252</v>
      </c>
      <c r="H132" s="11">
        <v>-2.4318918966673483E-2</v>
      </c>
    </row>
    <row r="133" spans="2:8" x14ac:dyDescent="0.2">
      <c r="B133" s="1">
        <v>43880</v>
      </c>
      <c r="C133" s="11">
        <v>1.1835445093086379E-2</v>
      </c>
      <c r="G133" s="1">
        <v>44251</v>
      </c>
      <c r="H133" s="11">
        <v>-8.8441828716115693E-4</v>
      </c>
    </row>
    <row r="134" spans="2:8" x14ac:dyDescent="0.2">
      <c r="B134" s="1">
        <v>43879</v>
      </c>
      <c r="C134" s="11">
        <v>1.9435943305088756E-3</v>
      </c>
      <c r="G134" s="1">
        <v>44250</v>
      </c>
      <c r="H134" s="11">
        <v>1.9818471198714961E-3</v>
      </c>
    </row>
    <row r="135" spans="2:8" x14ac:dyDescent="0.2">
      <c r="B135" s="1">
        <v>43878</v>
      </c>
      <c r="C135" s="11">
        <v>9.5014246736791971E-3</v>
      </c>
      <c r="G135" s="1">
        <v>44249</v>
      </c>
      <c r="H135" s="11">
        <v>-1.1849821594449601E-2</v>
      </c>
    </row>
    <row r="136" spans="2:8" x14ac:dyDescent="0.2">
      <c r="B136" s="1">
        <v>43875</v>
      </c>
      <c r="C136" s="11">
        <v>-8.618560431451738E-3</v>
      </c>
      <c r="G136" s="1">
        <v>44246</v>
      </c>
      <c r="H136" s="11">
        <v>-4.3522858691666996E-3</v>
      </c>
    </row>
    <row r="137" spans="2:8" x14ac:dyDescent="0.2">
      <c r="B137" s="1">
        <v>43874</v>
      </c>
      <c r="C137" s="11">
        <v>-4.0122449341718908E-3</v>
      </c>
      <c r="G137" s="1">
        <v>44245</v>
      </c>
      <c r="H137" s="11">
        <v>-3.4836716614604002E-3</v>
      </c>
    </row>
    <row r="138" spans="2:8" x14ac:dyDescent="0.2">
      <c r="B138" s="1">
        <v>43873</v>
      </c>
      <c r="C138" s="11">
        <v>2.3484739404045392E-2</v>
      </c>
      <c r="G138" s="1">
        <v>44239</v>
      </c>
      <c r="H138" s="11">
        <v>3.6917540015043485E-3</v>
      </c>
    </row>
    <row r="139" spans="2:8" x14ac:dyDescent="0.2">
      <c r="B139" s="1">
        <v>43872</v>
      </c>
      <c r="C139" s="11">
        <v>2.6879806667996633E-2</v>
      </c>
      <c r="G139" s="1">
        <v>44238</v>
      </c>
      <c r="H139" s="11">
        <v>3.3838760630695557E-3</v>
      </c>
    </row>
    <row r="140" spans="2:8" x14ac:dyDescent="0.2">
      <c r="B140" s="1">
        <v>43871</v>
      </c>
      <c r="C140" s="11">
        <v>-1.4486151215475295E-2</v>
      </c>
      <c r="G140" s="1">
        <v>44237</v>
      </c>
      <c r="H140" s="11">
        <v>-1.067100311404846E-2</v>
      </c>
    </row>
    <row r="141" spans="2:8" x14ac:dyDescent="0.2">
      <c r="B141" s="1">
        <v>43868</v>
      </c>
      <c r="C141" s="11">
        <v>-1.7302292630252882E-2</v>
      </c>
      <c r="G141" s="1">
        <v>44236</v>
      </c>
      <c r="H141" s="11">
        <v>-7.412401087053086E-3</v>
      </c>
    </row>
    <row r="142" spans="2:8" x14ac:dyDescent="0.2">
      <c r="B142" s="1">
        <v>43867</v>
      </c>
      <c r="C142" s="11">
        <v>-1.0518457699035234E-2</v>
      </c>
      <c r="G142" s="1">
        <v>44235</v>
      </c>
      <c r="H142" s="11">
        <v>-6.759884431636571E-3</v>
      </c>
    </row>
    <row r="143" spans="2:8" x14ac:dyDescent="0.2">
      <c r="B143" s="1">
        <v>43866</v>
      </c>
      <c r="C143" s="11">
        <v>6.6140796409360359E-4</v>
      </c>
      <c r="G143" s="1">
        <v>44232</v>
      </c>
      <c r="H143" s="11">
        <v>5.3904487067613395E-3</v>
      </c>
    </row>
    <row r="144" spans="2:8" x14ac:dyDescent="0.2">
      <c r="B144" s="1">
        <v>43865</v>
      </c>
      <c r="C144" s="11">
        <v>8.2183317608781337E-3</v>
      </c>
      <c r="G144" s="1">
        <v>44231</v>
      </c>
      <c r="H144" s="11">
        <v>-5.746943904508018E-3</v>
      </c>
    </row>
    <row r="145" spans="2:8" x14ac:dyDescent="0.2">
      <c r="B145" s="1">
        <v>43864</v>
      </c>
      <c r="C145" s="11">
        <v>6.9910907614781602E-3</v>
      </c>
      <c r="G145" s="1">
        <v>44230</v>
      </c>
      <c r="H145" s="11">
        <v>1.8136912517632317E-2</v>
      </c>
    </row>
    <row r="146" spans="2:8" x14ac:dyDescent="0.2">
      <c r="B146" s="1">
        <v>43861</v>
      </c>
      <c r="C146" s="11">
        <v>-8.7117958007756555E-3</v>
      </c>
      <c r="G146" s="1">
        <v>44229</v>
      </c>
      <c r="H146" s="11">
        <v>1.4434978359455853E-2</v>
      </c>
    </row>
    <row r="147" spans="2:8" x14ac:dyDescent="0.2">
      <c r="B147" s="1">
        <v>43860</v>
      </c>
      <c r="C147" s="11">
        <v>-9.2167480687089017E-3</v>
      </c>
      <c r="G147" s="1">
        <v>44228</v>
      </c>
      <c r="H147" s="11">
        <v>1.1428484799490192E-2</v>
      </c>
    </row>
    <row r="148" spans="2:8" x14ac:dyDescent="0.2">
      <c r="B148" s="1">
        <v>43859</v>
      </c>
      <c r="C148" s="11">
        <v>3.1449852101494932E-3</v>
      </c>
      <c r="G148" s="1">
        <v>44225</v>
      </c>
      <c r="H148" s="11">
        <v>-2.8893677070487709E-2</v>
      </c>
    </row>
    <row r="149" spans="2:8" x14ac:dyDescent="0.2">
      <c r="B149" s="1">
        <v>43858</v>
      </c>
      <c r="C149" s="11">
        <v>1.58696417532187E-2</v>
      </c>
      <c r="G149" s="1">
        <v>44224</v>
      </c>
      <c r="H149" s="11">
        <v>2.4034720119840178E-2</v>
      </c>
    </row>
    <row r="150" spans="2:8" x14ac:dyDescent="0.2">
      <c r="B150" s="1">
        <v>43857</v>
      </c>
      <c r="C150" s="11">
        <v>-3.0195222669563253E-2</v>
      </c>
      <c r="G150" s="1">
        <v>44223</v>
      </c>
      <c r="H150" s="11">
        <v>-1.9616501434597268E-3</v>
      </c>
    </row>
    <row r="151" spans="2:8" x14ac:dyDescent="0.2">
      <c r="B151" s="1">
        <v>43854</v>
      </c>
      <c r="C151" s="11">
        <v>-8.1044327064185781E-3</v>
      </c>
      <c r="G151" s="1">
        <v>44222</v>
      </c>
      <c r="H151" s="11">
        <v>-1.9663678207296042E-3</v>
      </c>
    </row>
    <row r="152" spans="2:8" x14ac:dyDescent="0.2">
      <c r="B152" s="1">
        <v>43853</v>
      </c>
      <c r="C152" s="11">
        <v>1.2056268704506403E-2</v>
      </c>
      <c r="G152" s="1">
        <v>44218</v>
      </c>
      <c r="H152" s="11">
        <v>-9.676804415797248E-3</v>
      </c>
    </row>
    <row r="153" spans="2:8" x14ac:dyDescent="0.2">
      <c r="B153" s="1">
        <v>43852</v>
      </c>
      <c r="C153" s="11">
        <v>9.4017645305890865E-3</v>
      </c>
      <c r="G153" s="1">
        <v>44217</v>
      </c>
      <c r="H153" s="11">
        <v>-1.2472881049436399E-2</v>
      </c>
    </row>
    <row r="154" spans="2:8" x14ac:dyDescent="0.2">
      <c r="B154" s="1">
        <v>43851</v>
      </c>
      <c r="C154" s="11">
        <v>-2.5163311577472572E-3</v>
      </c>
      <c r="G154" s="1">
        <v>44216</v>
      </c>
      <c r="H154" s="11">
        <v>-1.3112639331106536E-3</v>
      </c>
    </row>
    <row r="155" spans="2:8" x14ac:dyDescent="0.2">
      <c r="B155" s="1">
        <v>43850</v>
      </c>
      <c r="C155" s="11">
        <v>8.2405960013854414E-3</v>
      </c>
      <c r="G155" s="1">
        <v>44215</v>
      </c>
      <c r="H155" s="11">
        <v>-6.7775320250195532E-4</v>
      </c>
    </row>
    <row r="156" spans="2:8" x14ac:dyDescent="0.2">
      <c r="B156" s="1">
        <v>43847</v>
      </c>
      <c r="C156" s="11">
        <v>1.5688192515458207E-2</v>
      </c>
      <c r="G156" s="1">
        <v>44214</v>
      </c>
      <c r="H156" s="11">
        <v>5.700169930062584E-3</v>
      </c>
    </row>
    <row r="157" spans="2:8" x14ac:dyDescent="0.2">
      <c r="B157" s="1">
        <v>43846</v>
      </c>
      <c r="C157" s="11">
        <v>3.1800675091814348E-3</v>
      </c>
      <c r="G157" s="1">
        <v>44211</v>
      </c>
      <c r="H157" s="11">
        <v>-1.7393110860738931E-2</v>
      </c>
    </row>
    <row r="158" spans="2:8" x14ac:dyDescent="0.2">
      <c r="B158" s="1">
        <v>43845</v>
      </c>
      <c r="C158" s="11">
        <v>-7.4030693990265999E-3</v>
      </c>
      <c r="G158" s="1">
        <v>44210</v>
      </c>
      <c r="H158" s="11">
        <v>1.37755511393631E-2</v>
      </c>
    </row>
    <row r="159" spans="2:8" x14ac:dyDescent="0.2">
      <c r="B159" s="1">
        <v>43844</v>
      </c>
      <c r="C159" s="11">
        <v>1.1046910415951884E-2</v>
      </c>
      <c r="G159" s="1">
        <v>44209</v>
      </c>
      <c r="H159" s="11">
        <v>-1.1843049650228542E-2</v>
      </c>
    </row>
    <row r="160" spans="2:8" x14ac:dyDescent="0.2">
      <c r="B160" s="1">
        <v>43843</v>
      </c>
      <c r="C160" s="11">
        <v>1.1253021191492466E-2</v>
      </c>
      <c r="G160" s="1">
        <v>44208</v>
      </c>
      <c r="H160" s="11">
        <v>6.1424293065373845E-3</v>
      </c>
    </row>
    <row r="161" spans="2:8" x14ac:dyDescent="0.2">
      <c r="B161" s="1">
        <v>43840</v>
      </c>
      <c r="C161" s="11">
        <v>-2.7807937508127793E-3</v>
      </c>
      <c r="G161" s="1">
        <v>44207</v>
      </c>
      <c r="H161" s="11">
        <v>-1.4811988979375829E-2</v>
      </c>
    </row>
    <row r="162" spans="2:8" x14ac:dyDescent="0.2">
      <c r="B162" s="1">
        <v>43839</v>
      </c>
      <c r="C162" s="11">
        <v>2.8453972765585286E-3</v>
      </c>
      <c r="G162" s="1">
        <v>44204</v>
      </c>
      <c r="H162" s="11">
        <v>2.755016982453129E-2</v>
      </c>
    </row>
    <row r="163" spans="2:8" x14ac:dyDescent="0.2">
      <c r="B163" s="1">
        <v>43838</v>
      </c>
      <c r="C163" s="11">
        <v>-3.059134077318254E-3</v>
      </c>
      <c r="G163" s="1">
        <v>44203</v>
      </c>
      <c r="H163" s="11">
        <v>2.152687624502591E-2</v>
      </c>
    </row>
    <row r="164" spans="2:8" x14ac:dyDescent="0.2">
      <c r="B164" s="1">
        <v>43837</v>
      </c>
      <c r="C164" s="11">
        <v>1.8060511417612956E-3</v>
      </c>
      <c r="G164" s="1">
        <v>44202</v>
      </c>
      <c r="H164" s="11">
        <v>-2.2396390351326238E-2</v>
      </c>
    </row>
    <row r="165" spans="2:8" x14ac:dyDescent="0.2">
      <c r="B165" s="1">
        <v>43836</v>
      </c>
      <c r="C165" s="11">
        <v>-2.4267788881018105E-3</v>
      </c>
      <c r="G165" s="1">
        <v>44201</v>
      </c>
      <c r="H165" s="11">
        <v>8.5380765553758108E-4</v>
      </c>
    </row>
    <row r="166" spans="2:8" x14ac:dyDescent="0.2">
      <c r="B166" s="1">
        <v>43833</v>
      </c>
      <c r="C166" s="11">
        <v>-1.0852195667985138E-3</v>
      </c>
      <c r="G166" s="1">
        <v>44200</v>
      </c>
      <c r="H166" s="11">
        <v>-1.0152440847027884E-2</v>
      </c>
    </row>
    <row r="167" spans="2:8" x14ac:dyDescent="0.2">
      <c r="B167" s="1">
        <v>43832</v>
      </c>
      <c r="C167" s="11">
        <v>2.248671450619711E-2</v>
      </c>
      <c r="G167" s="1">
        <v>44195</v>
      </c>
      <c r="H167" s="11">
        <v>7.9388674199907458E-3</v>
      </c>
    </row>
    <row r="168" spans="2:8" x14ac:dyDescent="0.2">
      <c r="B168" s="1">
        <v>43829</v>
      </c>
      <c r="C168" s="11">
        <v>-1.4382447367391814E-3</v>
      </c>
      <c r="G168" s="1">
        <v>44194</v>
      </c>
      <c r="H168" s="11">
        <v>1.4972767943411199E-3</v>
      </c>
    </row>
    <row r="169" spans="2:8" x14ac:dyDescent="0.2">
      <c r="B169" s="1">
        <v>43826</v>
      </c>
      <c r="C169" s="11">
        <v>-1.5813194634722399E-2</v>
      </c>
      <c r="G169" s="1">
        <v>44193</v>
      </c>
      <c r="H169" s="11">
        <v>1.3890478474932568E-2</v>
      </c>
    </row>
    <row r="170" spans="2:8" x14ac:dyDescent="0.2">
      <c r="B170" s="1">
        <v>43825</v>
      </c>
      <c r="C170" s="11">
        <v>1.0513325178490572E-2</v>
      </c>
      <c r="G170" s="1">
        <v>44188</v>
      </c>
      <c r="H170" s="11">
        <v>6.7534512934338941E-3</v>
      </c>
    </row>
    <row r="171" spans="2:8" x14ac:dyDescent="0.2">
      <c r="B171" s="1">
        <v>43822</v>
      </c>
      <c r="C171" s="11">
        <v>1.1404087514386286E-3</v>
      </c>
      <c r="G171" s="1">
        <v>44187</v>
      </c>
      <c r="H171" s="11">
        <v>4.9737569515706298E-4</v>
      </c>
    </row>
    <row r="172" spans="2:8" x14ac:dyDescent="0.2">
      <c r="B172" s="1">
        <v>43819</v>
      </c>
      <c r="C172" s="11">
        <v>5.076994684818833E-4</v>
      </c>
      <c r="G172" s="1">
        <v>44186</v>
      </c>
      <c r="H172" s="11">
        <v>-1.8977923243459191E-2</v>
      </c>
    </row>
    <row r="173" spans="2:8" x14ac:dyDescent="0.2">
      <c r="B173" s="1">
        <v>43818</v>
      </c>
      <c r="C173" s="11">
        <v>1.0801265052018115E-2</v>
      </c>
      <c r="G173" s="1">
        <v>44183</v>
      </c>
      <c r="H173" s="11">
        <v>-8.2105262987904118E-3</v>
      </c>
    </row>
    <row r="174" spans="2:8" x14ac:dyDescent="0.2">
      <c r="B174" s="1">
        <v>43817</v>
      </c>
      <c r="C174" s="11">
        <v>6.9787929384711967E-3</v>
      </c>
      <c r="G174" s="1">
        <v>44182</v>
      </c>
      <c r="H174" s="11">
        <v>3.2358043288138847E-3</v>
      </c>
    </row>
    <row r="175" spans="2:8" x14ac:dyDescent="0.2">
      <c r="B175" s="1">
        <v>43816</v>
      </c>
      <c r="C175" s="11">
        <v>2.1191076751545359E-3</v>
      </c>
      <c r="G175" s="1">
        <v>44181</v>
      </c>
      <c r="H175" s="11">
        <v>1.5264124416888026E-2</v>
      </c>
    </row>
    <row r="176" spans="2:8" x14ac:dyDescent="0.2">
      <c r="B176" s="1">
        <v>43815</v>
      </c>
      <c r="C176" s="11">
        <v>-2.7709290621402561E-3</v>
      </c>
      <c r="G176" s="1">
        <v>44180</v>
      </c>
      <c r="H176" s="11">
        <v>1.5875070144553981E-2</v>
      </c>
    </row>
    <row r="177" spans="2:8" x14ac:dyDescent="0.2">
      <c r="B177" s="1">
        <v>43812</v>
      </c>
      <c r="C177" s="11">
        <v>6.351122984546545E-4</v>
      </c>
      <c r="G177" s="1">
        <v>44179</v>
      </c>
      <c r="H177" s="11">
        <v>-2.5318430201979911E-3</v>
      </c>
    </row>
    <row r="178" spans="2:8" x14ac:dyDescent="0.2">
      <c r="B178" s="1">
        <v>43811</v>
      </c>
      <c r="C178" s="11">
        <v>1.9600259072592791E-2</v>
      </c>
      <c r="G178" s="1">
        <v>44176</v>
      </c>
      <c r="H178" s="11">
        <v>-8.2199494671685771E-3</v>
      </c>
    </row>
    <row r="179" spans="2:8" x14ac:dyDescent="0.2">
      <c r="B179" s="1">
        <v>43810</v>
      </c>
      <c r="C179" s="11">
        <v>4.6414759436134061E-3</v>
      </c>
      <c r="G179" s="1">
        <v>44175</v>
      </c>
      <c r="H179" s="11">
        <v>2.2367281345287957E-2</v>
      </c>
    </row>
    <row r="180" spans="2:8" x14ac:dyDescent="0.2">
      <c r="B180" s="1">
        <v>43809</v>
      </c>
      <c r="C180" s="11">
        <v>-8.3988068145826426E-3</v>
      </c>
      <c r="G180" s="1">
        <v>44174</v>
      </c>
      <c r="H180" s="11">
        <v>-1.086637042041389E-2</v>
      </c>
    </row>
    <row r="181" spans="2:8" x14ac:dyDescent="0.2">
      <c r="B181" s="1">
        <v>43808</v>
      </c>
      <c r="C181" s="11">
        <v>-6.6198728747607766E-3</v>
      </c>
      <c r="G181" s="1">
        <v>44173</v>
      </c>
      <c r="H181" s="11">
        <v>-4.9661412176485748E-3</v>
      </c>
    </row>
    <row r="182" spans="2:8" x14ac:dyDescent="0.2">
      <c r="B182" s="1">
        <v>43805</v>
      </c>
      <c r="C182" s="11">
        <v>1.9976194959600766E-2</v>
      </c>
      <c r="G182" s="1">
        <v>44172</v>
      </c>
      <c r="H182" s="11">
        <v>-6.5630352159395042E-3</v>
      </c>
    </row>
    <row r="183" spans="2:8" x14ac:dyDescent="0.2">
      <c r="B183" s="1">
        <v>43804</v>
      </c>
      <c r="C183" s="11">
        <v>4.9661078146415773E-3</v>
      </c>
      <c r="G183" s="1">
        <v>44169</v>
      </c>
      <c r="H183" s="11">
        <v>1.3619166296113181E-2</v>
      </c>
    </row>
    <row r="184" spans="2:8" x14ac:dyDescent="0.2">
      <c r="B184" s="1">
        <v>43803</v>
      </c>
      <c r="C184" s="11">
        <v>6.5869701951359787E-3</v>
      </c>
      <c r="G184" s="1">
        <v>44168</v>
      </c>
      <c r="H184" s="11">
        <v>6.8764848202856905E-3</v>
      </c>
    </row>
    <row r="185" spans="2:8" x14ac:dyDescent="0.2">
      <c r="B185" s="1">
        <v>43802</v>
      </c>
      <c r="C185" s="11">
        <v>4.6758154418779369E-3</v>
      </c>
      <c r="G185" s="1">
        <v>44167</v>
      </c>
      <c r="H185" s="11">
        <v>8.4532909954048614E-3</v>
      </c>
    </row>
    <row r="186" spans="2:8" x14ac:dyDescent="0.2">
      <c r="B186" s="1">
        <v>43801</v>
      </c>
      <c r="C186" s="11">
        <v>1.0667367045261993E-2</v>
      </c>
      <c r="G186" s="1">
        <v>44166</v>
      </c>
      <c r="H186" s="11">
        <v>1.6817776128582346E-2</v>
      </c>
    </row>
    <row r="187" spans="2:8" x14ac:dyDescent="0.2">
      <c r="B187" s="1">
        <v>43798</v>
      </c>
      <c r="C187" s="11">
        <v>-2.7649248409248811E-3</v>
      </c>
      <c r="G187" s="1">
        <v>44165</v>
      </c>
      <c r="H187" s="11">
        <v>-1.5543821470804622E-2</v>
      </c>
    </row>
    <row r="188" spans="2:8" x14ac:dyDescent="0.2">
      <c r="B188" s="1">
        <v>43797</v>
      </c>
      <c r="C188" s="11">
        <v>1.185093813261358E-2</v>
      </c>
      <c r="G188" s="1">
        <v>44162</v>
      </c>
      <c r="H188" s="11">
        <v>7.2770542622395086E-3</v>
      </c>
    </row>
    <row r="189" spans="2:8" x14ac:dyDescent="0.2">
      <c r="B189" s="1">
        <v>43796</v>
      </c>
      <c r="C189" s="11">
        <v>7.8725380254832215E-3</v>
      </c>
      <c r="G189" s="1">
        <v>44161</v>
      </c>
      <c r="H189" s="11">
        <v>3.0164511824931615E-3</v>
      </c>
    </row>
    <row r="190" spans="2:8" x14ac:dyDescent="0.2">
      <c r="B190" s="1">
        <v>43795</v>
      </c>
      <c r="C190" s="11">
        <v>-1.1655395895228095E-2</v>
      </c>
      <c r="G190" s="1">
        <v>44160</v>
      </c>
      <c r="H190" s="11">
        <v>4.600197523702893E-3</v>
      </c>
    </row>
    <row r="191" spans="2:8" x14ac:dyDescent="0.2">
      <c r="B191" s="1">
        <v>43794</v>
      </c>
      <c r="C191" s="11">
        <v>-3.4108598233628567E-3</v>
      </c>
      <c r="G191" s="1">
        <v>44159</v>
      </c>
      <c r="H191" s="11">
        <v>2.5314587910068607E-2</v>
      </c>
    </row>
    <row r="192" spans="2:8" x14ac:dyDescent="0.2">
      <c r="B192" s="1">
        <v>43791</v>
      </c>
      <c r="C192" s="11">
        <v>1.1484881688188885E-2</v>
      </c>
      <c r="G192" s="1">
        <v>44158</v>
      </c>
      <c r="H192" s="11">
        <v>1.1680951999679189E-2</v>
      </c>
    </row>
    <row r="193" spans="2:8" x14ac:dyDescent="0.2">
      <c r="B193" s="1">
        <v>43790</v>
      </c>
      <c r="C193" s="11">
        <v>2.3638909008283887E-2</v>
      </c>
      <c r="G193" s="1">
        <v>44154</v>
      </c>
      <c r="H193" s="11">
        <v>5.209749208283228E-3</v>
      </c>
    </row>
    <row r="194" spans="2:8" x14ac:dyDescent="0.2">
      <c r="B194" s="1">
        <v>43788</v>
      </c>
      <c r="C194" s="11">
        <v>-3.2549981539341799E-3</v>
      </c>
      <c r="G194" s="1">
        <v>44153</v>
      </c>
      <c r="H194" s="11">
        <v>-9.2864474265784477E-3</v>
      </c>
    </row>
    <row r="195" spans="2:8" x14ac:dyDescent="0.2">
      <c r="B195" s="1">
        <v>43787</v>
      </c>
      <c r="C195" s="11">
        <v>-5.1257532099300528E-3</v>
      </c>
      <c r="G195" s="1">
        <v>44152</v>
      </c>
      <c r="H195" s="11">
        <v>3.8575160406679842E-3</v>
      </c>
    </row>
    <row r="196" spans="2:8" x14ac:dyDescent="0.2">
      <c r="B196" s="1">
        <v>43783</v>
      </c>
      <c r="C196" s="11">
        <v>9.4793799130986189E-3</v>
      </c>
      <c r="G196" s="1">
        <v>44151</v>
      </c>
      <c r="H196" s="11">
        <v>9.6372960140068669E-3</v>
      </c>
    </row>
    <row r="197" spans="2:8" x14ac:dyDescent="0.2">
      <c r="B197" s="1">
        <v>43782</v>
      </c>
      <c r="C197" s="11">
        <v>-4.8742392800821231E-3</v>
      </c>
      <c r="G197" s="1">
        <v>44148</v>
      </c>
      <c r="H197" s="11">
        <v>2.0449423053456661E-2</v>
      </c>
    </row>
    <row r="198" spans="2:8" x14ac:dyDescent="0.2">
      <c r="B198" s="1">
        <v>43781</v>
      </c>
      <c r="C198" s="11">
        <v>-1.3533686838309751E-2</v>
      </c>
      <c r="G198" s="1">
        <v>44147</v>
      </c>
      <c r="H198" s="11">
        <v>-1.9860457812808825E-2</v>
      </c>
    </row>
    <row r="199" spans="2:8" x14ac:dyDescent="0.2">
      <c r="B199" s="1">
        <v>43780</v>
      </c>
      <c r="C199" s="11">
        <v>1.2758144436662901E-2</v>
      </c>
      <c r="G199" s="1">
        <v>44146</v>
      </c>
      <c r="H199" s="11">
        <v>-5.9628628772425531E-3</v>
      </c>
    </row>
    <row r="200" spans="2:8" x14ac:dyDescent="0.2">
      <c r="B200" s="1">
        <v>43777</v>
      </c>
      <c r="C200" s="11">
        <v>-1.6821644811463227E-2</v>
      </c>
      <c r="G200" s="1">
        <v>44145</v>
      </c>
      <c r="H200" s="11">
        <v>6.8574443150231906E-3</v>
      </c>
    </row>
    <row r="201" spans="2:8" x14ac:dyDescent="0.2">
      <c r="B201" s="1">
        <v>43776</v>
      </c>
      <c r="C201" s="11">
        <v>1.2336101068194065E-2</v>
      </c>
      <c r="G201" s="1">
        <v>44144</v>
      </c>
      <c r="H201" s="11">
        <v>2.1866995277032012E-2</v>
      </c>
    </row>
    <row r="202" spans="2:8" x14ac:dyDescent="0.2">
      <c r="B202" s="1">
        <v>43775</v>
      </c>
      <c r="C202" s="11">
        <v>5.7352295610841406E-3</v>
      </c>
      <c r="G202" s="1">
        <v>44141</v>
      </c>
      <c r="H202" s="11">
        <v>1.4123976775476171E-3</v>
      </c>
    </row>
    <row r="203" spans="2:8" x14ac:dyDescent="0.2">
      <c r="B203" s="1">
        <v>43774</v>
      </c>
      <c r="C203" s="11">
        <v>-5.3331684905452807E-3</v>
      </c>
      <c r="G203" s="1">
        <v>44140</v>
      </c>
      <c r="H203" s="11">
        <v>2.4418314256737919E-2</v>
      </c>
    </row>
    <row r="204" spans="2:8" x14ac:dyDescent="0.2">
      <c r="B204" s="1">
        <v>43773</v>
      </c>
      <c r="C204" s="11">
        <v>1.6908596729110358E-3</v>
      </c>
      <c r="G204" s="1">
        <v>44139</v>
      </c>
      <c r="H204" s="11">
        <v>2.7509386118003534E-2</v>
      </c>
    </row>
    <row r="205" spans="2:8" x14ac:dyDescent="0.2">
      <c r="B205" s="1">
        <v>43770</v>
      </c>
      <c r="C205" s="11">
        <v>1.4387623892717357E-2</v>
      </c>
      <c r="G205" s="1">
        <v>44138</v>
      </c>
      <c r="H205" s="11">
        <v>1.5160481159398538E-2</v>
      </c>
    </row>
    <row r="206" spans="2:8" x14ac:dyDescent="0.2">
      <c r="B206" s="1">
        <v>43769</v>
      </c>
      <c r="C206" s="11">
        <v>-2.7623540441801798E-3</v>
      </c>
      <c r="G206" s="1">
        <v>44134</v>
      </c>
      <c r="H206" s="11">
        <v>-2.3676986493298104E-2</v>
      </c>
    </row>
    <row r="207" spans="2:8" x14ac:dyDescent="0.2">
      <c r="B207" s="1">
        <v>43768</v>
      </c>
      <c r="C207" s="11">
        <v>1.4300600002530858E-2</v>
      </c>
      <c r="G207" s="1">
        <v>44133</v>
      </c>
      <c r="H207" s="11">
        <v>1.2777565116189231E-2</v>
      </c>
    </row>
    <row r="208" spans="2:8" x14ac:dyDescent="0.2">
      <c r="B208" s="1">
        <v>43767</v>
      </c>
      <c r="C208" s="11">
        <v>-5.5758246705865941E-3</v>
      </c>
      <c r="G208" s="1">
        <v>44132</v>
      </c>
      <c r="H208" s="11">
        <v>-3.6172819406490871E-2</v>
      </c>
    </row>
    <row r="209" spans="2:8" x14ac:dyDescent="0.2">
      <c r="B209" s="1">
        <v>43766</v>
      </c>
      <c r="C209" s="11">
        <v>-7.8811763080529175E-4</v>
      </c>
      <c r="G209" s="1">
        <v>44131</v>
      </c>
      <c r="H209" s="11">
        <v>-9.897409963279034E-3</v>
      </c>
    </row>
    <row r="210" spans="2:8" x14ac:dyDescent="0.2">
      <c r="B210" s="1">
        <v>43763</v>
      </c>
      <c r="C210" s="11">
        <v>5.8609986482415265E-3</v>
      </c>
      <c r="G210" s="1">
        <v>44130</v>
      </c>
      <c r="H210" s="11">
        <v>-4.9685029755726397E-3</v>
      </c>
    </row>
    <row r="211" spans="2:8" x14ac:dyDescent="0.2">
      <c r="B211" s="1">
        <v>43762</v>
      </c>
      <c r="C211" s="11">
        <v>-1.1140435934801698E-2</v>
      </c>
      <c r="G211" s="1">
        <v>44127</v>
      </c>
      <c r="H211" s="11">
        <v>7.6750259496385859E-3</v>
      </c>
    </row>
    <row r="212" spans="2:8" x14ac:dyDescent="0.2">
      <c r="B212" s="1">
        <v>43761</v>
      </c>
      <c r="C212" s="11">
        <v>2.2641161445199551E-4</v>
      </c>
      <c r="G212" s="1">
        <v>44126</v>
      </c>
      <c r="H212" s="11">
        <v>-4.8791986293549817E-3</v>
      </c>
    </row>
    <row r="213" spans="2:8" x14ac:dyDescent="0.2">
      <c r="B213" s="1">
        <v>43760</v>
      </c>
      <c r="C213" s="11">
        <v>5.7262829751419534E-3</v>
      </c>
      <c r="G213" s="1">
        <v>44125</v>
      </c>
      <c r="H213" s="11">
        <v>-2.0197943065700277E-3</v>
      </c>
    </row>
    <row r="214" spans="2:8" x14ac:dyDescent="0.2">
      <c r="B214" s="1">
        <v>43759</v>
      </c>
      <c r="C214" s="11">
        <v>3.323856199622019E-3</v>
      </c>
      <c r="G214" s="1">
        <v>44124</v>
      </c>
      <c r="H214" s="11">
        <v>1.7492570513844667E-2</v>
      </c>
    </row>
    <row r="215" spans="2:8" x14ac:dyDescent="0.2">
      <c r="B215" s="1">
        <v>43756</v>
      </c>
      <c r="C215" s="11">
        <v>6.9924664994017068E-3</v>
      </c>
      <c r="G215" s="1">
        <v>44123</v>
      </c>
      <c r="H215" s="11">
        <v>6.2716426616753179E-3</v>
      </c>
    </row>
    <row r="216" spans="2:8" x14ac:dyDescent="0.2">
      <c r="B216" s="1">
        <v>43755</v>
      </c>
      <c r="C216" s="11">
        <v>1.9748263762812582E-3</v>
      </c>
      <c r="G216" s="1">
        <v>44120</v>
      </c>
      <c r="H216" s="11">
        <v>-5.5165858031522123E-3</v>
      </c>
    </row>
    <row r="217" spans="2:8" x14ac:dyDescent="0.2">
      <c r="B217" s="1">
        <v>43754</v>
      </c>
      <c r="C217" s="11">
        <v>3.799933373026484E-3</v>
      </c>
      <c r="G217" s="1">
        <v>44119</v>
      </c>
      <c r="H217" s="11">
        <v>-1.7416959317757595E-3</v>
      </c>
    </row>
    <row r="218" spans="2:8" x14ac:dyDescent="0.2">
      <c r="B218" s="1">
        <v>43753</v>
      </c>
      <c r="C218" s="11">
        <v>4.2365574791863063E-3</v>
      </c>
      <c r="G218" s="1">
        <v>44118</v>
      </c>
      <c r="H218" s="11">
        <v>5.5980676402924224E-3</v>
      </c>
    </row>
    <row r="219" spans="2:8" x14ac:dyDescent="0.2">
      <c r="B219" s="1">
        <v>43752</v>
      </c>
      <c r="C219" s="11">
        <v>6.4082320541417144E-3</v>
      </c>
      <c r="G219" s="1">
        <v>44117</v>
      </c>
      <c r="H219" s="11">
        <v>6.151215526332434E-3</v>
      </c>
    </row>
    <row r="220" spans="2:8" x14ac:dyDescent="0.2">
      <c r="B220" s="1">
        <v>43749</v>
      </c>
      <c r="C220" s="11">
        <v>2.5518374806506674E-2</v>
      </c>
      <c r="G220" s="1">
        <v>44113</v>
      </c>
      <c r="H220" s="11">
        <v>-1.4874513049843512E-2</v>
      </c>
    </row>
    <row r="221" spans="2:8" x14ac:dyDescent="0.2">
      <c r="B221" s="1">
        <v>43748</v>
      </c>
      <c r="C221" s="11">
        <v>3.436614880049271E-3</v>
      </c>
      <c r="G221" s="1">
        <v>44112</v>
      </c>
      <c r="H221" s="11">
        <v>1.9095029519884045E-2</v>
      </c>
    </row>
    <row r="222" spans="2:8" x14ac:dyDescent="0.2">
      <c r="B222" s="1">
        <v>43747</v>
      </c>
      <c r="C222" s="11">
        <v>1.2053919371681187E-2</v>
      </c>
      <c r="G222" s="1">
        <v>44111</v>
      </c>
      <c r="H222" s="11">
        <v>1.3045980005093214E-3</v>
      </c>
    </row>
    <row r="223" spans="2:8" x14ac:dyDescent="0.2">
      <c r="B223" s="1">
        <v>43746</v>
      </c>
      <c r="C223" s="11">
        <v>-9.2360535969282405E-3</v>
      </c>
      <c r="G223" s="1">
        <v>44110</v>
      </c>
      <c r="H223" s="11">
        <v>-5.9366044512955763E-3</v>
      </c>
    </row>
    <row r="224" spans="2:8" x14ac:dyDescent="0.2">
      <c r="B224" s="1">
        <v>43745</v>
      </c>
      <c r="C224" s="11">
        <v>-1.3033238656445867E-2</v>
      </c>
      <c r="G224" s="1">
        <v>44109</v>
      </c>
      <c r="H224" s="11">
        <v>2.1472078199592824E-2</v>
      </c>
    </row>
    <row r="225" spans="2:8" x14ac:dyDescent="0.2">
      <c r="B225" s="1">
        <v>43742</v>
      </c>
      <c r="C225" s="11">
        <v>1.8815968316131842E-2</v>
      </c>
      <c r="G225" s="1">
        <v>44106</v>
      </c>
      <c r="H225" s="11">
        <v>-1.6967586488764702E-2</v>
      </c>
    </row>
    <row r="226" spans="2:8" x14ac:dyDescent="0.2">
      <c r="B226" s="1">
        <v>43741</v>
      </c>
      <c r="C226" s="11">
        <v>5.8029929947925009E-3</v>
      </c>
      <c r="G226" s="1">
        <v>44105</v>
      </c>
      <c r="H226" s="11">
        <v>2.0131358516669313E-2</v>
      </c>
    </row>
    <row r="227" spans="2:8" x14ac:dyDescent="0.2">
      <c r="B227" s="1">
        <v>43740</v>
      </c>
      <c r="C227" s="11">
        <v>-2.1085139960680066E-2</v>
      </c>
      <c r="G227" s="1">
        <v>44104</v>
      </c>
      <c r="H227" s="11">
        <v>8.4676777151654874E-3</v>
      </c>
    </row>
    <row r="228" spans="2:8" x14ac:dyDescent="0.2">
      <c r="B228" s="1">
        <v>43739</v>
      </c>
      <c r="C228" s="11">
        <v>-8.4814571930782717E-3</v>
      </c>
      <c r="G228" s="1">
        <v>44103</v>
      </c>
      <c r="H228" s="11">
        <v>-3.304995167533185E-3</v>
      </c>
    </row>
    <row r="229" spans="2:8" x14ac:dyDescent="0.2">
      <c r="B229" s="1">
        <v>43738</v>
      </c>
      <c r="C229" s="11">
        <v>5.9522058686711119E-3</v>
      </c>
      <c r="G229" s="1">
        <v>44102</v>
      </c>
      <c r="H229" s="11">
        <v>-3.2066759018097531E-2</v>
      </c>
    </row>
    <row r="230" spans="2:8" x14ac:dyDescent="0.2">
      <c r="B230" s="1">
        <v>43735</v>
      </c>
      <c r="C230" s="11">
        <v>-1.5090726517453616E-3</v>
      </c>
      <c r="G230" s="1">
        <v>44099</v>
      </c>
      <c r="H230" s="11">
        <v>-2.0146844100562534E-3</v>
      </c>
    </row>
    <row r="231" spans="2:8" x14ac:dyDescent="0.2">
      <c r="B231" s="1">
        <v>43734</v>
      </c>
      <c r="C231" s="11">
        <v>5.6581151686879048E-3</v>
      </c>
      <c r="G231" s="1">
        <v>44098</v>
      </c>
      <c r="H231" s="11">
        <v>7.4028499445414776E-3</v>
      </c>
    </row>
    <row r="232" spans="2:8" x14ac:dyDescent="0.2">
      <c r="B232" s="1">
        <v>43733</v>
      </c>
      <c r="C232" s="11">
        <v>8.5263748145778234E-3</v>
      </c>
      <c r="G232" s="1">
        <v>44097</v>
      </c>
      <c r="H232" s="11">
        <v>3.7131916712460386E-3</v>
      </c>
    </row>
    <row r="233" spans="2:8" x14ac:dyDescent="0.2">
      <c r="B233" s="1">
        <v>43732</v>
      </c>
      <c r="C233" s="11">
        <v>-8.6668438345543219E-3</v>
      </c>
      <c r="G233" s="1">
        <v>44096</v>
      </c>
      <c r="H233" s="11">
        <v>-1.8422721497972257E-3</v>
      </c>
    </row>
    <row r="234" spans="2:8" x14ac:dyDescent="0.2">
      <c r="B234" s="1">
        <v>43731</v>
      </c>
      <c r="C234" s="11">
        <v>-8.4748628761375251E-3</v>
      </c>
      <c r="G234" s="1">
        <v>44095</v>
      </c>
      <c r="H234" s="11">
        <v>-1.4533208445254707E-2</v>
      </c>
    </row>
    <row r="235" spans="2:8" x14ac:dyDescent="0.2">
      <c r="B235" s="1">
        <v>43728</v>
      </c>
      <c r="C235" s="11">
        <v>2.3427429516817695E-3</v>
      </c>
      <c r="G235" s="1">
        <v>44092</v>
      </c>
      <c r="H235" s="11">
        <v>-1.8370993481539432E-2</v>
      </c>
    </row>
    <row r="236" spans="2:8" x14ac:dyDescent="0.2">
      <c r="B236" s="1">
        <v>43727</v>
      </c>
      <c r="C236" s="11">
        <v>8.599704055776633E-3</v>
      </c>
      <c r="G236" s="1">
        <v>44091</v>
      </c>
      <c r="H236" s="11">
        <v>8.3214582503926776E-4</v>
      </c>
    </row>
    <row r="237" spans="2:8" x14ac:dyDescent="0.2">
      <c r="B237" s="1">
        <v>43726</v>
      </c>
      <c r="C237" s="11">
        <v>2.7687579086354383E-3</v>
      </c>
      <c r="G237" s="1">
        <v>44090</v>
      </c>
      <c r="H237" s="11">
        <v>-5.7043244191394065E-3</v>
      </c>
    </row>
    <row r="238" spans="2:8" x14ac:dyDescent="0.2">
      <c r="B238" s="1">
        <v>43725</v>
      </c>
      <c r="C238" s="11">
        <v>1.1346006622289344E-2</v>
      </c>
      <c r="G238" s="1">
        <v>44089</v>
      </c>
      <c r="H238" s="11">
        <v>9.2937524366486723E-4</v>
      </c>
    </row>
    <row r="239" spans="2:8" x14ac:dyDescent="0.2">
      <c r="B239" s="1">
        <v>43724</v>
      </c>
      <c r="C239" s="11">
        <v>6.3140677391367072E-3</v>
      </c>
      <c r="G239" s="1">
        <v>44088</v>
      </c>
      <c r="H239" s="11">
        <v>2.677485459114385E-2</v>
      </c>
    </row>
    <row r="240" spans="2:8" x14ac:dyDescent="0.2">
      <c r="B240" s="1">
        <v>43721</v>
      </c>
      <c r="C240" s="11">
        <v>-1.4661657111436735E-2</v>
      </c>
      <c r="G240" s="1">
        <v>44085</v>
      </c>
      <c r="H240" s="11">
        <v>-8.1864605942776648E-3</v>
      </c>
    </row>
    <row r="241" spans="2:8" x14ac:dyDescent="0.2">
      <c r="B241" s="1">
        <v>43720</v>
      </c>
      <c r="C241" s="11">
        <v>2.2557794324318623E-3</v>
      </c>
      <c r="G241" s="1">
        <v>44084</v>
      </c>
      <c r="H241" s="11">
        <v>-3.2267490560621476E-2</v>
      </c>
    </row>
    <row r="242" spans="2:8" x14ac:dyDescent="0.2">
      <c r="B242" s="1">
        <v>43719</v>
      </c>
      <c r="C242" s="11">
        <v>1.8915379213677676E-2</v>
      </c>
      <c r="G242" s="1">
        <v>44083</v>
      </c>
      <c r="H242" s="11">
        <v>1.142526047705383E-2</v>
      </c>
    </row>
    <row r="243" spans="2:8" x14ac:dyDescent="0.2">
      <c r="B243" s="1">
        <v>43718</v>
      </c>
      <c r="C243" s="11">
        <v>-1.5304098616623256E-3</v>
      </c>
      <c r="G243" s="1">
        <v>44082</v>
      </c>
      <c r="H243" s="11">
        <v>-8.4603120540165057E-4</v>
      </c>
    </row>
    <row r="244" spans="2:8" x14ac:dyDescent="0.2">
      <c r="B244" s="1">
        <v>43717</v>
      </c>
      <c r="C244" s="11">
        <v>-9.7402181034561656E-3</v>
      </c>
      <c r="G244" s="1">
        <v>44078</v>
      </c>
      <c r="H244" s="11">
        <v>7.7170811718907184E-3</v>
      </c>
    </row>
    <row r="245" spans="2:8" x14ac:dyDescent="0.2">
      <c r="B245" s="1">
        <v>43714</v>
      </c>
      <c r="C245" s="11">
        <v>-4.8162117056632925E-3</v>
      </c>
      <c r="G245" s="1">
        <v>44077</v>
      </c>
      <c r="H245" s="11">
        <v>-1.9450514268462886E-2</v>
      </c>
    </row>
    <row r="246" spans="2:8" x14ac:dyDescent="0.2">
      <c r="B246" s="1">
        <v>43713</v>
      </c>
      <c r="C246" s="11">
        <v>3.6244716211131186E-3</v>
      </c>
      <c r="G246" s="1">
        <v>44076</v>
      </c>
      <c r="H246" s="11">
        <v>-3.9823211264949244E-3</v>
      </c>
    </row>
    <row r="247" spans="2:8" x14ac:dyDescent="0.2">
      <c r="B247" s="1">
        <v>43712</v>
      </c>
      <c r="C247" s="11">
        <v>1.7535686786844619E-2</v>
      </c>
      <c r="G247" s="1">
        <v>44075</v>
      </c>
      <c r="H247" s="11">
        <v>3.3678922604024962E-2</v>
      </c>
    </row>
    <row r="248" spans="2:8" x14ac:dyDescent="0.2">
      <c r="B248" s="1">
        <v>43711</v>
      </c>
      <c r="C248" s="11">
        <v>-8.9554059925784271E-3</v>
      </c>
      <c r="G248" s="1">
        <v>44074</v>
      </c>
      <c r="H248" s="11">
        <v>-2.74349054749718E-2</v>
      </c>
    </row>
    <row r="249" spans="2:8" x14ac:dyDescent="0.2">
      <c r="B249" s="1">
        <v>43710</v>
      </c>
      <c r="C249" s="11">
        <v>-6.3161486091702712E-3</v>
      </c>
      <c r="G249" s="1">
        <v>44071</v>
      </c>
      <c r="H249" s="11">
        <v>1.606589481897969E-2</v>
      </c>
    </row>
    <row r="250" spans="2:8" x14ac:dyDescent="0.2">
      <c r="G250" s="1">
        <v>44070</v>
      </c>
      <c r="H250" s="11">
        <v>-6.9341770289563795E-4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4AC55D-9581-0642-A720-5F008A2AB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Análise da ação ITSA4</vt:lpstr>
      <vt:lpstr>Retornos da Carteira de Ações</vt:lpstr>
      <vt:lpstr>Matriz de Correlação da Ações</vt:lpstr>
      <vt:lpstr>Cálculo do VaR da Carteira</vt:lpstr>
      <vt:lpstr>BackTesting Simplificado do VaR</vt:lpstr>
      <vt:lpstr>'Cálculo do VaR da Carteira'!base_retornos_acoes</vt:lpstr>
      <vt:lpstr>'Retornos da Carteira de Ações'!base_retornos_acoes</vt:lpstr>
      <vt:lpstr>'Cálculo do VaR da Carteira'!Extract</vt:lpstr>
      <vt:lpstr>'Retornos da Carteira de Ações'!Extract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Saggioro</cp:lastModifiedBy>
  <dcterms:created xsi:type="dcterms:W3CDTF">2021-09-20T14:55:31Z</dcterms:created>
  <dcterms:modified xsi:type="dcterms:W3CDTF">2024-03-22T20:00:19Z</dcterms:modified>
</cp:coreProperties>
</file>